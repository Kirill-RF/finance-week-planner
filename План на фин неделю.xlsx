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 на фин. неделю" sheetId="1" state="visible" r:id="rId1"/>
    <sheet xmlns:r="http://schemas.openxmlformats.org/officeDocument/2006/relationships" name="Планы менеджеров" sheetId="2" state="visible" r:id="rId2"/>
    <sheet xmlns:r="http://schemas.openxmlformats.org/officeDocument/2006/relationships" name="Рабочие дни" sheetId="3" state="visible" r:id="rId3"/>
    <sheet xmlns:r="http://schemas.openxmlformats.org/officeDocument/2006/relationships" name="Календарь" sheetId="4" state="visible" r:id="rId4"/>
    <sheet xmlns:r="http://schemas.openxmlformats.org/officeDocument/2006/relationships" name="Расчёт" sheetId="5" state="visible" r:id="rId5"/>
  </sheets>
  <definedNames>
    <definedName name="Кал_Даты">Календарь!$A$2:$A$366</definedName>
    <definedName name="Кал_Месяц">Календарь!$B$2:$B$366</definedName>
    <definedName name="Кал_Раб">Календарь!$D$2:$D$366</definedName>
    <definedName name="Нед_Начало">'Рабочие дни'!$B$20:$B$72</definedName>
    <definedName name="Нед_Конец">'Рабочие дни'!$C$20:$C$72</definedName>
    <definedName name="Нед_Раб">'Рабочие дни'!$E$20:$E$72</definedName>
    <definedName name="Мес_Раб">'Рабочие дни'!$B$5:$B$16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5" fontId="0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4" fillId="6" borderId="1" pivotButton="0" quotePrefix="0" xfId="0"/>
    <xf numFmtId="3" fontId="4" fillId="6" borderId="1" applyAlignment="1" pivotButton="0" quotePrefix="0" xfId="0">
      <alignment horizontal="center" vertical="center" wrapText="1"/>
    </xf>
    <xf numFmtId="3" fontId="0" fillId="3" borderId="1" pivotButton="0" quotePrefix="0" xfId="0"/>
    <xf numFmtId="3" fontId="4" fillId="6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0" fillId="0" borderId="0" pivotButton="0" quotePrefix="0" xfId="0"/>
    <xf numFmtId="165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2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3" customWidth="1" min="55" max="55"/>
    <col width="18" customWidth="1" min="56" max="56"/>
    <col width="22" customWidth="1" min="57" max="57"/>
  </cols>
  <sheetData>
    <row r="1">
      <c r="A1" s="1" t="inlineStr">
        <is>
          <t>ПЛАН НА ФИНАНСОВУЮ НЕДЕЛЮ (четверг — среда)</t>
        </is>
      </c>
    </row>
    <row r="2">
      <c r="A2" s="2" t="inlineStr">
        <is>
          <t>Сотрудник находит свою фамилию и активную неделю — это его план на неделю.</t>
        </is>
      </c>
    </row>
    <row r="4">
      <c r="A4" s="3" t="inlineStr">
        <is>
          <t>Активная дата:</t>
        </is>
      </c>
      <c r="B4" s="4" t="n">
        <v>46317</v>
      </c>
      <c r="C4" s="2" t="inlineStr">
        <is>
          <t>← поставьте любую дату (хоть =СЕГОДНЯ()). Активная неделя подсветится в таблице и появится справа.</t>
        </is>
      </c>
    </row>
    <row r="6">
      <c r="A6" s="3" t="inlineStr">
        <is>
          <t>ТАБЛИЦА 1. Все недели года</t>
        </is>
      </c>
      <c r="BD6" s="3" t="inlineStr">
        <is>
          <t>ТАБЛИЦА 2. Активная неделя</t>
        </is>
      </c>
    </row>
    <row r="7">
      <c r="A7" s="5" t="inlineStr">
        <is>
          <t>№ недели</t>
        </is>
      </c>
      <c r="B7" s="6" t="n">
        <v>1</v>
      </c>
      <c r="C7" s="6" t="n">
        <v>2</v>
      </c>
      <c r="D7" s="6" t="n">
        <v>3</v>
      </c>
      <c r="E7" s="6" t="n">
        <v>4</v>
      </c>
      <c r="F7" s="6" t="n">
        <v>5</v>
      </c>
      <c r="G7" s="6" t="n">
        <v>6</v>
      </c>
      <c r="H7" s="6" t="n">
        <v>7</v>
      </c>
      <c r="I7" s="6" t="n">
        <v>8</v>
      </c>
      <c r="J7" s="6" t="n">
        <v>9</v>
      </c>
      <c r="K7" s="6" t="n">
        <v>10</v>
      </c>
      <c r="L7" s="6" t="n">
        <v>11</v>
      </c>
      <c r="M7" s="6" t="n">
        <v>12</v>
      </c>
      <c r="N7" s="6" t="n">
        <v>13</v>
      </c>
      <c r="O7" s="6" t="n">
        <v>14</v>
      </c>
      <c r="P7" s="6" t="n">
        <v>15</v>
      </c>
      <c r="Q7" s="6" t="n">
        <v>16</v>
      </c>
      <c r="R7" s="6" t="n">
        <v>17</v>
      </c>
      <c r="S7" s="6" t="n">
        <v>18</v>
      </c>
      <c r="T7" s="6" t="n">
        <v>19</v>
      </c>
      <c r="U7" s="6" t="n">
        <v>20</v>
      </c>
      <c r="V7" s="6" t="n">
        <v>21</v>
      </c>
      <c r="W7" s="6" t="n">
        <v>22</v>
      </c>
      <c r="X7" s="6" t="n">
        <v>23</v>
      </c>
      <c r="Y7" s="6" t="n">
        <v>24</v>
      </c>
      <c r="Z7" s="6" t="n">
        <v>25</v>
      </c>
      <c r="AA7" s="6" t="n">
        <v>26</v>
      </c>
      <c r="AB7" s="6" t="n">
        <v>27</v>
      </c>
      <c r="AC7" s="6" t="n">
        <v>28</v>
      </c>
      <c r="AD7" s="6" t="n">
        <v>29</v>
      </c>
      <c r="AE7" s="6" t="n">
        <v>30</v>
      </c>
      <c r="AF7" s="6" t="n">
        <v>31</v>
      </c>
      <c r="AG7" s="6" t="n">
        <v>32</v>
      </c>
      <c r="AH7" s="6" t="n">
        <v>33</v>
      </c>
      <c r="AI7" s="6" t="n">
        <v>34</v>
      </c>
      <c r="AJ7" s="6" t="n">
        <v>35</v>
      </c>
      <c r="AK7" s="6" t="n">
        <v>36</v>
      </c>
      <c r="AL7" s="6" t="n">
        <v>37</v>
      </c>
      <c r="AM7" s="6" t="n">
        <v>38</v>
      </c>
      <c r="AN7" s="6" t="n">
        <v>39</v>
      </c>
      <c r="AO7" s="6" t="n">
        <v>40</v>
      </c>
      <c r="AP7" s="6" t="n">
        <v>41</v>
      </c>
      <c r="AQ7" s="6" t="n">
        <v>42</v>
      </c>
      <c r="AR7" s="6" t="n">
        <v>43</v>
      </c>
      <c r="AS7" s="6" t="n">
        <v>44</v>
      </c>
      <c r="AT7" s="6" t="n">
        <v>45</v>
      </c>
      <c r="AU7" s="6" t="n">
        <v>46</v>
      </c>
      <c r="AV7" s="6" t="n">
        <v>47</v>
      </c>
      <c r="AW7" s="6" t="n">
        <v>48</v>
      </c>
      <c r="AX7" s="6" t="n">
        <v>49</v>
      </c>
      <c r="AY7" s="6" t="n">
        <v>50</v>
      </c>
      <c r="AZ7" s="6" t="n">
        <v>51</v>
      </c>
      <c r="BA7" s="6" t="n">
        <v>52</v>
      </c>
      <c r="BB7" s="6" t="n">
        <v>53</v>
      </c>
      <c r="BD7" s="5" t="inlineStr">
        <is>
          <t>№ активной недели</t>
        </is>
      </c>
      <c r="BE7" s="5" t="inlineStr">
        <is>
          <t>Период</t>
        </is>
      </c>
    </row>
    <row r="8">
      <c r="A8" s="5" t="inlineStr">
        <is>
          <t>Период</t>
        </is>
      </c>
      <c r="B8" s="6" t="inlineStr">
        <is>
          <t>01.01 — 07.01</t>
        </is>
      </c>
      <c r="C8" s="6" t="inlineStr">
        <is>
          <t>08.01 — 14.01</t>
        </is>
      </c>
      <c r="D8" s="6" t="inlineStr">
        <is>
          <t>15.01 — 21.01</t>
        </is>
      </c>
      <c r="E8" s="6" t="inlineStr">
        <is>
          <t>22.01 — 28.01</t>
        </is>
      </c>
      <c r="F8" s="6" t="inlineStr">
        <is>
          <t>29.01 — 04.02</t>
        </is>
      </c>
      <c r="G8" s="6" t="inlineStr">
        <is>
          <t>05.02 — 11.02</t>
        </is>
      </c>
      <c r="H8" s="6" t="inlineStr">
        <is>
          <t>12.02 — 18.02</t>
        </is>
      </c>
      <c r="I8" s="6" t="inlineStr">
        <is>
          <t>19.02 — 25.02</t>
        </is>
      </c>
      <c r="J8" s="6" t="inlineStr">
        <is>
          <t>26.02 — 04.03</t>
        </is>
      </c>
      <c r="K8" s="6" t="inlineStr">
        <is>
          <t>05.03 — 11.03</t>
        </is>
      </c>
      <c r="L8" s="6" t="inlineStr">
        <is>
          <t>12.03 — 18.03</t>
        </is>
      </c>
      <c r="M8" s="6" t="inlineStr">
        <is>
          <t>19.03 — 25.03</t>
        </is>
      </c>
      <c r="N8" s="6" t="inlineStr">
        <is>
          <t>26.03 — 01.04</t>
        </is>
      </c>
      <c r="O8" s="6" t="inlineStr">
        <is>
          <t>02.04 — 08.04</t>
        </is>
      </c>
      <c r="P8" s="6" t="inlineStr">
        <is>
          <t>09.04 — 15.04</t>
        </is>
      </c>
      <c r="Q8" s="6" t="inlineStr">
        <is>
          <t>16.04 — 22.04</t>
        </is>
      </c>
      <c r="R8" s="6" t="inlineStr">
        <is>
          <t>23.04 — 29.04</t>
        </is>
      </c>
      <c r="S8" s="6" t="inlineStr">
        <is>
          <t>30.04 — 06.05</t>
        </is>
      </c>
      <c r="T8" s="6" t="inlineStr">
        <is>
          <t>07.05 — 13.05</t>
        </is>
      </c>
      <c r="U8" s="6" t="inlineStr">
        <is>
          <t>14.05 — 20.05</t>
        </is>
      </c>
      <c r="V8" s="6" t="inlineStr">
        <is>
          <t>21.05 — 27.05</t>
        </is>
      </c>
      <c r="W8" s="6" t="inlineStr">
        <is>
          <t>28.05 — 03.06</t>
        </is>
      </c>
      <c r="X8" s="6" t="inlineStr">
        <is>
          <t>04.06 — 10.06</t>
        </is>
      </c>
      <c r="Y8" s="6" t="inlineStr">
        <is>
          <t>11.06 — 17.06</t>
        </is>
      </c>
      <c r="Z8" s="6" t="inlineStr">
        <is>
          <t>18.06 — 24.06</t>
        </is>
      </c>
      <c r="AA8" s="6" t="inlineStr">
        <is>
          <t>25.06 — 01.07</t>
        </is>
      </c>
      <c r="AB8" s="6" t="inlineStr">
        <is>
          <t>02.07 — 08.07</t>
        </is>
      </c>
      <c r="AC8" s="6" t="inlineStr">
        <is>
          <t>09.07 — 15.07</t>
        </is>
      </c>
      <c r="AD8" s="6" t="inlineStr">
        <is>
          <t>16.07 — 22.07</t>
        </is>
      </c>
      <c r="AE8" s="6" t="inlineStr">
        <is>
          <t>23.07 — 29.07</t>
        </is>
      </c>
      <c r="AF8" s="6" t="inlineStr">
        <is>
          <t>30.07 — 05.08</t>
        </is>
      </c>
      <c r="AG8" s="6" t="inlineStr">
        <is>
          <t>06.08 — 12.08</t>
        </is>
      </c>
      <c r="AH8" s="6" t="inlineStr">
        <is>
          <t>13.08 — 19.08</t>
        </is>
      </c>
      <c r="AI8" s="6" t="inlineStr">
        <is>
          <t>20.08 — 26.08</t>
        </is>
      </c>
      <c r="AJ8" s="6" t="inlineStr">
        <is>
          <t>27.08 — 02.09</t>
        </is>
      </c>
      <c r="AK8" s="6" t="inlineStr">
        <is>
          <t>03.09 — 09.09</t>
        </is>
      </c>
      <c r="AL8" s="6" t="inlineStr">
        <is>
          <t>10.09 — 16.09</t>
        </is>
      </c>
      <c r="AM8" s="6" t="inlineStr">
        <is>
          <t>17.09 — 23.09</t>
        </is>
      </c>
      <c r="AN8" s="6" t="inlineStr">
        <is>
          <t>24.09 — 30.09</t>
        </is>
      </c>
      <c r="AO8" s="6" t="inlineStr">
        <is>
          <t>01.10 — 07.10</t>
        </is>
      </c>
      <c r="AP8" s="6" t="inlineStr">
        <is>
          <t>08.10 — 14.10</t>
        </is>
      </c>
      <c r="AQ8" s="6" t="inlineStr">
        <is>
          <t>15.10 — 21.10</t>
        </is>
      </c>
      <c r="AR8" s="6" t="inlineStr">
        <is>
          <t>22.10 — 28.10</t>
        </is>
      </c>
      <c r="AS8" s="6" t="inlineStr">
        <is>
          <t>29.10 — 04.11</t>
        </is>
      </c>
      <c r="AT8" s="6" t="inlineStr">
        <is>
          <t>05.11 — 11.11</t>
        </is>
      </c>
      <c r="AU8" s="6" t="inlineStr">
        <is>
          <t>12.11 — 18.11</t>
        </is>
      </c>
      <c r="AV8" s="6" t="inlineStr">
        <is>
          <t>19.11 — 25.11</t>
        </is>
      </c>
      <c r="AW8" s="6" t="inlineStr">
        <is>
          <t>26.11 — 02.12</t>
        </is>
      </c>
      <c r="AX8" s="6" t="inlineStr">
        <is>
          <t>03.12 — 09.12</t>
        </is>
      </c>
      <c r="AY8" s="6" t="inlineStr">
        <is>
          <t>10.12 — 16.12</t>
        </is>
      </c>
      <c r="AZ8" s="6" t="inlineStr">
        <is>
          <t>17.12 — 23.12</t>
        </is>
      </c>
      <c r="BA8" s="6" t="inlineStr">
        <is>
          <t>24.12 — 30.12</t>
        </is>
      </c>
      <c r="BB8" s="6" t="inlineStr">
        <is>
          <t>31.12 — 06.01</t>
        </is>
      </c>
      <c r="BD8" s="7">
        <f>IFERROR(MATCH($B$4,Нед_Начало,1),MATCH($B$4,Нед_Конец,1))</f>
        <v/>
      </c>
      <c r="BE8" s="7">
        <f>TEXT(INDEX(Нед_Начало,$BD$8),"dd.mm.yyyy")&amp;" — "&amp;TEXT(INDEX(Нед_Конец,$BD$8),"dd.mm.yyyy")</f>
        <v/>
      </c>
    </row>
    <row r="9">
      <c r="A9" s="5" t="inlineStr">
        <is>
          <t>Рабочих дней</t>
        </is>
      </c>
      <c r="B9" s="7">
        <f>INDEX(Нед_Раб,1)</f>
        <v/>
      </c>
      <c r="C9" s="7">
        <f>INDEX(Нед_Раб,2)</f>
        <v/>
      </c>
      <c r="D9" s="7">
        <f>INDEX(Нед_Раб,3)</f>
        <v/>
      </c>
      <c r="E9" s="7">
        <f>INDEX(Нед_Раб,4)</f>
        <v/>
      </c>
      <c r="F9" s="7">
        <f>INDEX(Нед_Раб,5)</f>
        <v/>
      </c>
      <c r="G9" s="7">
        <f>INDEX(Нед_Раб,6)</f>
        <v/>
      </c>
      <c r="H9" s="7">
        <f>INDEX(Нед_Раб,7)</f>
        <v/>
      </c>
      <c r="I9" s="7">
        <f>INDEX(Нед_Раб,8)</f>
        <v/>
      </c>
      <c r="J9" s="7">
        <f>INDEX(Нед_Раб,9)</f>
        <v/>
      </c>
      <c r="K9" s="7">
        <f>INDEX(Нед_Раб,10)</f>
        <v/>
      </c>
      <c r="L9" s="7">
        <f>INDEX(Нед_Раб,11)</f>
        <v/>
      </c>
      <c r="M9" s="7">
        <f>INDEX(Нед_Раб,12)</f>
        <v/>
      </c>
      <c r="N9" s="7">
        <f>INDEX(Нед_Раб,13)</f>
        <v/>
      </c>
      <c r="O9" s="7">
        <f>INDEX(Нед_Раб,14)</f>
        <v/>
      </c>
      <c r="P9" s="7">
        <f>INDEX(Нед_Раб,15)</f>
        <v/>
      </c>
      <c r="Q9" s="7">
        <f>INDEX(Нед_Раб,16)</f>
        <v/>
      </c>
      <c r="R9" s="7">
        <f>INDEX(Нед_Раб,17)</f>
        <v/>
      </c>
      <c r="S9" s="7">
        <f>INDEX(Нед_Раб,18)</f>
        <v/>
      </c>
      <c r="T9" s="7">
        <f>INDEX(Нед_Раб,19)</f>
        <v/>
      </c>
      <c r="U9" s="7">
        <f>INDEX(Нед_Раб,20)</f>
        <v/>
      </c>
      <c r="V9" s="7">
        <f>INDEX(Нед_Раб,21)</f>
        <v/>
      </c>
      <c r="W9" s="7">
        <f>INDEX(Нед_Раб,22)</f>
        <v/>
      </c>
      <c r="X9" s="7">
        <f>INDEX(Нед_Раб,23)</f>
        <v/>
      </c>
      <c r="Y9" s="7">
        <f>INDEX(Нед_Раб,24)</f>
        <v/>
      </c>
      <c r="Z9" s="7">
        <f>INDEX(Нед_Раб,25)</f>
        <v/>
      </c>
      <c r="AA9" s="7">
        <f>INDEX(Нед_Раб,26)</f>
        <v/>
      </c>
      <c r="AB9" s="7">
        <f>INDEX(Нед_Раб,27)</f>
        <v/>
      </c>
      <c r="AC9" s="7">
        <f>INDEX(Нед_Раб,28)</f>
        <v/>
      </c>
      <c r="AD9" s="7">
        <f>INDEX(Нед_Раб,29)</f>
        <v/>
      </c>
      <c r="AE9" s="7">
        <f>INDEX(Нед_Раб,30)</f>
        <v/>
      </c>
      <c r="AF9" s="7">
        <f>INDEX(Нед_Раб,31)</f>
        <v/>
      </c>
      <c r="AG9" s="7">
        <f>INDEX(Нед_Раб,32)</f>
        <v/>
      </c>
      <c r="AH9" s="7">
        <f>INDEX(Нед_Раб,33)</f>
        <v/>
      </c>
      <c r="AI9" s="7">
        <f>INDEX(Нед_Раб,34)</f>
        <v/>
      </c>
      <c r="AJ9" s="7">
        <f>INDEX(Нед_Раб,35)</f>
        <v/>
      </c>
      <c r="AK9" s="7">
        <f>INDEX(Нед_Раб,36)</f>
        <v/>
      </c>
      <c r="AL9" s="7">
        <f>INDEX(Нед_Раб,37)</f>
        <v/>
      </c>
      <c r="AM9" s="7">
        <f>INDEX(Нед_Раб,38)</f>
        <v/>
      </c>
      <c r="AN9" s="7">
        <f>INDEX(Нед_Раб,39)</f>
        <v/>
      </c>
      <c r="AO9" s="7">
        <f>INDEX(Нед_Раб,40)</f>
        <v/>
      </c>
      <c r="AP9" s="7">
        <f>INDEX(Нед_Раб,41)</f>
        <v/>
      </c>
      <c r="AQ9" s="7">
        <f>INDEX(Нед_Раб,42)</f>
        <v/>
      </c>
      <c r="AR9" s="7">
        <f>INDEX(Нед_Раб,43)</f>
        <v/>
      </c>
      <c r="AS9" s="7">
        <f>INDEX(Нед_Раб,44)</f>
        <v/>
      </c>
      <c r="AT9" s="7">
        <f>INDEX(Нед_Раб,45)</f>
        <v/>
      </c>
      <c r="AU9" s="7">
        <f>INDEX(Нед_Раб,46)</f>
        <v/>
      </c>
      <c r="AV9" s="7">
        <f>INDEX(Нед_Раб,47)</f>
        <v/>
      </c>
      <c r="AW9" s="7">
        <f>INDEX(Нед_Раб,48)</f>
        <v/>
      </c>
      <c r="AX9" s="7">
        <f>INDEX(Нед_Раб,49)</f>
        <v/>
      </c>
      <c r="AY9" s="7">
        <f>INDEX(Нед_Раб,50)</f>
        <v/>
      </c>
      <c r="AZ9" s="7">
        <f>INDEX(Нед_Раб,51)</f>
        <v/>
      </c>
      <c r="BA9" s="7">
        <f>INDEX(Нед_Раб,52)</f>
        <v/>
      </c>
      <c r="BB9" s="7">
        <f>INDEX(Нед_Раб,53)</f>
        <v/>
      </c>
    </row>
    <row r="10">
      <c r="A10" s="8" t="inlineStr">
        <is>
          <t>Иванов</t>
        </is>
      </c>
      <c r="B10" s="9">
        <f>'Расчёт'!D4460</f>
        <v/>
      </c>
      <c r="C10" s="9">
        <f>'Расчёт'!D4461</f>
        <v/>
      </c>
      <c r="D10" s="9">
        <f>'Расчёт'!D4462</f>
        <v/>
      </c>
      <c r="E10" s="9">
        <f>'Расчёт'!D4463</f>
        <v/>
      </c>
      <c r="F10" s="9">
        <f>'Расчёт'!D4464</f>
        <v/>
      </c>
      <c r="G10" s="9">
        <f>'Расчёт'!D4465</f>
        <v/>
      </c>
      <c r="H10" s="9">
        <f>'Расчёт'!D4466</f>
        <v/>
      </c>
      <c r="I10" s="9">
        <f>'Расчёт'!D4467</f>
        <v/>
      </c>
      <c r="J10" s="9">
        <f>'Расчёт'!D4468</f>
        <v/>
      </c>
      <c r="K10" s="9">
        <f>'Расчёт'!D4469</f>
        <v/>
      </c>
      <c r="L10" s="9">
        <f>'Расчёт'!D4470</f>
        <v/>
      </c>
      <c r="M10" s="9">
        <f>'Расчёт'!D4471</f>
        <v/>
      </c>
      <c r="N10" s="9">
        <f>'Расчёт'!D4472</f>
        <v/>
      </c>
      <c r="O10" s="9">
        <f>'Расчёт'!D4473</f>
        <v/>
      </c>
      <c r="P10" s="9">
        <f>'Расчёт'!D4474</f>
        <v/>
      </c>
      <c r="Q10" s="9">
        <f>'Расчёт'!D4475</f>
        <v/>
      </c>
      <c r="R10" s="9">
        <f>'Расчёт'!D4476</f>
        <v/>
      </c>
      <c r="S10" s="9">
        <f>'Расчёт'!D4477</f>
        <v/>
      </c>
      <c r="T10" s="9">
        <f>'Расчёт'!D4478</f>
        <v/>
      </c>
      <c r="U10" s="9">
        <f>'Расчёт'!D4479</f>
        <v/>
      </c>
      <c r="V10" s="9">
        <f>'Расчёт'!D4480</f>
        <v/>
      </c>
      <c r="W10" s="9">
        <f>'Расчёт'!D4481</f>
        <v/>
      </c>
      <c r="X10" s="9">
        <f>'Расчёт'!D4482</f>
        <v/>
      </c>
      <c r="Y10" s="9">
        <f>'Расчёт'!D4483</f>
        <v/>
      </c>
      <c r="Z10" s="9">
        <f>'Расчёт'!D4484</f>
        <v/>
      </c>
      <c r="AA10" s="9">
        <f>'Расчёт'!D4485</f>
        <v/>
      </c>
      <c r="AB10" s="9">
        <f>'Расчёт'!D4486</f>
        <v/>
      </c>
      <c r="AC10" s="9">
        <f>'Расчёт'!D4487</f>
        <v/>
      </c>
      <c r="AD10" s="9">
        <f>'Расчёт'!D4488</f>
        <v/>
      </c>
      <c r="AE10" s="9">
        <f>'Расчёт'!D4489</f>
        <v/>
      </c>
      <c r="AF10" s="9">
        <f>'Расчёт'!D4490</f>
        <v/>
      </c>
      <c r="AG10" s="9">
        <f>'Расчёт'!D4491</f>
        <v/>
      </c>
      <c r="AH10" s="9">
        <f>'Расчёт'!D4492</f>
        <v/>
      </c>
      <c r="AI10" s="9">
        <f>'Расчёт'!D4493</f>
        <v/>
      </c>
      <c r="AJ10" s="9">
        <f>'Расчёт'!D4494</f>
        <v/>
      </c>
      <c r="AK10" s="9">
        <f>'Расчёт'!D4495</f>
        <v/>
      </c>
      <c r="AL10" s="9">
        <f>'Расчёт'!D4496</f>
        <v/>
      </c>
      <c r="AM10" s="9">
        <f>'Расчёт'!D4497</f>
        <v/>
      </c>
      <c r="AN10" s="9">
        <f>'Расчёт'!D4498</f>
        <v/>
      </c>
      <c r="AO10" s="9">
        <f>'Расчёт'!D4499</f>
        <v/>
      </c>
      <c r="AP10" s="9">
        <f>'Расчёт'!D4500</f>
        <v/>
      </c>
      <c r="AQ10" s="9">
        <f>'Расчёт'!D4501</f>
        <v/>
      </c>
      <c r="AR10" s="9">
        <f>'Расчёт'!D4502</f>
        <v/>
      </c>
      <c r="AS10" s="9">
        <f>'Расчёт'!D4503</f>
        <v/>
      </c>
      <c r="AT10" s="9">
        <f>'Расчёт'!D4504</f>
        <v/>
      </c>
      <c r="AU10" s="9">
        <f>'Расчёт'!D4505</f>
        <v/>
      </c>
      <c r="AV10" s="9">
        <f>'Расчёт'!D4506</f>
        <v/>
      </c>
      <c r="AW10" s="9">
        <f>'Расчёт'!D4507</f>
        <v/>
      </c>
      <c r="AX10" s="9">
        <f>'Расчёт'!D4508</f>
        <v/>
      </c>
      <c r="AY10" s="9">
        <f>'Расчёт'!D4509</f>
        <v/>
      </c>
      <c r="AZ10" s="9">
        <f>'Расчёт'!D4510</f>
        <v/>
      </c>
      <c r="BA10" s="9">
        <f>'Расчёт'!D4511</f>
        <v/>
      </c>
      <c r="BB10" s="9">
        <f>'Расчёт'!D4512</f>
        <v/>
      </c>
      <c r="BD10" s="5" t="inlineStr">
        <is>
          <t>Менеджер</t>
        </is>
      </c>
      <c r="BE10" s="5" t="inlineStr">
        <is>
          <t>План на активную неделю</t>
        </is>
      </c>
    </row>
    <row r="11">
      <c r="A11" s="8" t="inlineStr">
        <is>
          <t>Петрова</t>
        </is>
      </c>
      <c r="B11" s="9">
        <f>'Расчёт'!D4513</f>
        <v/>
      </c>
      <c r="C11" s="9">
        <f>'Расчёт'!D4514</f>
        <v/>
      </c>
      <c r="D11" s="9">
        <f>'Расчёт'!D4515</f>
        <v/>
      </c>
      <c r="E11" s="9">
        <f>'Расчёт'!D4516</f>
        <v/>
      </c>
      <c r="F11" s="9">
        <f>'Расчёт'!D4517</f>
        <v/>
      </c>
      <c r="G11" s="9">
        <f>'Расчёт'!D4518</f>
        <v/>
      </c>
      <c r="H11" s="9">
        <f>'Расчёт'!D4519</f>
        <v/>
      </c>
      <c r="I11" s="9">
        <f>'Расчёт'!D4520</f>
        <v/>
      </c>
      <c r="J11" s="9">
        <f>'Расчёт'!D4521</f>
        <v/>
      </c>
      <c r="K11" s="9">
        <f>'Расчёт'!D4522</f>
        <v/>
      </c>
      <c r="L11" s="9">
        <f>'Расчёт'!D4523</f>
        <v/>
      </c>
      <c r="M11" s="9">
        <f>'Расчёт'!D4524</f>
        <v/>
      </c>
      <c r="N11" s="9">
        <f>'Расчёт'!D4525</f>
        <v/>
      </c>
      <c r="O11" s="9">
        <f>'Расчёт'!D4526</f>
        <v/>
      </c>
      <c r="P11" s="9">
        <f>'Расчёт'!D4527</f>
        <v/>
      </c>
      <c r="Q11" s="9">
        <f>'Расчёт'!D4528</f>
        <v/>
      </c>
      <c r="R11" s="9">
        <f>'Расчёт'!D4529</f>
        <v/>
      </c>
      <c r="S11" s="9">
        <f>'Расчёт'!D4530</f>
        <v/>
      </c>
      <c r="T11" s="9">
        <f>'Расчёт'!D4531</f>
        <v/>
      </c>
      <c r="U11" s="9">
        <f>'Расчёт'!D4532</f>
        <v/>
      </c>
      <c r="V11" s="9">
        <f>'Расчёт'!D4533</f>
        <v/>
      </c>
      <c r="W11" s="9">
        <f>'Расчёт'!D4534</f>
        <v/>
      </c>
      <c r="X11" s="9">
        <f>'Расчёт'!D4535</f>
        <v/>
      </c>
      <c r="Y11" s="9">
        <f>'Расчёт'!D4536</f>
        <v/>
      </c>
      <c r="Z11" s="9">
        <f>'Расчёт'!D4537</f>
        <v/>
      </c>
      <c r="AA11" s="9">
        <f>'Расчёт'!D4538</f>
        <v/>
      </c>
      <c r="AB11" s="9">
        <f>'Расчёт'!D4539</f>
        <v/>
      </c>
      <c r="AC11" s="9">
        <f>'Расчёт'!D4540</f>
        <v/>
      </c>
      <c r="AD11" s="9">
        <f>'Расчёт'!D4541</f>
        <v/>
      </c>
      <c r="AE11" s="9">
        <f>'Расчёт'!D4542</f>
        <v/>
      </c>
      <c r="AF11" s="9">
        <f>'Расчёт'!D4543</f>
        <v/>
      </c>
      <c r="AG11" s="9">
        <f>'Расчёт'!D4544</f>
        <v/>
      </c>
      <c r="AH11" s="9">
        <f>'Расчёт'!D4545</f>
        <v/>
      </c>
      <c r="AI11" s="9">
        <f>'Расчёт'!D4546</f>
        <v/>
      </c>
      <c r="AJ11" s="9">
        <f>'Расчёт'!D4547</f>
        <v/>
      </c>
      <c r="AK11" s="9">
        <f>'Расчёт'!D4548</f>
        <v/>
      </c>
      <c r="AL11" s="9">
        <f>'Расчёт'!D4549</f>
        <v/>
      </c>
      <c r="AM11" s="9">
        <f>'Расчёт'!D4550</f>
        <v/>
      </c>
      <c r="AN11" s="9">
        <f>'Расчёт'!D4551</f>
        <v/>
      </c>
      <c r="AO11" s="9">
        <f>'Расчёт'!D4552</f>
        <v/>
      </c>
      <c r="AP11" s="9">
        <f>'Расчёт'!D4553</f>
        <v/>
      </c>
      <c r="AQ11" s="9">
        <f>'Расчёт'!D4554</f>
        <v/>
      </c>
      <c r="AR11" s="9">
        <f>'Расчёт'!D4555</f>
        <v/>
      </c>
      <c r="AS11" s="9">
        <f>'Расчёт'!D4556</f>
        <v/>
      </c>
      <c r="AT11" s="9">
        <f>'Расчёт'!D4557</f>
        <v/>
      </c>
      <c r="AU11" s="9">
        <f>'Расчёт'!D4558</f>
        <v/>
      </c>
      <c r="AV11" s="9">
        <f>'Расчёт'!D4559</f>
        <v/>
      </c>
      <c r="AW11" s="9">
        <f>'Расчёт'!D4560</f>
        <v/>
      </c>
      <c r="AX11" s="9">
        <f>'Расчёт'!D4561</f>
        <v/>
      </c>
      <c r="AY11" s="9">
        <f>'Расчёт'!D4562</f>
        <v/>
      </c>
      <c r="AZ11" s="9">
        <f>'Расчёт'!D4563</f>
        <v/>
      </c>
      <c r="BA11" s="9">
        <f>'Расчёт'!D4564</f>
        <v/>
      </c>
      <c r="BB11" s="9">
        <f>'Расчёт'!D4565</f>
        <v/>
      </c>
      <c r="BD11" s="8" t="inlineStr">
        <is>
          <t>Иванов</t>
        </is>
      </c>
      <c r="BE11" s="10">
        <f>INDEX('Расчёт'!$D$4460:$D$4512,$BD$8)</f>
        <v/>
      </c>
    </row>
    <row r="12">
      <c r="A12" s="8" t="inlineStr">
        <is>
          <t>Сидоров</t>
        </is>
      </c>
      <c r="B12" s="9">
        <f>'Расчёт'!D4566</f>
        <v/>
      </c>
      <c r="C12" s="9">
        <f>'Расчёт'!D4567</f>
        <v/>
      </c>
      <c r="D12" s="9">
        <f>'Расчёт'!D4568</f>
        <v/>
      </c>
      <c r="E12" s="9">
        <f>'Расчёт'!D4569</f>
        <v/>
      </c>
      <c r="F12" s="9">
        <f>'Расчёт'!D4570</f>
        <v/>
      </c>
      <c r="G12" s="9">
        <f>'Расчёт'!D4571</f>
        <v/>
      </c>
      <c r="H12" s="9">
        <f>'Расчёт'!D4572</f>
        <v/>
      </c>
      <c r="I12" s="9">
        <f>'Расчёт'!D4573</f>
        <v/>
      </c>
      <c r="J12" s="9">
        <f>'Расчёт'!D4574</f>
        <v/>
      </c>
      <c r="K12" s="9">
        <f>'Расчёт'!D4575</f>
        <v/>
      </c>
      <c r="L12" s="9">
        <f>'Расчёт'!D4576</f>
        <v/>
      </c>
      <c r="M12" s="9">
        <f>'Расчёт'!D4577</f>
        <v/>
      </c>
      <c r="N12" s="9">
        <f>'Расчёт'!D4578</f>
        <v/>
      </c>
      <c r="O12" s="9">
        <f>'Расчёт'!D4579</f>
        <v/>
      </c>
      <c r="P12" s="9">
        <f>'Расчёт'!D4580</f>
        <v/>
      </c>
      <c r="Q12" s="9">
        <f>'Расчёт'!D4581</f>
        <v/>
      </c>
      <c r="R12" s="9">
        <f>'Расчёт'!D4582</f>
        <v/>
      </c>
      <c r="S12" s="9">
        <f>'Расчёт'!D4583</f>
        <v/>
      </c>
      <c r="T12" s="9">
        <f>'Расчёт'!D4584</f>
        <v/>
      </c>
      <c r="U12" s="9">
        <f>'Расчёт'!D4585</f>
        <v/>
      </c>
      <c r="V12" s="9">
        <f>'Расчёт'!D4586</f>
        <v/>
      </c>
      <c r="W12" s="9">
        <f>'Расчёт'!D4587</f>
        <v/>
      </c>
      <c r="X12" s="9">
        <f>'Расчёт'!D4588</f>
        <v/>
      </c>
      <c r="Y12" s="9">
        <f>'Расчёт'!D4589</f>
        <v/>
      </c>
      <c r="Z12" s="9">
        <f>'Расчёт'!D4590</f>
        <v/>
      </c>
      <c r="AA12" s="9">
        <f>'Расчёт'!D4591</f>
        <v/>
      </c>
      <c r="AB12" s="9">
        <f>'Расчёт'!D4592</f>
        <v/>
      </c>
      <c r="AC12" s="9">
        <f>'Расчёт'!D4593</f>
        <v/>
      </c>
      <c r="AD12" s="9">
        <f>'Расчёт'!D4594</f>
        <v/>
      </c>
      <c r="AE12" s="9">
        <f>'Расчёт'!D4595</f>
        <v/>
      </c>
      <c r="AF12" s="9">
        <f>'Расчёт'!D4596</f>
        <v/>
      </c>
      <c r="AG12" s="9">
        <f>'Расчёт'!D4597</f>
        <v/>
      </c>
      <c r="AH12" s="9">
        <f>'Расчёт'!D4598</f>
        <v/>
      </c>
      <c r="AI12" s="9">
        <f>'Расчёт'!D4599</f>
        <v/>
      </c>
      <c r="AJ12" s="9">
        <f>'Расчёт'!D4600</f>
        <v/>
      </c>
      <c r="AK12" s="9">
        <f>'Расчёт'!D4601</f>
        <v/>
      </c>
      <c r="AL12" s="9">
        <f>'Расчёт'!D4602</f>
        <v/>
      </c>
      <c r="AM12" s="9">
        <f>'Расчёт'!D4603</f>
        <v/>
      </c>
      <c r="AN12" s="9">
        <f>'Расчёт'!D4604</f>
        <v/>
      </c>
      <c r="AO12" s="9">
        <f>'Расчёт'!D4605</f>
        <v/>
      </c>
      <c r="AP12" s="9">
        <f>'Расчёт'!D4606</f>
        <v/>
      </c>
      <c r="AQ12" s="9">
        <f>'Расчёт'!D4607</f>
        <v/>
      </c>
      <c r="AR12" s="9">
        <f>'Расчёт'!D4608</f>
        <v/>
      </c>
      <c r="AS12" s="9">
        <f>'Расчёт'!D4609</f>
        <v/>
      </c>
      <c r="AT12" s="9">
        <f>'Расчёт'!D4610</f>
        <v/>
      </c>
      <c r="AU12" s="9">
        <f>'Расчёт'!D4611</f>
        <v/>
      </c>
      <c r="AV12" s="9">
        <f>'Расчёт'!D4612</f>
        <v/>
      </c>
      <c r="AW12" s="9">
        <f>'Расчёт'!D4613</f>
        <v/>
      </c>
      <c r="AX12" s="9">
        <f>'Расчёт'!D4614</f>
        <v/>
      </c>
      <c r="AY12" s="9">
        <f>'Расчёт'!D4615</f>
        <v/>
      </c>
      <c r="AZ12" s="9">
        <f>'Расчёт'!D4616</f>
        <v/>
      </c>
      <c r="BA12" s="9">
        <f>'Расчёт'!D4617</f>
        <v/>
      </c>
      <c r="BB12" s="9">
        <f>'Расчёт'!D4618</f>
        <v/>
      </c>
      <c r="BD12" s="8" t="inlineStr">
        <is>
          <t>Петрова</t>
        </is>
      </c>
      <c r="BE12" s="10">
        <f>INDEX('Расчёт'!$D$4513:$D$4565,$BD$8)</f>
        <v/>
      </c>
    </row>
    <row r="13">
      <c r="A13" s="8" t="inlineStr">
        <is>
          <t>Козлова</t>
        </is>
      </c>
      <c r="B13" s="9">
        <f>'Расчёт'!D4619</f>
        <v/>
      </c>
      <c r="C13" s="9">
        <f>'Расчёт'!D4620</f>
        <v/>
      </c>
      <c r="D13" s="9">
        <f>'Расчёт'!D4621</f>
        <v/>
      </c>
      <c r="E13" s="9">
        <f>'Расчёт'!D4622</f>
        <v/>
      </c>
      <c r="F13" s="9">
        <f>'Расчёт'!D4623</f>
        <v/>
      </c>
      <c r="G13" s="9">
        <f>'Расчёт'!D4624</f>
        <v/>
      </c>
      <c r="H13" s="9">
        <f>'Расчёт'!D4625</f>
        <v/>
      </c>
      <c r="I13" s="9">
        <f>'Расчёт'!D4626</f>
        <v/>
      </c>
      <c r="J13" s="9">
        <f>'Расчёт'!D4627</f>
        <v/>
      </c>
      <c r="K13" s="9">
        <f>'Расчёт'!D4628</f>
        <v/>
      </c>
      <c r="L13" s="9">
        <f>'Расчёт'!D4629</f>
        <v/>
      </c>
      <c r="M13" s="9">
        <f>'Расчёт'!D4630</f>
        <v/>
      </c>
      <c r="N13" s="9">
        <f>'Расчёт'!D4631</f>
        <v/>
      </c>
      <c r="O13" s="9">
        <f>'Расчёт'!D4632</f>
        <v/>
      </c>
      <c r="P13" s="9">
        <f>'Расчёт'!D4633</f>
        <v/>
      </c>
      <c r="Q13" s="9">
        <f>'Расчёт'!D4634</f>
        <v/>
      </c>
      <c r="R13" s="9">
        <f>'Расчёт'!D4635</f>
        <v/>
      </c>
      <c r="S13" s="9">
        <f>'Расчёт'!D4636</f>
        <v/>
      </c>
      <c r="T13" s="9">
        <f>'Расчёт'!D4637</f>
        <v/>
      </c>
      <c r="U13" s="9">
        <f>'Расчёт'!D4638</f>
        <v/>
      </c>
      <c r="V13" s="9">
        <f>'Расчёт'!D4639</f>
        <v/>
      </c>
      <c r="W13" s="9">
        <f>'Расчёт'!D4640</f>
        <v/>
      </c>
      <c r="X13" s="9">
        <f>'Расчёт'!D4641</f>
        <v/>
      </c>
      <c r="Y13" s="9">
        <f>'Расчёт'!D4642</f>
        <v/>
      </c>
      <c r="Z13" s="9">
        <f>'Расчёт'!D4643</f>
        <v/>
      </c>
      <c r="AA13" s="9">
        <f>'Расчёт'!D4644</f>
        <v/>
      </c>
      <c r="AB13" s="9">
        <f>'Расчёт'!D4645</f>
        <v/>
      </c>
      <c r="AC13" s="9">
        <f>'Расчёт'!D4646</f>
        <v/>
      </c>
      <c r="AD13" s="9">
        <f>'Расчёт'!D4647</f>
        <v/>
      </c>
      <c r="AE13" s="9">
        <f>'Расчёт'!D4648</f>
        <v/>
      </c>
      <c r="AF13" s="9">
        <f>'Расчёт'!D4649</f>
        <v/>
      </c>
      <c r="AG13" s="9">
        <f>'Расчёт'!D4650</f>
        <v/>
      </c>
      <c r="AH13" s="9">
        <f>'Расчёт'!D4651</f>
        <v/>
      </c>
      <c r="AI13" s="9">
        <f>'Расчёт'!D4652</f>
        <v/>
      </c>
      <c r="AJ13" s="9">
        <f>'Расчёт'!D4653</f>
        <v/>
      </c>
      <c r="AK13" s="9">
        <f>'Расчёт'!D4654</f>
        <v/>
      </c>
      <c r="AL13" s="9">
        <f>'Расчёт'!D4655</f>
        <v/>
      </c>
      <c r="AM13" s="9">
        <f>'Расчёт'!D4656</f>
        <v/>
      </c>
      <c r="AN13" s="9">
        <f>'Расчёт'!D4657</f>
        <v/>
      </c>
      <c r="AO13" s="9">
        <f>'Расчёт'!D4658</f>
        <v/>
      </c>
      <c r="AP13" s="9">
        <f>'Расчёт'!D4659</f>
        <v/>
      </c>
      <c r="AQ13" s="9">
        <f>'Расчёт'!D4660</f>
        <v/>
      </c>
      <c r="AR13" s="9">
        <f>'Расчёт'!D4661</f>
        <v/>
      </c>
      <c r="AS13" s="9">
        <f>'Расчёт'!D4662</f>
        <v/>
      </c>
      <c r="AT13" s="9">
        <f>'Расчёт'!D4663</f>
        <v/>
      </c>
      <c r="AU13" s="9">
        <f>'Расчёт'!D4664</f>
        <v/>
      </c>
      <c r="AV13" s="9">
        <f>'Расчёт'!D4665</f>
        <v/>
      </c>
      <c r="AW13" s="9">
        <f>'Расчёт'!D4666</f>
        <v/>
      </c>
      <c r="AX13" s="9">
        <f>'Расчёт'!D4667</f>
        <v/>
      </c>
      <c r="AY13" s="9">
        <f>'Расчёт'!D4668</f>
        <v/>
      </c>
      <c r="AZ13" s="9">
        <f>'Расчёт'!D4669</f>
        <v/>
      </c>
      <c r="BA13" s="9">
        <f>'Расчёт'!D4670</f>
        <v/>
      </c>
      <c r="BB13" s="9">
        <f>'Расчёт'!D4671</f>
        <v/>
      </c>
      <c r="BD13" s="8" t="inlineStr">
        <is>
          <t>Сидоров</t>
        </is>
      </c>
      <c r="BE13" s="10">
        <f>INDEX('Расчёт'!$D$4566:$D$4618,$BD$8)</f>
        <v/>
      </c>
    </row>
    <row r="14">
      <c r="A14" s="8" t="inlineStr">
        <is>
          <t>Новиков</t>
        </is>
      </c>
      <c r="B14" s="9">
        <f>'Расчёт'!D4672</f>
        <v/>
      </c>
      <c r="C14" s="9">
        <f>'Расчёт'!D4673</f>
        <v/>
      </c>
      <c r="D14" s="9">
        <f>'Расчёт'!D4674</f>
        <v/>
      </c>
      <c r="E14" s="9">
        <f>'Расчёт'!D4675</f>
        <v/>
      </c>
      <c r="F14" s="9">
        <f>'Расчёт'!D4676</f>
        <v/>
      </c>
      <c r="G14" s="9">
        <f>'Расчёт'!D4677</f>
        <v/>
      </c>
      <c r="H14" s="9">
        <f>'Расчёт'!D4678</f>
        <v/>
      </c>
      <c r="I14" s="9">
        <f>'Расчёт'!D4679</f>
        <v/>
      </c>
      <c r="J14" s="9">
        <f>'Расчёт'!D4680</f>
        <v/>
      </c>
      <c r="K14" s="9">
        <f>'Расчёт'!D4681</f>
        <v/>
      </c>
      <c r="L14" s="9">
        <f>'Расчёт'!D4682</f>
        <v/>
      </c>
      <c r="M14" s="9">
        <f>'Расчёт'!D4683</f>
        <v/>
      </c>
      <c r="N14" s="9">
        <f>'Расчёт'!D4684</f>
        <v/>
      </c>
      <c r="O14" s="9">
        <f>'Расчёт'!D4685</f>
        <v/>
      </c>
      <c r="P14" s="9">
        <f>'Расчёт'!D4686</f>
        <v/>
      </c>
      <c r="Q14" s="9">
        <f>'Расчёт'!D4687</f>
        <v/>
      </c>
      <c r="R14" s="9">
        <f>'Расчёт'!D4688</f>
        <v/>
      </c>
      <c r="S14" s="9">
        <f>'Расчёт'!D4689</f>
        <v/>
      </c>
      <c r="T14" s="9">
        <f>'Расчёт'!D4690</f>
        <v/>
      </c>
      <c r="U14" s="9">
        <f>'Расчёт'!D4691</f>
        <v/>
      </c>
      <c r="V14" s="9">
        <f>'Расчёт'!D4692</f>
        <v/>
      </c>
      <c r="W14" s="9">
        <f>'Расчёт'!D4693</f>
        <v/>
      </c>
      <c r="X14" s="9">
        <f>'Расчёт'!D4694</f>
        <v/>
      </c>
      <c r="Y14" s="9">
        <f>'Расчёт'!D4695</f>
        <v/>
      </c>
      <c r="Z14" s="9">
        <f>'Расчёт'!D4696</f>
        <v/>
      </c>
      <c r="AA14" s="9">
        <f>'Расчёт'!D4697</f>
        <v/>
      </c>
      <c r="AB14" s="9">
        <f>'Расчёт'!D4698</f>
        <v/>
      </c>
      <c r="AC14" s="9">
        <f>'Расчёт'!D4699</f>
        <v/>
      </c>
      <c r="AD14" s="9">
        <f>'Расчёт'!D4700</f>
        <v/>
      </c>
      <c r="AE14" s="9">
        <f>'Расчёт'!D4701</f>
        <v/>
      </c>
      <c r="AF14" s="9">
        <f>'Расчёт'!D4702</f>
        <v/>
      </c>
      <c r="AG14" s="9">
        <f>'Расчёт'!D4703</f>
        <v/>
      </c>
      <c r="AH14" s="9">
        <f>'Расчёт'!D4704</f>
        <v/>
      </c>
      <c r="AI14" s="9">
        <f>'Расчёт'!D4705</f>
        <v/>
      </c>
      <c r="AJ14" s="9">
        <f>'Расчёт'!D4706</f>
        <v/>
      </c>
      <c r="AK14" s="9">
        <f>'Расчёт'!D4707</f>
        <v/>
      </c>
      <c r="AL14" s="9">
        <f>'Расчёт'!D4708</f>
        <v/>
      </c>
      <c r="AM14" s="9">
        <f>'Расчёт'!D4709</f>
        <v/>
      </c>
      <c r="AN14" s="9">
        <f>'Расчёт'!D4710</f>
        <v/>
      </c>
      <c r="AO14" s="9">
        <f>'Расчёт'!D4711</f>
        <v/>
      </c>
      <c r="AP14" s="9">
        <f>'Расчёт'!D4712</f>
        <v/>
      </c>
      <c r="AQ14" s="9">
        <f>'Расчёт'!D4713</f>
        <v/>
      </c>
      <c r="AR14" s="9">
        <f>'Расчёт'!D4714</f>
        <v/>
      </c>
      <c r="AS14" s="9">
        <f>'Расчёт'!D4715</f>
        <v/>
      </c>
      <c r="AT14" s="9">
        <f>'Расчёт'!D4716</f>
        <v/>
      </c>
      <c r="AU14" s="9">
        <f>'Расчёт'!D4717</f>
        <v/>
      </c>
      <c r="AV14" s="9">
        <f>'Расчёт'!D4718</f>
        <v/>
      </c>
      <c r="AW14" s="9">
        <f>'Расчёт'!D4719</f>
        <v/>
      </c>
      <c r="AX14" s="9">
        <f>'Расчёт'!D4720</f>
        <v/>
      </c>
      <c r="AY14" s="9">
        <f>'Расчёт'!D4721</f>
        <v/>
      </c>
      <c r="AZ14" s="9">
        <f>'Расчёт'!D4722</f>
        <v/>
      </c>
      <c r="BA14" s="9">
        <f>'Расчёт'!D4723</f>
        <v/>
      </c>
      <c r="BB14" s="9">
        <f>'Расчёт'!D4724</f>
        <v/>
      </c>
      <c r="BD14" s="8" t="inlineStr">
        <is>
          <t>Козлова</t>
        </is>
      </c>
      <c r="BE14" s="10">
        <f>INDEX('Расчёт'!$D$4619:$D$4671,$BD$8)</f>
        <v/>
      </c>
    </row>
    <row r="15">
      <c r="A15" s="8" t="inlineStr">
        <is>
          <t>Морозова</t>
        </is>
      </c>
      <c r="B15" s="9">
        <f>'Расчёт'!D4725</f>
        <v/>
      </c>
      <c r="C15" s="9">
        <f>'Расчёт'!D4726</f>
        <v/>
      </c>
      <c r="D15" s="9">
        <f>'Расчёт'!D4727</f>
        <v/>
      </c>
      <c r="E15" s="9">
        <f>'Расчёт'!D4728</f>
        <v/>
      </c>
      <c r="F15" s="9">
        <f>'Расчёт'!D4729</f>
        <v/>
      </c>
      <c r="G15" s="9">
        <f>'Расчёт'!D4730</f>
        <v/>
      </c>
      <c r="H15" s="9">
        <f>'Расчёт'!D4731</f>
        <v/>
      </c>
      <c r="I15" s="9">
        <f>'Расчёт'!D4732</f>
        <v/>
      </c>
      <c r="J15" s="9">
        <f>'Расчёт'!D4733</f>
        <v/>
      </c>
      <c r="K15" s="9">
        <f>'Расчёт'!D4734</f>
        <v/>
      </c>
      <c r="L15" s="9">
        <f>'Расчёт'!D4735</f>
        <v/>
      </c>
      <c r="M15" s="9">
        <f>'Расчёт'!D4736</f>
        <v/>
      </c>
      <c r="N15" s="9">
        <f>'Расчёт'!D4737</f>
        <v/>
      </c>
      <c r="O15" s="9">
        <f>'Расчёт'!D4738</f>
        <v/>
      </c>
      <c r="P15" s="9">
        <f>'Расчёт'!D4739</f>
        <v/>
      </c>
      <c r="Q15" s="9">
        <f>'Расчёт'!D4740</f>
        <v/>
      </c>
      <c r="R15" s="9">
        <f>'Расчёт'!D4741</f>
        <v/>
      </c>
      <c r="S15" s="9">
        <f>'Расчёт'!D4742</f>
        <v/>
      </c>
      <c r="T15" s="9">
        <f>'Расчёт'!D4743</f>
        <v/>
      </c>
      <c r="U15" s="9">
        <f>'Расчёт'!D4744</f>
        <v/>
      </c>
      <c r="V15" s="9">
        <f>'Расчёт'!D4745</f>
        <v/>
      </c>
      <c r="W15" s="9">
        <f>'Расчёт'!D4746</f>
        <v/>
      </c>
      <c r="X15" s="9">
        <f>'Расчёт'!D4747</f>
        <v/>
      </c>
      <c r="Y15" s="9">
        <f>'Расчёт'!D4748</f>
        <v/>
      </c>
      <c r="Z15" s="9">
        <f>'Расчёт'!D4749</f>
        <v/>
      </c>
      <c r="AA15" s="9">
        <f>'Расчёт'!D4750</f>
        <v/>
      </c>
      <c r="AB15" s="9">
        <f>'Расчёт'!D4751</f>
        <v/>
      </c>
      <c r="AC15" s="9">
        <f>'Расчёт'!D4752</f>
        <v/>
      </c>
      <c r="AD15" s="9">
        <f>'Расчёт'!D4753</f>
        <v/>
      </c>
      <c r="AE15" s="9">
        <f>'Расчёт'!D4754</f>
        <v/>
      </c>
      <c r="AF15" s="9">
        <f>'Расчёт'!D4755</f>
        <v/>
      </c>
      <c r="AG15" s="9">
        <f>'Расчёт'!D4756</f>
        <v/>
      </c>
      <c r="AH15" s="9">
        <f>'Расчёт'!D4757</f>
        <v/>
      </c>
      <c r="AI15" s="9">
        <f>'Расчёт'!D4758</f>
        <v/>
      </c>
      <c r="AJ15" s="9">
        <f>'Расчёт'!D4759</f>
        <v/>
      </c>
      <c r="AK15" s="9">
        <f>'Расчёт'!D4760</f>
        <v/>
      </c>
      <c r="AL15" s="9">
        <f>'Расчёт'!D4761</f>
        <v/>
      </c>
      <c r="AM15" s="9">
        <f>'Расчёт'!D4762</f>
        <v/>
      </c>
      <c r="AN15" s="9">
        <f>'Расчёт'!D4763</f>
        <v/>
      </c>
      <c r="AO15" s="9">
        <f>'Расчёт'!D4764</f>
        <v/>
      </c>
      <c r="AP15" s="9">
        <f>'Расчёт'!D4765</f>
        <v/>
      </c>
      <c r="AQ15" s="9">
        <f>'Расчёт'!D4766</f>
        <v/>
      </c>
      <c r="AR15" s="9">
        <f>'Расчёт'!D4767</f>
        <v/>
      </c>
      <c r="AS15" s="9">
        <f>'Расчёт'!D4768</f>
        <v/>
      </c>
      <c r="AT15" s="9">
        <f>'Расчёт'!D4769</f>
        <v/>
      </c>
      <c r="AU15" s="9">
        <f>'Расчёт'!D4770</f>
        <v/>
      </c>
      <c r="AV15" s="9">
        <f>'Расчёт'!D4771</f>
        <v/>
      </c>
      <c r="AW15" s="9">
        <f>'Расчёт'!D4772</f>
        <v/>
      </c>
      <c r="AX15" s="9">
        <f>'Расчёт'!D4773</f>
        <v/>
      </c>
      <c r="AY15" s="9">
        <f>'Расчёт'!D4774</f>
        <v/>
      </c>
      <c r="AZ15" s="9">
        <f>'Расчёт'!D4775</f>
        <v/>
      </c>
      <c r="BA15" s="9">
        <f>'Расчёт'!D4776</f>
        <v/>
      </c>
      <c r="BB15" s="9">
        <f>'Расчёт'!D4777</f>
        <v/>
      </c>
      <c r="BD15" s="8" t="inlineStr">
        <is>
          <t>Новиков</t>
        </is>
      </c>
      <c r="BE15" s="10">
        <f>INDEX('Расчёт'!$D$4672:$D$4724,$BD$8)</f>
        <v/>
      </c>
    </row>
    <row r="16">
      <c r="A16" s="8" t="inlineStr">
        <is>
          <t>Волков</t>
        </is>
      </c>
      <c r="B16" s="9">
        <f>'Расчёт'!D4778</f>
        <v/>
      </c>
      <c r="C16" s="9">
        <f>'Расчёт'!D4779</f>
        <v/>
      </c>
      <c r="D16" s="9">
        <f>'Расчёт'!D4780</f>
        <v/>
      </c>
      <c r="E16" s="9">
        <f>'Расчёт'!D4781</f>
        <v/>
      </c>
      <c r="F16" s="9">
        <f>'Расчёт'!D4782</f>
        <v/>
      </c>
      <c r="G16" s="9">
        <f>'Расчёт'!D4783</f>
        <v/>
      </c>
      <c r="H16" s="9">
        <f>'Расчёт'!D4784</f>
        <v/>
      </c>
      <c r="I16" s="9">
        <f>'Расчёт'!D4785</f>
        <v/>
      </c>
      <c r="J16" s="9">
        <f>'Расчёт'!D4786</f>
        <v/>
      </c>
      <c r="K16" s="9">
        <f>'Расчёт'!D4787</f>
        <v/>
      </c>
      <c r="L16" s="9">
        <f>'Расчёт'!D4788</f>
        <v/>
      </c>
      <c r="M16" s="9">
        <f>'Расчёт'!D4789</f>
        <v/>
      </c>
      <c r="N16" s="9">
        <f>'Расчёт'!D4790</f>
        <v/>
      </c>
      <c r="O16" s="9">
        <f>'Расчёт'!D4791</f>
        <v/>
      </c>
      <c r="P16" s="9">
        <f>'Расчёт'!D4792</f>
        <v/>
      </c>
      <c r="Q16" s="9">
        <f>'Расчёт'!D4793</f>
        <v/>
      </c>
      <c r="R16" s="9">
        <f>'Расчёт'!D4794</f>
        <v/>
      </c>
      <c r="S16" s="9">
        <f>'Расчёт'!D4795</f>
        <v/>
      </c>
      <c r="T16" s="9">
        <f>'Расчёт'!D4796</f>
        <v/>
      </c>
      <c r="U16" s="9">
        <f>'Расчёт'!D4797</f>
        <v/>
      </c>
      <c r="V16" s="9">
        <f>'Расчёт'!D4798</f>
        <v/>
      </c>
      <c r="W16" s="9">
        <f>'Расчёт'!D4799</f>
        <v/>
      </c>
      <c r="X16" s="9">
        <f>'Расчёт'!D4800</f>
        <v/>
      </c>
      <c r="Y16" s="9">
        <f>'Расчёт'!D4801</f>
        <v/>
      </c>
      <c r="Z16" s="9">
        <f>'Расчёт'!D4802</f>
        <v/>
      </c>
      <c r="AA16" s="9">
        <f>'Расчёт'!D4803</f>
        <v/>
      </c>
      <c r="AB16" s="9">
        <f>'Расчёт'!D4804</f>
        <v/>
      </c>
      <c r="AC16" s="9">
        <f>'Расчёт'!D4805</f>
        <v/>
      </c>
      <c r="AD16" s="9">
        <f>'Расчёт'!D4806</f>
        <v/>
      </c>
      <c r="AE16" s="9">
        <f>'Расчёт'!D4807</f>
        <v/>
      </c>
      <c r="AF16" s="9">
        <f>'Расчёт'!D4808</f>
        <v/>
      </c>
      <c r="AG16" s="9">
        <f>'Расчёт'!D4809</f>
        <v/>
      </c>
      <c r="AH16" s="9">
        <f>'Расчёт'!D4810</f>
        <v/>
      </c>
      <c r="AI16" s="9">
        <f>'Расчёт'!D4811</f>
        <v/>
      </c>
      <c r="AJ16" s="9">
        <f>'Расчёт'!D4812</f>
        <v/>
      </c>
      <c r="AK16" s="9">
        <f>'Расчёт'!D4813</f>
        <v/>
      </c>
      <c r="AL16" s="9">
        <f>'Расчёт'!D4814</f>
        <v/>
      </c>
      <c r="AM16" s="9">
        <f>'Расчёт'!D4815</f>
        <v/>
      </c>
      <c r="AN16" s="9">
        <f>'Расчёт'!D4816</f>
        <v/>
      </c>
      <c r="AO16" s="9">
        <f>'Расчёт'!D4817</f>
        <v/>
      </c>
      <c r="AP16" s="9">
        <f>'Расчёт'!D4818</f>
        <v/>
      </c>
      <c r="AQ16" s="9">
        <f>'Расчёт'!D4819</f>
        <v/>
      </c>
      <c r="AR16" s="9">
        <f>'Расчёт'!D4820</f>
        <v/>
      </c>
      <c r="AS16" s="9">
        <f>'Расчёт'!D4821</f>
        <v/>
      </c>
      <c r="AT16" s="9">
        <f>'Расчёт'!D4822</f>
        <v/>
      </c>
      <c r="AU16" s="9">
        <f>'Расчёт'!D4823</f>
        <v/>
      </c>
      <c r="AV16" s="9">
        <f>'Расчёт'!D4824</f>
        <v/>
      </c>
      <c r="AW16" s="9">
        <f>'Расчёт'!D4825</f>
        <v/>
      </c>
      <c r="AX16" s="9">
        <f>'Расчёт'!D4826</f>
        <v/>
      </c>
      <c r="AY16" s="9">
        <f>'Расчёт'!D4827</f>
        <v/>
      </c>
      <c r="AZ16" s="9">
        <f>'Расчёт'!D4828</f>
        <v/>
      </c>
      <c r="BA16" s="9">
        <f>'Расчёт'!D4829</f>
        <v/>
      </c>
      <c r="BB16" s="9">
        <f>'Расчёт'!D4830</f>
        <v/>
      </c>
      <c r="BD16" s="8" t="inlineStr">
        <is>
          <t>Морозова</t>
        </is>
      </c>
      <c r="BE16" s="10">
        <f>INDEX('Расчёт'!$D$4725:$D$4777,$BD$8)</f>
        <v/>
      </c>
    </row>
    <row r="17">
      <c r="A17" s="8" t="inlineStr">
        <is>
          <t>Алексеева</t>
        </is>
      </c>
      <c r="B17" s="9">
        <f>'Расчёт'!D4831</f>
        <v/>
      </c>
      <c r="C17" s="9">
        <f>'Расчёт'!D4832</f>
        <v/>
      </c>
      <c r="D17" s="9">
        <f>'Расчёт'!D4833</f>
        <v/>
      </c>
      <c r="E17" s="9">
        <f>'Расчёт'!D4834</f>
        <v/>
      </c>
      <c r="F17" s="9">
        <f>'Расчёт'!D4835</f>
        <v/>
      </c>
      <c r="G17" s="9">
        <f>'Расчёт'!D4836</f>
        <v/>
      </c>
      <c r="H17" s="9">
        <f>'Расчёт'!D4837</f>
        <v/>
      </c>
      <c r="I17" s="9">
        <f>'Расчёт'!D4838</f>
        <v/>
      </c>
      <c r="J17" s="9">
        <f>'Расчёт'!D4839</f>
        <v/>
      </c>
      <c r="K17" s="9">
        <f>'Расчёт'!D4840</f>
        <v/>
      </c>
      <c r="L17" s="9">
        <f>'Расчёт'!D4841</f>
        <v/>
      </c>
      <c r="M17" s="9">
        <f>'Расчёт'!D4842</f>
        <v/>
      </c>
      <c r="N17" s="9">
        <f>'Расчёт'!D4843</f>
        <v/>
      </c>
      <c r="O17" s="9">
        <f>'Расчёт'!D4844</f>
        <v/>
      </c>
      <c r="P17" s="9">
        <f>'Расчёт'!D4845</f>
        <v/>
      </c>
      <c r="Q17" s="9">
        <f>'Расчёт'!D4846</f>
        <v/>
      </c>
      <c r="R17" s="9">
        <f>'Расчёт'!D4847</f>
        <v/>
      </c>
      <c r="S17" s="9">
        <f>'Расчёт'!D4848</f>
        <v/>
      </c>
      <c r="T17" s="9">
        <f>'Расчёт'!D4849</f>
        <v/>
      </c>
      <c r="U17" s="9">
        <f>'Расчёт'!D4850</f>
        <v/>
      </c>
      <c r="V17" s="9">
        <f>'Расчёт'!D4851</f>
        <v/>
      </c>
      <c r="W17" s="9">
        <f>'Расчёт'!D4852</f>
        <v/>
      </c>
      <c r="X17" s="9">
        <f>'Расчёт'!D4853</f>
        <v/>
      </c>
      <c r="Y17" s="9">
        <f>'Расчёт'!D4854</f>
        <v/>
      </c>
      <c r="Z17" s="9">
        <f>'Расчёт'!D4855</f>
        <v/>
      </c>
      <c r="AA17" s="9">
        <f>'Расчёт'!D4856</f>
        <v/>
      </c>
      <c r="AB17" s="9">
        <f>'Расчёт'!D4857</f>
        <v/>
      </c>
      <c r="AC17" s="9">
        <f>'Расчёт'!D4858</f>
        <v/>
      </c>
      <c r="AD17" s="9">
        <f>'Расчёт'!D4859</f>
        <v/>
      </c>
      <c r="AE17" s="9">
        <f>'Расчёт'!D4860</f>
        <v/>
      </c>
      <c r="AF17" s="9">
        <f>'Расчёт'!D4861</f>
        <v/>
      </c>
      <c r="AG17" s="9">
        <f>'Расчёт'!D4862</f>
        <v/>
      </c>
      <c r="AH17" s="9">
        <f>'Расчёт'!D4863</f>
        <v/>
      </c>
      <c r="AI17" s="9">
        <f>'Расчёт'!D4864</f>
        <v/>
      </c>
      <c r="AJ17" s="9">
        <f>'Расчёт'!D4865</f>
        <v/>
      </c>
      <c r="AK17" s="9">
        <f>'Расчёт'!D4866</f>
        <v/>
      </c>
      <c r="AL17" s="9">
        <f>'Расчёт'!D4867</f>
        <v/>
      </c>
      <c r="AM17" s="9">
        <f>'Расчёт'!D4868</f>
        <v/>
      </c>
      <c r="AN17" s="9">
        <f>'Расчёт'!D4869</f>
        <v/>
      </c>
      <c r="AO17" s="9">
        <f>'Расчёт'!D4870</f>
        <v/>
      </c>
      <c r="AP17" s="9">
        <f>'Расчёт'!D4871</f>
        <v/>
      </c>
      <c r="AQ17" s="9">
        <f>'Расчёт'!D4872</f>
        <v/>
      </c>
      <c r="AR17" s="9">
        <f>'Расчёт'!D4873</f>
        <v/>
      </c>
      <c r="AS17" s="9">
        <f>'Расчёт'!D4874</f>
        <v/>
      </c>
      <c r="AT17" s="9">
        <f>'Расчёт'!D4875</f>
        <v/>
      </c>
      <c r="AU17" s="9">
        <f>'Расчёт'!D4876</f>
        <v/>
      </c>
      <c r="AV17" s="9">
        <f>'Расчёт'!D4877</f>
        <v/>
      </c>
      <c r="AW17" s="9">
        <f>'Расчёт'!D4878</f>
        <v/>
      </c>
      <c r="AX17" s="9">
        <f>'Расчёт'!D4879</f>
        <v/>
      </c>
      <c r="AY17" s="9">
        <f>'Расчёт'!D4880</f>
        <v/>
      </c>
      <c r="AZ17" s="9">
        <f>'Расчёт'!D4881</f>
        <v/>
      </c>
      <c r="BA17" s="9">
        <f>'Расчёт'!D4882</f>
        <v/>
      </c>
      <c r="BB17" s="9">
        <f>'Расчёт'!D4883</f>
        <v/>
      </c>
      <c r="BD17" s="8" t="inlineStr">
        <is>
          <t>Волков</t>
        </is>
      </c>
      <c r="BE17" s="10">
        <f>INDEX('Расчёт'!$D$4778:$D$4830,$BD$8)</f>
        <v/>
      </c>
    </row>
    <row r="18">
      <c r="A18" s="8" t="inlineStr">
        <is>
          <t>Лебедев</t>
        </is>
      </c>
      <c r="B18" s="9">
        <f>'Расчёт'!D4884</f>
        <v/>
      </c>
      <c r="C18" s="9">
        <f>'Расчёт'!D4885</f>
        <v/>
      </c>
      <c r="D18" s="9">
        <f>'Расчёт'!D4886</f>
        <v/>
      </c>
      <c r="E18" s="9">
        <f>'Расчёт'!D4887</f>
        <v/>
      </c>
      <c r="F18" s="9">
        <f>'Расчёт'!D4888</f>
        <v/>
      </c>
      <c r="G18" s="9">
        <f>'Расчёт'!D4889</f>
        <v/>
      </c>
      <c r="H18" s="9">
        <f>'Расчёт'!D4890</f>
        <v/>
      </c>
      <c r="I18" s="9">
        <f>'Расчёт'!D4891</f>
        <v/>
      </c>
      <c r="J18" s="9">
        <f>'Расчёт'!D4892</f>
        <v/>
      </c>
      <c r="K18" s="9">
        <f>'Расчёт'!D4893</f>
        <v/>
      </c>
      <c r="L18" s="9">
        <f>'Расчёт'!D4894</f>
        <v/>
      </c>
      <c r="M18" s="9">
        <f>'Расчёт'!D4895</f>
        <v/>
      </c>
      <c r="N18" s="9">
        <f>'Расчёт'!D4896</f>
        <v/>
      </c>
      <c r="O18" s="9">
        <f>'Расчёт'!D4897</f>
        <v/>
      </c>
      <c r="P18" s="9">
        <f>'Расчёт'!D4898</f>
        <v/>
      </c>
      <c r="Q18" s="9">
        <f>'Расчёт'!D4899</f>
        <v/>
      </c>
      <c r="R18" s="9">
        <f>'Расчёт'!D4900</f>
        <v/>
      </c>
      <c r="S18" s="9">
        <f>'Расчёт'!D4901</f>
        <v/>
      </c>
      <c r="T18" s="9">
        <f>'Расчёт'!D4902</f>
        <v/>
      </c>
      <c r="U18" s="9">
        <f>'Расчёт'!D4903</f>
        <v/>
      </c>
      <c r="V18" s="9">
        <f>'Расчёт'!D4904</f>
        <v/>
      </c>
      <c r="W18" s="9">
        <f>'Расчёт'!D4905</f>
        <v/>
      </c>
      <c r="X18" s="9">
        <f>'Расчёт'!D4906</f>
        <v/>
      </c>
      <c r="Y18" s="9">
        <f>'Расчёт'!D4907</f>
        <v/>
      </c>
      <c r="Z18" s="9">
        <f>'Расчёт'!D4908</f>
        <v/>
      </c>
      <c r="AA18" s="9">
        <f>'Расчёт'!D4909</f>
        <v/>
      </c>
      <c r="AB18" s="9">
        <f>'Расчёт'!D4910</f>
        <v/>
      </c>
      <c r="AC18" s="9">
        <f>'Расчёт'!D4911</f>
        <v/>
      </c>
      <c r="AD18" s="9">
        <f>'Расчёт'!D4912</f>
        <v/>
      </c>
      <c r="AE18" s="9">
        <f>'Расчёт'!D4913</f>
        <v/>
      </c>
      <c r="AF18" s="9">
        <f>'Расчёт'!D4914</f>
        <v/>
      </c>
      <c r="AG18" s="9">
        <f>'Расчёт'!D4915</f>
        <v/>
      </c>
      <c r="AH18" s="9">
        <f>'Расчёт'!D4916</f>
        <v/>
      </c>
      <c r="AI18" s="9">
        <f>'Расчёт'!D4917</f>
        <v/>
      </c>
      <c r="AJ18" s="9">
        <f>'Расчёт'!D4918</f>
        <v/>
      </c>
      <c r="AK18" s="9">
        <f>'Расчёт'!D4919</f>
        <v/>
      </c>
      <c r="AL18" s="9">
        <f>'Расчёт'!D4920</f>
        <v/>
      </c>
      <c r="AM18" s="9">
        <f>'Расчёт'!D4921</f>
        <v/>
      </c>
      <c r="AN18" s="9">
        <f>'Расчёт'!D4922</f>
        <v/>
      </c>
      <c r="AO18" s="9">
        <f>'Расчёт'!D4923</f>
        <v/>
      </c>
      <c r="AP18" s="9">
        <f>'Расчёт'!D4924</f>
        <v/>
      </c>
      <c r="AQ18" s="9">
        <f>'Расчёт'!D4925</f>
        <v/>
      </c>
      <c r="AR18" s="9">
        <f>'Расчёт'!D4926</f>
        <v/>
      </c>
      <c r="AS18" s="9">
        <f>'Расчёт'!D4927</f>
        <v/>
      </c>
      <c r="AT18" s="9">
        <f>'Расчёт'!D4928</f>
        <v/>
      </c>
      <c r="AU18" s="9">
        <f>'Расчёт'!D4929</f>
        <v/>
      </c>
      <c r="AV18" s="9">
        <f>'Расчёт'!D4930</f>
        <v/>
      </c>
      <c r="AW18" s="9">
        <f>'Расчёт'!D4931</f>
        <v/>
      </c>
      <c r="AX18" s="9">
        <f>'Расчёт'!D4932</f>
        <v/>
      </c>
      <c r="AY18" s="9">
        <f>'Расчёт'!D4933</f>
        <v/>
      </c>
      <c r="AZ18" s="9">
        <f>'Расчёт'!D4934</f>
        <v/>
      </c>
      <c r="BA18" s="9">
        <f>'Расчёт'!D4935</f>
        <v/>
      </c>
      <c r="BB18" s="9">
        <f>'Расчёт'!D4936</f>
        <v/>
      </c>
      <c r="BD18" s="8" t="inlineStr">
        <is>
          <t>Алексеева</t>
        </is>
      </c>
      <c r="BE18" s="10">
        <f>INDEX('Расчёт'!$D$4831:$D$4883,$BD$8)</f>
        <v/>
      </c>
    </row>
    <row r="19">
      <c r="A19" s="8" t="inlineStr">
        <is>
          <t>Семенова</t>
        </is>
      </c>
      <c r="B19" s="9">
        <f>'Расчёт'!D4937</f>
        <v/>
      </c>
      <c r="C19" s="9">
        <f>'Расчёт'!D4938</f>
        <v/>
      </c>
      <c r="D19" s="9">
        <f>'Расчёт'!D4939</f>
        <v/>
      </c>
      <c r="E19" s="9">
        <f>'Расчёт'!D4940</f>
        <v/>
      </c>
      <c r="F19" s="9">
        <f>'Расчёт'!D4941</f>
        <v/>
      </c>
      <c r="G19" s="9">
        <f>'Расчёт'!D4942</f>
        <v/>
      </c>
      <c r="H19" s="9">
        <f>'Расчёт'!D4943</f>
        <v/>
      </c>
      <c r="I19" s="9">
        <f>'Расчёт'!D4944</f>
        <v/>
      </c>
      <c r="J19" s="9">
        <f>'Расчёт'!D4945</f>
        <v/>
      </c>
      <c r="K19" s="9">
        <f>'Расчёт'!D4946</f>
        <v/>
      </c>
      <c r="L19" s="9">
        <f>'Расчёт'!D4947</f>
        <v/>
      </c>
      <c r="M19" s="9">
        <f>'Расчёт'!D4948</f>
        <v/>
      </c>
      <c r="N19" s="9">
        <f>'Расчёт'!D4949</f>
        <v/>
      </c>
      <c r="O19" s="9">
        <f>'Расчёт'!D4950</f>
        <v/>
      </c>
      <c r="P19" s="9">
        <f>'Расчёт'!D4951</f>
        <v/>
      </c>
      <c r="Q19" s="9">
        <f>'Расчёт'!D4952</f>
        <v/>
      </c>
      <c r="R19" s="9">
        <f>'Расчёт'!D4953</f>
        <v/>
      </c>
      <c r="S19" s="9">
        <f>'Расчёт'!D4954</f>
        <v/>
      </c>
      <c r="T19" s="9">
        <f>'Расчёт'!D4955</f>
        <v/>
      </c>
      <c r="U19" s="9">
        <f>'Расчёт'!D4956</f>
        <v/>
      </c>
      <c r="V19" s="9">
        <f>'Расчёт'!D4957</f>
        <v/>
      </c>
      <c r="W19" s="9">
        <f>'Расчёт'!D4958</f>
        <v/>
      </c>
      <c r="X19" s="9">
        <f>'Расчёт'!D4959</f>
        <v/>
      </c>
      <c r="Y19" s="9">
        <f>'Расчёт'!D4960</f>
        <v/>
      </c>
      <c r="Z19" s="9">
        <f>'Расчёт'!D4961</f>
        <v/>
      </c>
      <c r="AA19" s="9">
        <f>'Расчёт'!D4962</f>
        <v/>
      </c>
      <c r="AB19" s="9">
        <f>'Расчёт'!D4963</f>
        <v/>
      </c>
      <c r="AC19" s="9">
        <f>'Расчёт'!D4964</f>
        <v/>
      </c>
      <c r="AD19" s="9">
        <f>'Расчёт'!D4965</f>
        <v/>
      </c>
      <c r="AE19" s="9">
        <f>'Расчёт'!D4966</f>
        <v/>
      </c>
      <c r="AF19" s="9">
        <f>'Расчёт'!D4967</f>
        <v/>
      </c>
      <c r="AG19" s="9">
        <f>'Расчёт'!D4968</f>
        <v/>
      </c>
      <c r="AH19" s="9">
        <f>'Расчёт'!D4969</f>
        <v/>
      </c>
      <c r="AI19" s="9">
        <f>'Расчёт'!D4970</f>
        <v/>
      </c>
      <c r="AJ19" s="9">
        <f>'Расчёт'!D4971</f>
        <v/>
      </c>
      <c r="AK19" s="9">
        <f>'Расчёт'!D4972</f>
        <v/>
      </c>
      <c r="AL19" s="9">
        <f>'Расчёт'!D4973</f>
        <v/>
      </c>
      <c r="AM19" s="9">
        <f>'Расчёт'!D4974</f>
        <v/>
      </c>
      <c r="AN19" s="9">
        <f>'Расчёт'!D4975</f>
        <v/>
      </c>
      <c r="AO19" s="9">
        <f>'Расчёт'!D4976</f>
        <v/>
      </c>
      <c r="AP19" s="9">
        <f>'Расчёт'!D4977</f>
        <v/>
      </c>
      <c r="AQ19" s="9">
        <f>'Расчёт'!D4978</f>
        <v/>
      </c>
      <c r="AR19" s="9">
        <f>'Расчёт'!D4979</f>
        <v/>
      </c>
      <c r="AS19" s="9">
        <f>'Расчёт'!D4980</f>
        <v/>
      </c>
      <c r="AT19" s="9">
        <f>'Расчёт'!D4981</f>
        <v/>
      </c>
      <c r="AU19" s="9">
        <f>'Расчёт'!D4982</f>
        <v/>
      </c>
      <c r="AV19" s="9">
        <f>'Расчёт'!D4983</f>
        <v/>
      </c>
      <c r="AW19" s="9">
        <f>'Расчёт'!D4984</f>
        <v/>
      </c>
      <c r="AX19" s="9">
        <f>'Расчёт'!D4985</f>
        <v/>
      </c>
      <c r="AY19" s="9">
        <f>'Расчёт'!D4986</f>
        <v/>
      </c>
      <c r="AZ19" s="9">
        <f>'Расчёт'!D4987</f>
        <v/>
      </c>
      <c r="BA19" s="9">
        <f>'Расчёт'!D4988</f>
        <v/>
      </c>
      <c r="BB19" s="9">
        <f>'Расчёт'!D4989</f>
        <v/>
      </c>
      <c r="BD19" s="8" t="inlineStr">
        <is>
          <t>Лебедев</t>
        </is>
      </c>
      <c r="BE19" s="10">
        <f>INDEX('Расчёт'!$D$4884:$D$4936,$BD$8)</f>
        <v/>
      </c>
    </row>
    <row r="20">
      <c r="A20" s="8" t="inlineStr">
        <is>
          <t>Егоров</t>
        </is>
      </c>
      <c r="B20" s="9">
        <f>'Расчёт'!D4990</f>
        <v/>
      </c>
      <c r="C20" s="9">
        <f>'Расчёт'!D4991</f>
        <v/>
      </c>
      <c r="D20" s="9">
        <f>'Расчёт'!D4992</f>
        <v/>
      </c>
      <c r="E20" s="9">
        <f>'Расчёт'!D4993</f>
        <v/>
      </c>
      <c r="F20" s="9">
        <f>'Расчёт'!D4994</f>
        <v/>
      </c>
      <c r="G20" s="9">
        <f>'Расчёт'!D4995</f>
        <v/>
      </c>
      <c r="H20" s="9">
        <f>'Расчёт'!D4996</f>
        <v/>
      </c>
      <c r="I20" s="9">
        <f>'Расчёт'!D4997</f>
        <v/>
      </c>
      <c r="J20" s="9">
        <f>'Расчёт'!D4998</f>
        <v/>
      </c>
      <c r="K20" s="9">
        <f>'Расчёт'!D4999</f>
        <v/>
      </c>
      <c r="L20" s="9">
        <f>'Расчёт'!D5000</f>
        <v/>
      </c>
      <c r="M20" s="9">
        <f>'Расчёт'!D5001</f>
        <v/>
      </c>
      <c r="N20" s="9">
        <f>'Расчёт'!D5002</f>
        <v/>
      </c>
      <c r="O20" s="9">
        <f>'Расчёт'!D5003</f>
        <v/>
      </c>
      <c r="P20" s="9">
        <f>'Расчёт'!D5004</f>
        <v/>
      </c>
      <c r="Q20" s="9">
        <f>'Расчёт'!D5005</f>
        <v/>
      </c>
      <c r="R20" s="9">
        <f>'Расчёт'!D5006</f>
        <v/>
      </c>
      <c r="S20" s="9">
        <f>'Расчёт'!D5007</f>
        <v/>
      </c>
      <c r="T20" s="9">
        <f>'Расчёт'!D5008</f>
        <v/>
      </c>
      <c r="U20" s="9">
        <f>'Расчёт'!D5009</f>
        <v/>
      </c>
      <c r="V20" s="9">
        <f>'Расчёт'!D5010</f>
        <v/>
      </c>
      <c r="W20" s="9">
        <f>'Расчёт'!D5011</f>
        <v/>
      </c>
      <c r="X20" s="9">
        <f>'Расчёт'!D5012</f>
        <v/>
      </c>
      <c r="Y20" s="9">
        <f>'Расчёт'!D5013</f>
        <v/>
      </c>
      <c r="Z20" s="9">
        <f>'Расчёт'!D5014</f>
        <v/>
      </c>
      <c r="AA20" s="9">
        <f>'Расчёт'!D5015</f>
        <v/>
      </c>
      <c r="AB20" s="9">
        <f>'Расчёт'!D5016</f>
        <v/>
      </c>
      <c r="AC20" s="9">
        <f>'Расчёт'!D5017</f>
        <v/>
      </c>
      <c r="AD20" s="9">
        <f>'Расчёт'!D5018</f>
        <v/>
      </c>
      <c r="AE20" s="9">
        <f>'Расчёт'!D5019</f>
        <v/>
      </c>
      <c r="AF20" s="9">
        <f>'Расчёт'!D5020</f>
        <v/>
      </c>
      <c r="AG20" s="9">
        <f>'Расчёт'!D5021</f>
        <v/>
      </c>
      <c r="AH20" s="9">
        <f>'Расчёт'!D5022</f>
        <v/>
      </c>
      <c r="AI20" s="9">
        <f>'Расчёт'!D5023</f>
        <v/>
      </c>
      <c r="AJ20" s="9">
        <f>'Расчёт'!D5024</f>
        <v/>
      </c>
      <c r="AK20" s="9">
        <f>'Расчёт'!D5025</f>
        <v/>
      </c>
      <c r="AL20" s="9">
        <f>'Расчёт'!D5026</f>
        <v/>
      </c>
      <c r="AM20" s="9">
        <f>'Расчёт'!D5027</f>
        <v/>
      </c>
      <c r="AN20" s="9">
        <f>'Расчёт'!D5028</f>
        <v/>
      </c>
      <c r="AO20" s="9">
        <f>'Расчёт'!D5029</f>
        <v/>
      </c>
      <c r="AP20" s="9">
        <f>'Расчёт'!D5030</f>
        <v/>
      </c>
      <c r="AQ20" s="9">
        <f>'Расчёт'!D5031</f>
        <v/>
      </c>
      <c r="AR20" s="9">
        <f>'Расчёт'!D5032</f>
        <v/>
      </c>
      <c r="AS20" s="9">
        <f>'Расчёт'!D5033</f>
        <v/>
      </c>
      <c r="AT20" s="9">
        <f>'Расчёт'!D5034</f>
        <v/>
      </c>
      <c r="AU20" s="9">
        <f>'Расчёт'!D5035</f>
        <v/>
      </c>
      <c r="AV20" s="9">
        <f>'Расчёт'!D5036</f>
        <v/>
      </c>
      <c r="AW20" s="9">
        <f>'Расчёт'!D5037</f>
        <v/>
      </c>
      <c r="AX20" s="9">
        <f>'Расчёт'!D5038</f>
        <v/>
      </c>
      <c r="AY20" s="9">
        <f>'Расчёт'!D5039</f>
        <v/>
      </c>
      <c r="AZ20" s="9">
        <f>'Расчёт'!D5040</f>
        <v/>
      </c>
      <c r="BA20" s="9">
        <f>'Расчёт'!D5041</f>
        <v/>
      </c>
      <c r="BB20" s="9">
        <f>'Расчёт'!D5042</f>
        <v/>
      </c>
      <c r="BD20" s="8" t="inlineStr">
        <is>
          <t>Семенова</t>
        </is>
      </c>
      <c r="BE20" s="10">
        <f>INDEX('Расчёт'!$D$4937:$D$4989,$BD$8)</f>
        <v/>
      </c>
    </row>
    <row r="21">
      <c r="A21" s="8" t="inlineStr">
        <is>
          <t>Павлова</t>
        </is>
      </c>
      <c r="B21" s="9">
        <f>'Расчёт'!D5043</f>
        <v/>
      </c>
      <c r="C21" s="9">
        <f>'Расчёт'!D5044</f>
        <v/>
      </c>
      <c r="D21" s="9">
        <f>'Расчёт'!D5045</f>
        <v/>
      </c>
      <c r="E21" s="9">
        <f>'Расчёт'!D5046</f>
        <v/>
      </c>
      <c r="F21" s="9">
        <f>'Расчёт'!D5047</f>
        <v/>
      </c>
      <c r="G21" s="9">
        <f>'Расчёт'!D5048</f>
        <v/>
      </c>
      <c r="H21" s="9">
        <f>'Расчёт'!D5049</f>
        <v/>
      </c>
      <c r="I21" s="9">
        <f>'Расчёт'!D5050</f>
        <v/>
      </c>
      <c r="J21" s="9">
        <f>'Расчёт'!D5051</f>
        <v/>
      </c>
      <c r="K21" s="9">
        <f>'Расчёт'!D5052</f>
        <v/>
      </c>
      <c r="L21" s="9">
        <f>'Расчёт'!D5053</f>
        <v/>
      </c>
      <c r="M21" s="9">
        <f>'Расчёт'!D5054</f>
        <v/>
      </c>
      <c r="N21" s="9">
        <f>'Расчёт'!D5055</f>
        <v/>
      </c>
      <c r="O21" s="9">
        <f>'Расчёт'!D5056</f>
        <v/>
      </c>
      <c r="P21" s="9">
        <f>'Расчёт'!D5057</f>
        <v/>
      </c>
      <c r="Q21" s="9">
        <f>'Расчёт'!D5058</f>
        <v/>
      </c>
      <c r="R21" s="9">
        <f>'Расчёт'!D5059</f>
        <v/>
      </c>
      <c r="S21" s="9">
        <f>'Расчёт'!D5060</f>
        <v/>
      </c>
      <c r="T21" s="9">
        <f>'Расчёт'!D5061</f>
        <v/>
      </c>
      <c r="U21" s="9">
        <f>'Расчёт'!D5062</f>
        <v/>
      </c>
      <c r="V21" s="9">
        <f>'Расчёт'!D5063</f>
        <v/>
      </c>
      <c r="W21" s="9">
        <f>'Расчёт'!D5064</f>
        <v/>
      </c>
      <c r="X21" s="9">
        <f>'Расчёт'!D5065</f>
        <v/>
      </c>
      <c r="Y21" s="9">
        <f>'Расчёт'!D5066</f>
        <v/>
      </c>
      <c r="Z21" s="9">
        <f>'Расчёт'!D5067</f>
        <v/>
      </c>
      <c r="AA21" s="9">
        <f>'Расчёт'!D5068</f>
        <v/>
      </c>
      <c r="AB21" s="9">
        <f>'Расчёт'!D5069</f>
        <v/>
      </c>
      <c r="AC21" s="9">
        <f>'Расчёт'!D5070</f>
        <v/>
      </c>
      <c r="AD21" s="9">
        <f>'Расчёт'!D5071</f>
        <v/>
      </c>
      <c r="AE21" s="9">
        <f>'Расчёт'!D5072</f>
        <v/>
      </c>
      <c r="AF21" s="9">
        <f>'Расчёт'!D5073</f>
        <v/>
      </c>
      <c r="AG21" s="9">
        <f>'Расчёт'!D5074</f>
        <v/>
      </c>
      <c r="AH21" s="9">
        <f>'Расчёт'!D5075</f>
        <v/>
      </c>
      <c r="AI21" s="9">
        <f>'Расчёт'!D5076</f>
        <v/>
      </c>
      <c r="AJ21" s="9">
        <f>'Расчёт'!D5077</f>
        <v/>
      </c>
      <c r="AK21" s="9">
        <f>'Расчёт'!D5078</f>
        <v/>
      </c>
      <c r="AL21" s="9">
        <f>'Расчёт'!D5079</f>
        <v/>
      </c>
      <c r="AM21" s="9">
        <f>'Расчёт'!D5080</f>
        <v/>
      </c>
      <c r="AN21" s="9">
        <f>'Расчёт'!D5081</f>
        <v/>
      </c>
      <c r="AO21" s="9">
        <f>'Расчёт'!D5082</f>
        <v/>
      </c>
      <c r="AP21" s="9">
        <f>'Расчёт'!D5083</f>
        <v/>
      </c>
      <c r="AQ21" s="9">
        <f>'Расчёт'!D5084</f>
        <v/>
      </c>
      <c r="AR21" s="9">
        <f>'Расчёт'!D5085</f>
        <v/>
      </c>
      <c r="AS21" s="9">
        <f>'Расчёт'!D5086</f>
        <v/>
      </c>
      <c r="AT21" s="9">
        <f>'Расчёт'!D5087</f>
        <v/>
      </c>
      <c r="AU21" s="9">
        <f>'Расчёт'!D5088</f>
        <v/>
      </c>
      <c r="AV21" s="9">
        <f>'Расчёт'!D5089</f>
        <v/>
      </c>
      <c r="AW21" s="9">
        <f>'Расчёт'!D5090</f>
        <v/>
      </c>
      <c r="AX21" s="9">
        <f>'Расчёт'!D5091</f>
        <v/>
      </c>
      <c r="AY21" s="9">
        <f>'Расчёт'!D5092</f>
        <v/>
      </c>
      <c r="AZ21" s="9">
        <f>'Расчёт'!D5093</f>
        <v/>
      </c>
      <c r="BA21" s="9">
        <f>'Расчёт'!D5094</f>
        <v/>
      </c>
      <c r="BB21" s="9">
        <f>'Расчёт'!D5095</f>
        <v/>
      </c>
      <c r="BD21" s="8" t="inlineStr">
        <is>
          <t>Егоров</t>
        </is>
      </c>
      <c r="BE21" s="10">
        <f>INDEX('Расчёт'!$D$4990:$D$5042,$BD$8)</f>
        <v/>
      </c>
    </row>
    <row r="22">
      <c r="A22" s="11" t="inlineStr">
        <is>
          <t>ИТОГО</t>
        </is>
      </c>
      <c r="B22" s="12">
        <f>SUM(B10:B21)</f>
        <v/>
      </c>
      <c r="C22" s="12">
        <f>SUM(C10:C21)</f>
        <v/>
      </c>
      <c r="D22" s="12">
        <f>SUM(D10:D21)</f>
        <v/>
      </c>
      <c r="E22" s="12">
        <f>SUM(E10:E21)</f>
        <v/>
      </c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  <c r="L22" s="12">
        <f>SUM(L10:L21)</f>
        <v/>
      </c>
      <c r="M22" s="12">
        <f>SUM(M10:M21)</f>
        <v/>
      </c>
      <c r="N22" s="12">
        <f>SUM(N10:N21)</f>
        <v/>
      </c>
      <c r="O22" s="12">
        <f>SUM(O10:O21)</f>
        <v/>
      </c>
      <c r="P22" s="12">
        <f>SUM(P10:P21)</f>
        <v/>
      </c>
      <c r="Q22" s="12">
        <f>SUM(Q10:Q21)</f>
        <v/>
      </c>
      <c r="R22" s="12">
        <f>SUM(R10:R21)</f>
        <v/>
      </c>
      <c r="S22" s="12">
        <f>SUM(S10:S21)</f>
        <v/>
      </c>
      <c r="T22" s="12">
        <f>SUM(T10:T21)</f>
        <v/>
      </c>
      <c r="U22" s="12">
        <f>SUM(U10:U21)</f>
        <v/>
      </c>
      <c r="V22" s="12">
        <f>SUM(V10:V21)</f>
        <v/>
      </c>
      <c r="W22" s="12">
        <f>SUM(W10:W21)</f>
        <v/>
      </c>
      <c r="X22" s="12">
        <f>SUM(X10:X21)</f>
        <v/>
      </c>
      <c r="Y22" s="12">
        <f>SUM(Y10:Y21)</f>
        <v/>
      </c>
      <c r="Z22" s="12">
        <f>SUM(Z10:Z21)</f>
        <v/>
      </c>
      <c r="AA22" s="12">
        <f>SUM(AA10:AA21)</f>
        <v/>
      </c>
      <c r="AB22" s="12">
        <f>SUM(AB10:AB21)</f>
        <v/>
      </c>
      <c r="AC22" s="12">
        <f>SUM(AC10:AC21)</f>
        <v/>
      </c>
      <c r="AD22" s="12">
        <f>SUM(AD10:AD21)</f>
        <v/>
      </c>
      <c r="AE22" s="12">
        <f>SUM(AE10:AE21)</f>
        <v/>
      </c>
      <c r="AF22" s="12">
        <f>SUM(AF10:AF21)</f>
        <v/>
      </c>
      <c r="AG22" s="12">
        <f>SUM(AG10:AG21)</f>
        <v/>
      </c>
      <c r="AH22" s="12">
        <f>SUM(AH10:AH21)</f>
        <v/>
      </c>
      <c r="AI22" s="12">
        <f>SUM(AI10:AI21)</f>
        <v/>
      </c>
      <c r="AJ22" s="12">
        <f>SUM(AJ10:AJ21)</f>
        <v/>
      </c>
      <c r="AK22" s="12">
        <f>SUM(AK10:AK21)</f>
        <v/>
      </c>
      <c r="AL22" s="12">
        <f>SUM(AL10:AL21)</f>
        <v/>
      </c>
      <c r="AM22" s="12">
        <f>SUM(AM10:AM21)</f>
        <v/>
      </c>
      <c r="AN22" s="12">
        <f>SUM(AN10:AN21)</f>
        <v/>
      </c>
      <c r="AO22" s="12">
        <f>SUM(AO10:AO21)</f>
        <v/>
      </c>
      <c r="AP22" s="12">
        <f>SUM(AP10:AP21)</f>
        <v/>
      </c>
      <c r="AQ22" s="12">
        <f>SUM(AQ10:AQ21)</f>
        <v/>
      </c>
      <c r="AR22" s="12">
        <f>SUM(AR10:AR21)</f>
        <v/>
      </c>
      <c r="AS22" s="12">
        <f>SUM(AS10:AS21)</f>
        <v/>
      </c>
      <c r="AT22" s="12">
        <f>SUM(AT10:AT21)</f>
        <v/>
      </c>
      <c r="AU22" s="12">
        <f>SUM(AU10:AU21)</f>
        <v/>
      </c>
      <c r="AV22" s="12">
        <f>SUM(AV10:AV21)</f>
        <v/>
      </c>
      <c r="AW22" s="12">
        <f>SUM(AW10:AW21)</f>
        <v/>
      </c>
      <c r="AX22" s="12">
        <f>SUM(AX10:AX21)</f>
        <v/>
      </c>
      <c r="AY22" s="12">
        <f>SUM(AY10:AY21)</f>
        <v/>
      </c>
      <c r="AZ22" s="12">
        <f>SUM(AZ10:AZ21)</f>
        <v/>
      </c>
      <c r="BA22" s="12">
        <f>SUM(BA10:BA21)</f>
        <v/>
      </c>
      <c r="BB22" s="12">
        <f>SUM(BB10:BB21)</f>
        <v/>
      </c>
      <c r="BD22" s="8" t="inlineStr">
        <is>
          <t>Павлова</t>
        </is>
      </c>
      <c r="BE22" s="10">
        <f>INDEX('Расчёт'!$D$5043:$D$5095,$BD$8)</f>
        <v/>
      </c>
    </row>
  </sheetData>
  <conditionalFormatting sqref="B7:BB22">
    <cfRule type="expression" priority="1" dxfId="0">
      <formula>B$7=$BD$8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МЕСЯЧНЫЕ ПЛАНЫ МЕНЕДЖЕРОВ</t>
        </is>
      </c>
    </row>
    <row r="2">
      <c r="A2" s="2" t="inlineStr">
        <is>
          <t>Редактируйте жёлтые ячейки: план на календарный месяц для каждого менеджера. Распределение по фин. неделям и стыки месяцев считаются автоматически.</t>
        </is>
      </c>
    </row>
    <row r="4">
      <c r="A4" s="5" t="inlineStr">
        <is>
          <t>Менеджер</t>
        </is>
      </c>
      <c r="B4" s="5" t="inlineStr">
        <is>
          <t>Январь 2026</t>
        </is>
      </c>
      <c r="C4" s="5" t="inlineStr">
        <is>
          <t>Февраль 2026</t>
        </is>
      </c>
      <c r="D4" s="5" t="inlineStr">
        <is>
          <t>Март 2026</t>
        </is>
      </c>
      <c r="E4" s="5" t="inlineStr">
        <is>
          <t>Апрель 2026</t>
        </is>
      </c>
      <c r="F4" s="5" t="inlineStr">
        <is>
          <t>Май 2026</t>
        </is>
      </c>
      <c r="G4" s="5" t="inlineStr">
        <is>
          <t>Июнь 2026</t>
        </is>
      </c>
      <c r="H4" s="5" t="inlineStr">
        <is>
          <t>Июль 2026</t>
        </is>
      </c>
      <c r="I4" s="5" t="inlineStr">
        <is>
          <t>Август 2026</t>
        </is>
      </c>
      <c r="J4" s="5" t="inlineStr">
        <is>
          <t>Сентябрь 2026</t>
        </is>
      </c>
      <c r="K4" s="5" t="inlineStr">
        <is>
          <t>Октябрь 2026</t>
        </is>
      </c>
      <c r="L4" s="5" t="inlineStr">
        <is>
          <t>Ноябрь 2026</t>
        </is>
      </c>
      <c r="M4" s="5" t="inlineStr">
        <is>
          <t>Декабрь 2026</t>
        </is>
      </c>
    </row>
    <row r="5">
      <c r="A5" s="8" t="inlineStr">
        <is>
          <t>Иванов</t>
        </is>
      </c>
      <c r="B5" s="13" t="n">
        <v>5000000</v>
      </c>
      <c r="C5" s="13" t="n">
        <v>4800000</v>
      </c>
      <c r="D5" s="13" t="n">
        <v>5200000</v>
      </c>
      <c r="E5" s="13" t="n">
        <v>5500000</v>
      </c>
      <c r="F5" s="13" t="n">
        <v>5300000</v>
      </c>
      <c r="G5" s="13" t="n">
        <v>6000000</v>
      </c>
      <c r="H5" s="13" t="n">
        <v>6200000</v>
      </c>
      <c r="I5" s="13" t="n">
        <v>6000000</v>
      </c>
      <c r="J5" s="13" t="n">
        <v>5800000</v>
      </c>
      <c r="K5" s="13" t="n">
        <v>6500000</v>
      </c>
      <c r="L5" s="13" t="n">
        <v>7000000</v>
      </c>
      <c r="M5" s="13" t="n">
        <v>8000000</v>
      </c>
    </row>
    <row r="6">
      <c r="A6" s="8" t="inlineStr">
        <is>
          <t>Петрова</t>
        </is>
      </c>
      <c r="B6" s="13" t="n">
        <v>5000000</v>
      </c>
      <c r="C6" s="13" t="n">
        <v>4800000</v>
      </c>
      <c r="D6" s="13" t="n">
        <v>5200000</v>
      </c>
      <c r="E6" s="13" t="n">
        <v>5500000</v>
      </c>
      <c r="F6" s="13" t="n">
        <v>5300000</v>
      </c>
      <c r="G6" s="13" t="n">
        <v>6000000</v>
      </c>
      <c r="H6" s="13" t="n">
        <v>6200000</v>
      </c>
      <c r="I6" s="13" t="n">
        <v>6000000</v>
      </c>
      <c r="J6" s="13" t="n">
        <v>5800000</v>
      </c>
      <c r="K6" s="13" t="n">
        <v>6500000</v>
      </c>
      <c r="L6" s="13" t="n">
        <v>7000000</v>
      </c>
      <c r="M6" s="13" t="n">
        <v>8000000</v>
      </c>
    </row>
    <row r="7">
      <c r="A7" s="8" t="inlineStr">
        <is>
          <t>Сидоров</t>
        </is>
      </c>
      <c r="B7" s="13" t="n">
        <v>5000000</v>
      </c>
      <c r="C7" s="13" t="n">
        <v>4800000</v>
      </c>
      <c r="D7" s="13" t="n">
        <v>5200000</v>
      </c>
      <c r="E7" s="13" t="n">
        <v>5500000</v>
      </c>
      <c r="F7" s="13" t="n">
        <v>5300000</v>
      </c>
      <c r="G7" s="13" t="n">
        <v>6000000</v>
      </c>
      <c r="H7" s="13" t="n">
        <v>6200000</v>
      </c>
      <c r="I7" s="13" t="n">
        <v>6000000</v>
      </c>
      <c r="J7" s="13" t="n">
        <v>5800000</v>
      </c>
      <c r="K7" s="13" t="n">
        <v>6500000</v>
      </c>
      <c r="L7" s="13" t="n">
        <v>7000000</v>
      </c>
      <c r="M7" s="13" t="n">
        <v>8000000</v>
      </c>
    </row>
    <row r="8">
      <c r="A8" s="8" t="inlineStr">
        <is>
          <t>Козлова</t>
        </is>
      </c>
      <c r="B8" s="13" t="n">
        <v>5000000</v>
      </c>
      <c r="C8" s="13" t="n">
        <v>4800000</v>
      </c>
      <c r="D8" s="13" t="n">
        <v>5200000</v>
      </c>
      <c r="E8" s="13" t="n">
        <v>5500000</v>
      </c>
      <c r="F8" s="13" t="n">
        <v>5300000</v>
      </c>
      <c r="G8" s="13" t="n">
        <v>6000000</v>
      </c>
      <c r="H8" s="13" t="n">
        <v>6200000</v>
      </c>
      <c r="I8" s="13" t="n">
        <v>6000000</v>
      </c>
      <c r="J8" s="13" t="n">
        <v>5800000</v>
      </c>
      <c r="K8" s="13" t="n">
        <v>6500000</v>
      </c>
      <c r="L8" s="13" t="n">
        <v>7000000</v>
      </c>
      <c r="M8" s="13" t="n">
        <v>8000000</v>
      </c>
    </row>
    <row r="9">
      <c r="A9" s="8" t="inlineStr">
        <is>
          <t>Новиков</t>
        </is>
      </c>
      <c r="B9" s="13" t="n">
        <v>5000000</v>
      </c>
      <c r="C9" s="13" t="n">
        <v>4800000</v>
      </c>
      <c r="D9" s="13" t="n">
        <v>5200000</v>
      </c>
      <c r="E9" s="13" t="n">
        <v>5500000</v>
      </c>
      <c r="F9" s="13" t="n">
        <v>5300000</v>
      </c>
      <c r="G9" s="13" t="n">
        <v>6000000</v>
      </c>
      <c r="H9" s="13" t="n">
        <v>6200000</v>
      </c>
      <c r="I9" s="13" t="n">
        <v>6000000</v>
      </c>
      <c r="J9" s="13" t="n">
        <v>5800000</v>
      </c>
      <c r="K9" s="13" t="n">
        <v>6500000</v>
      </c>
      <c r="L9" s="13" t="n">
        <v>7000000</v>
      </c>
      <c r="M9" s="13" t="n">
        <v>8000000</v>
      </c>
    </row>
    <row r="10">
      <c r="A10" s="8" t="inlineStr">
        <is>
          <t>Морозова</t>
        </is>
      </c>
      <c r="B10" s="13" t="n">
        <v>5000000</v>
      </c>
      <c r="C10" s="13" t="n">
        <v>4800000</v>
      </c>
      <c r="D10" s="13" t="n">
        <v>5200000</v>
      </c>
      <c r="E10" s="13" t="n">
        <v>5500000</v>
      </c>
      <c r="F10" s="13" t="n">
        <v>5300000</v>
      </c>
      <c r="G10" s="13" t="n">
        <v>6000000</v>
      </c>
      <c r="H10" s="13" t="n">
        <v>6200000</v>
      </c>
      <c r="I10" s="13" t="n">
        <v>6000000</v>
      </c>
      <c r="J10" s="13" t="n">
        <v>5800000</v>
      </c>
      <c r="K10" s="13" t="n">
        <v>6500000</v>
      </c>
      <c r="L10" s="13" t="n">
        <v>7000000</v>
      </c>
      <c r="M10" s="13" t="n">
        <v>8000000</v>
      </c>
    </row>
    <row r="11">
      <c r="A11" s="8" t="inlineStr">
        <is>
          <t>Волков</t>
        </is>
      </c>
      <c r="B11" s="13" t="n">
        <v>5000000</v>
      </c>
      <c r="C11" s="13" t="n">
        <v>4800000</v>
      </c>
      <c r="D11" s="13" t="n">
        <v>5200000</v>
      </c>
      <c r="E11" s="13" t="n">
        <v>5500000</v>
      </c>
      <c r="F11" s="13" t="n">
        <v>5300000</v>
      </c>
      <c r="G11" s="13" t="n">
        <v>6000000</v>
      </c>
      <c r="H11" s="13" t="n">
        <v>6200000</v>
      </c>
      <c r="I11" s="13" t="n">
        <v>6000000</v>
      </c>
      <c r="J11" s="13" t="n">
        <v>5800000</v>
      </c>
      <c r="K11" s="13" t="n">
        <v>6500000</v>
      </c>
      <c r="L11" s="13" t="n">
        <v>7000000</v>
      </c>
      <c r="M11" s="13" t="n">
        <v>8000000</v>
      </c>
    </row>
    <row r="12">
      <c r="A12" s="8" t="inlineStr">
        <is>
          <t>Алексеева</t>
        </is>
      </c>
      <c r="B12" s="13" t="n">
        <v>5000000</v>
      </c>
      <c r="C12" s="13" t="n">
        <v>4800000</v>
      </c>
      <c r="D12" s="13" t="n">
        <v>5200000</v>
      </c>
      <c r="E12" s="13" t="n">
        <v>5500000</v>
      </c>
      <c r="F12" s="13" t="n">
        <v>5300000</v>
      </c>
      <c r="G12" s="13" t="n">
        <v>6000000</v>
      </c>
      <c r="H12" s="13" t="n">
        <v>6200000</v>
      </c>
      <c r="I12" s="13" t="n">
        <v>6000000</v>
      </c>
      <c r="J12" s="13" t="n">
        <v>5800000</v>
      </c>
      <c r="K12" s="13" t="n">
        <v>6500000</v>
      </c>
      <c r="L12" s="13" t="n">
        <v>7000000</v>
      </c>
      <c r="M12" s="13" t="n">
        <v>8000000</v>
      </c>
    </row>
    <row r="13">
      <c r="A13" s="8" t="inlineStr">
        <is>
          <t>Лебедев</t>
        </is>
      </c>
      <c r="B13" s="13" t="n">
        <v>5000000</v>
      </c>
      <c r="C13" s="13" t="n">
        <v>4800000</v>
      </c>
      <c r="D13" s="13" t="n">
        <v>5200000</v>
      </c>
      <c r="E13" s="13" t="n">
        <v>5500000</v>
      </c>
      <c r="F13" s="13" t="n">
        <v>5300000</v>
      </c>
      <c r="G13" s="13" t="n">
        <v>6000000</v>
      </c>
      <c r="H13" s="13" t="n">
        <v>6200000</v>
      </c>
      <c r="I13" s="13" t="n">
        <v>6000000</v>
      </c>
      <c r="J13" s="13" t="n">
        <v>5800000</v>
      </c>
      <c r="K13" s="13" t="n">
        <v>6500000</v>
      </c>
      <c r="L13" s="13" t="n">
        <v>7000000</v>
      </c>
      <c r="M13" s="13" t="n">
        <v>8000000</v>
      </c>
    </row>
    <row r="14">
      <c r="A14" s="8" t="inlineStr">
        <is>
          <t>Семенова</t>
        </is>
      </c>
      <c r="B14" s="13" t="n">
        <v>5000000</v>
      </c>
      <c r="C14" s="13" t="n">
        <v>4800000</v>
      </c>
      <c r="D14" s="13" t="n">
        <v>5200000</v>
      </c>
      <c r="E14" s="13" t="n">
        <v>5500000</v>
      </c>
      <c r="F14" s="13" t="n">
        <v>5300000</v>
      </c>
      <c r="G14" s="13" t="n">
        <v>6000000</v>
      </c>
      <c r="H14" s="13" t="n">
        <v>6200000</v>
      </c>
      <c r="I14" s="13" t="n">
        <v>6000000</v>
      </c>
      <c r="J14" s="13" t="n">
        <v>5800000</v>
      </c>
      <c r="K14" s="13" t="n">
        <v>6500000</v>
      </c>
      <c r="L14" s="13" t="n">
        <v>7000000</v>
      </c>
      <c r="M14" s="13" t="n">
        <v>8000000</v>
      </c>
    </row>
    <row r="15">
      <c r="A15" s="8" t="inlineStr">
        <is>
          <t>Егоров</t>
        </is>
      </c>
      <c r="B15" s="13" t="n">
        <v>5000000</v>
      </c>
      <c r="C15" s="13" t="n">
        <v>4800000</v>
      </c>
      <c r="D15" s="13" t="n">
        <v>5200000</v>
      </c>
      <c r="E15" s="13" t="n">
        <v>5500000</v>
      </c>
      <c r="F15" s="13" t="n">
        <v>5300000</v>
      </c>
      <c r="G15" s="13" t="n">
        <v>6000000</v>
      </c>
      <c r="H15" s="13" t="n">
        <v>6200000</v>
      </c>
      <c r="I15" s="13" t="n">
        <v>6000000</v>
      </c>
      <c r="J15" s="13" t="n">
        <v>5800000</v>
      </c>
      <c r="K15" s="13" t="n">
        <v>6500000</v>
      </c>
      <c r="L15" s="13" t="n">
        <v>7000000</v>
      </c>
      <c r="M15" s="13" t="n">
        <v>8000000</v>
      </c>
    </row>
    <row r="16">
      <c r="A16" s="8" t="inlineStr">
        <is>
          <t>Павлова</t>
        </is>
      </c>
      <c r="B16" s="13" t="n">
        <v>5000000</v>
      </c>
      <c r="C16" s="13" t="n">
        <v>4800000</v>
      </c>
      <c r="D16" s="13" t="n">
        <v>5200000</v>
      </c>
      <c r="E16" s="13" t="n">
        <v>5500000</v>
      </c>
      <c r="F16" s="13" t="n">
        <v>5300000</v>
      </c>
      <c r="G16" s="13" t="n">
        <v>6000000</v>
      </c>
      <c r="H16" s="13" t="n">
        <v>6200000</v>
      </c>
      <c r="I16" s="13" t="n">
        <v>6000000</v>
      </c>
      <c r="J16" s="13" t="n">
        <v>5800000</v>
      </c>
      <c r="K16" s="13" t="n">
        <v>6500000</v>
      </c>
      <c r="L16" s="13" t="n">
        <v>7000000</v>
      </c>
      <c r="M16" s="13" t="n">
        <v>8000000</v>
      </c>
    </row>
    <row r="17">
      <c r="A17" s="11" t="inlineStr">
        <is>
          <t>ИТОГО</t>
        </is>
      </c>
      <c r="B17" s="14">
        <f>SUM(B5:B16)</f>
        <v/>
      </c>
      <c r="C17" s="14">
        <f>SUM(C5:C16)</f>
        <v/>
      </c>
      <c r="D17" s="14">
        <f>SUM(D5:D16)</f>
        <v/>
      </c>
      <c r="E17" s="14">
        <f>SUM(E5:E16)</f>
        <v/>
      </c>
      <c r="F17" s="14">
        <f>SUM(F5:F16)</f>
        <v/>
      </c>
      <c r="G17" s="14">
        <f>SUM(G5:G16)</f>
        <v/>
      </c>
      <c r="H17" s="14">
        <f>SUM(H5:H16)</f>
        <v/>
      </c>
      <c r="I17" s="14">
        <f>SUM(I5:I16)</f>
        <v/>
      </c>
      <c r="J17" s="14">
        <f>SUM(J5:J16)</f>
        <v/>
      </c>
      <c r="K17" s="14">
        <f>SUM(K5:K16)</f>
        <v/>
      </c>
      <c r="L17" s="14">
        <f>SUM(L5:L16)</f>
        <v/>
      </c>
      <c r="M17" s="14">
        <f>SUM(M5:M16)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7" customWidth="1" min="4" max="4"/>
    <col width="22" customWidth="1" min="5" max="5"/>
  </cols>
  <sheetData>
    <row r="1">
      <c r="A1" s="1" t="inlineStr">
        <is>
          <t>РАБОЧИЕ ДНИ И ФИНАНСОВЫЕ НЕДЕЛИ</t>
        </is>
      </c>
    </row>
    <row r="2">
      <c r="A2" s="2" t="inlineStr">
        <is>
          <t>ЖЁЛТЫЕ ячейки — ввод вручную. Остальное считается формулами.</t>
        </is>
      </c>
    </row>
    <row r="4">
      <c r="A4" s="5" t="inlineStr">
        <is>
          <t>Месяц</t>
        </is>
      </c>
      <c r="B4" s="5" t="inlineStr">
        <is>
          <t>Рабочих дней в месяце (ВАША СТРОКА ВВОДА)</t>
        </is>
      </c>
      <c r="C4" s="5" t="inlineStr">
        <is>
          <t>Недель в месяце</t>
        </is>
      </c>
    </row>
    <row r="5">
      <c r="A5" s="15" t="inlineStr">
        <is>
          <t>Январь 2026</t>
        </is>
      </c>
      <c r="B5" s="16">
        <f>SUMPRODUCT((Кал_Месяц=1)*(Кал_Раб=1))</f>
        <v/>
      </c>
      <c r="C5" s="6" t="n">
        <v>5</v>
      </c>
      <c r="E5" s="2" t="inlineStr">
        <is>
          <t>По умолчанию в «Календаре» рабочими считаются пн–пт. Праздники вычитайте из числа рабочих дней вручную.</t>
        </is>
      </c>
    </row>
    <row r="6">
      <c r="A6" s="15" t="inlineStr">
        <is>
          <t>Февраль 2026</t>
        </is>
      </c>
      <c r="B6" s="16">
        <f>SUMPRODUCT((Кал_Месяц=2)*(Кал_Раб=1))</f>
        <v/>
      </c>
      <c r="C6" s="6" t="n">
        <v>4</v>
      </c>
    </row>
    <row r="7">
      <c r="A7" s="15" t="inlineStr">
        <is>
          <t>Март 2026</t>
        </is>
      </c>
      <c r="B7" s="16">
        <f>SUMPRODUCT((Кал_Месяц=3)*(Кал_Раб=1))</f>
        <v/>
      </c>
      <c r="C7" s="6" t="n">
        <v>4</v>
      </c>
    </row>
    <row r="8">
      <c r="A8" s="15" t="inlineStr">
        <is>
          <t>Апрель 2026</t>
        </is>
      </c>
      <c r="B8" s="16">
        <f>SUMPRODUCT((Кал_Месяц=4)*(Кал_Раб=1))</f>
        <v/>
      </c>
      <c r="C8" s="6" t="n">
        <v>5</v>
      </c>
    </row>
    <row r="9">
      <c r="A9" s="15" t="inlineStr">
        <is>
          <t>Май 2026</t>
        </is>
      </c>
      <c r="B9" s="16">
        <f>SUMPRODUCT((Кал_Месяц=5)*(Кал_Раб=1))</f>
        <v/>
      </c>
      <c r="C9" s="6" t="n">
        <v>4</v>
      </c>
    </row>
    <row r="10">
      <c r="A10" s="15" t="inlineStr">
        <is>
          <t>Июнь 2026</t>
        </is>
      </c>
      <c r="B10" s="16">
        <f>SUMPRODUCT((Кал_Месяц=6)*(Кал_Раб=1))</f>
        <v/>
      </c>
      <c r="C10" s="6" t="n">
        <v>4</v>
      </c>
    </row>
    <row r="11">
      <c r="A11" s="15" t="inlineStr">
        <is>
          <t>Июль 2026</t>
        </is>
      </c>
      <c r="B11" s="16">
        <f>SUMPRODUCT((Кал_Месяц=7)*(Кал_Раб=1))</f>
        <v/>
      </c>
      <c r="C11" s="6" t="n">
        <v>5</v>
      </c>
    </row>
    <row r="12">
      <c r="A12" s="15" t="inlineStr">
        <is>
          <t>Август 2026</t>
        </is>
      </c>
      <c r="B12" s="16">
        <f>SUMPRODUCT((Кал_Месяц=8)*(Кал_Раб=1))</f>
        <v/>
      </c>
      <c r="C12" s="6" t="n">
        <v>4</v>
      </c>
    </row>
    <row r="13">
      <c r="A13" s="15" t="inlineStr">
        <is>
          <t>Сентябрь 2026</t>
        </is>
      </c>
      <c r="B13" s="16">
        <f>SUMPRODUCT((Кал_Месяц=9)*(Кал_Раб=1))</f>
        <v/>
      </c>
      <c r="C13" s="6" t="n">
        <v>4</v>
      </c>
    </row>
    <row r="14">
      <c r="A14" s="15" t="inlineStr">
        <is>
          <t>Октябрь 2026</t>
        </is>
      </c>
      <c r="B14" s="16">
        <f>SUMPRODUCT((Кал_Месяц=10)*(Кал_Раб=1))</f>
        <v/>
      </c>
      <c r="C14" s="6" t="n">
        <v>5</v>
      </c>
    </row>
    <row r="15">
      <c r="A15" s="15" t="inlineStr">
        <is>
          <t>Ноябрь 2026</t>
        </is>
      </c>
      <c r="B15" s="16">
        <f>SUMPRODUCT((Кал_Месяц=11)*(Кал_Раб=1))</f>
        <v/>
      </c>
      <c r="C15" s="6" t="n">
        <v>4</v>
      </c>
    </row>
    <row r="16">
      <c r="A16" s="15" t="inlineStr">
        <is>
          <t>Декабрь 2026</t>
        </is>
      </c>
      <c r="B16" s="16">
        <f>SUMPRODUCT((Кал_Месяц=12)*(Кал_Раб=1))</f>
        <v/>
      </c>
      <c r="C16" s="6" t="n">
        <v>5</v>
      </c>
    </row>
    <row r="18">
      <c r="A18" s="3" t="inlineStr">
        <is>
          <t>Границы финансовых недель (четверг — среда)</t>
        </is>
      </c>
    </row>
    <row r="19">
      <c r="A19" s="5" t="inlineStr">
        <is>
          <t>№ фин. недели</t>
        </is>
      </c>
      <c r="B19" s="5" t="inlineStr">
        <is>
          <t>Начало (чт)</t>
        </is>
      </c>
      <c r="C19" s="5" t="inlineStr">
        <is>
          <t>Конец (ср)</t>
        </is>
      </c>
      <c r="D19" s="5" t="inlineStr">
        <is>
          <t>Месяц открытия</t>
        </is>
      </c>
      <c r="E19" s="5" t="inlineStr">
        <is>
          <t>Рабочих дней в неделе</t>
        </is>
      </c>
    </row>
    <row r="20">
      <c r="A20" s="6" t="n">
        <v>1</v>
      </c>
      <c r="B20" s="17" t="n">
        <v>46023</v>
      </c>
      <c r="C20" s="17" t="n">
        <v>46029</v>
      </c>
      <c r="D20" s="6" t="inlineStr">
        <is>
          <t>Январь 2026</t>
        </is>
      </c>
      <c r="E20" s="7">
        <f>SUMPRODUCT((Кал_Даты&gt;=$B20)*(Кал_Даты&lt;=$C20)*(Кал_Раб=1))</f>
        <v/>
      </c>
    </row>
    <row r="21">
      <c r="A21" s="6" t="n">
        <v>2</v>
      </c>
      <c r="B21" s="17" t="n">
        <v>46030</v>
      </c>
      <c r="C21" s="17" t="n">
        <v>46036</v>
      </c>
      <c r="D21" s="6" t="inlineStr">
        <is>
          <t>Январь 2026</t>
        </is>
      </c>
      <c r="E21" s="7">
        <f>SUMPRODUCT((Кал_Даты&gt;=$B21)*(Кал_Даты&lt;=$C21)*(Кал_Раб=1))</f>
        <v/>
      </c>
    </row>
    <row r="22">
      <c r="A22" s="6" t="n">
        <v>3</v>
      </c>
      <c r="B22" s="17" t="n">
        <v>46037</v>
      </c>
      <c r="C22" s="17" t="n">
        <v>46043</v>
      </c>
      <c r="D22" s="6" t="inlineStr">
        <is>
          <t>Январь 2026</t>
        </is>
      </c>
      <c r="E22" s="7">
        <f>SUMPRODUCT((Кал_Даты&gt;=$B22)*(Кал_Даты&lt;=$C22)*(Кал_Раб=1))</f>
        <v/>
      </c>
    </row>
    <row r="23">
      <c r="A23" s="6" t="n">
        <v>4</v>
      </c>
      <c r="B23" s="17" t="n">
        <v>46044</v>
      </c>
      <c r="C23" s="17" t="n">
        <v>46050</v>
      </c>
      <c r="D23" s="6" t="inlineStr">
        <is>
          <t>Январь 2026</t>
        </is>
      </c>
      <c r="E23" s="7">
        <f>SUMPRODUCT((Кал_Даты&gt;=$B23)*(Кал_Даты&lt;=$C23)*(Кал_Раб=1))</f>
        <v/>
      </c>
    </row>
    <row r="24">
      <c r="A24" s="6" t="n">
        <v>5</v>
      </c>
      <c r="B24" s="17" t="n">
        <v>46051</v>
      </c>
      <c r="C24" s="17" t="n">
        <v>46057</v>
      </c>
      <c r="D24" s="6" t="inlineStr">
        <is>
          <t>Январь 2026</t>
        </is>
      </c>
      <c r="E24" s="7">
        <f>SUMPRODUCT((Кал_Даты&gt;=$B24)*(Кал_Даты&lt;=$C24)*(Кал_Раб=1))</f>
        <v/>
      </c>
    </row>
    <row r="25">
      <c r="A25" s="6" t="n">
        <v>6</v>
      </c>
      <c r="B25" s="17" t="n">
        <v>46058</v>
      </c>
      <c r="C25" s="17" t="n">
        <v>46064</v>
      </c>
      <c r="D25" s="6" t="inlineStr">
        <is>
          <t>Февраль 2026</t>
        </is>
      </c>
      <c r="E25" s="7">
        <f>SUMPRODUCT((Кал_Даты&gt;=$B25)*(Кал_Даты&lt;=$C25)*(Кал_Раб=1))</f>
        <v/>
      </c>
    </row>
    <row r="26">
      <c r="A26" s="6" t="n">
        <v>7</v>
      </c>
      <c r="B26" s="17" t="n">
        <v>46065</v>
      </c>
      <c r="C26" s="17" t="n">
        <v>46071</v>
      </c>
      <c r="D26" s="6" t="inlineStr">
        <is>
          <t>Февраль 2026</t>
        </is>
      </c>
      <c r="E26" s="7">
        <f>SUMPRODUCT((Кал_Даты&gt;=$B26)*(Кал_Даты&lt;=$C26)*(Кал_Раб=1))</f>
        <v/>
      </c>
    </row>
    <row r="27">
      <c r="A27" s="6" t="n">
        <v>8</v>
      </c>
      <c r="B27" s="17" t="n">
        <v>46072</v>
      </c>
      <c r="C27" s="17" t="n">
        <v>46078</v>
      </c>
      <c r="D27" s="6" t="inlineStr">
        <is>
          <t>Февраль 2026</t>
        </is>
      </c>
      <c r="E27" s="7">
        <f>SUMPRODUCT((Кал_Даты&gt;=$B27)*(Кал_Даты&lt;=$C27)*(Кал_Раб=1))</f>
        <v/>
      </c>
    </row>
    <row r="28">
      <c r="A28" s="6" t="n">
        <v>9</v>
      </c>
      <c r="B28" s="17" t="n">
        <v>46079</v>
      </c>
      <c r="C28" s="17" t="n">
        <v>46085</v>
      </c>
      <c r="D28" s="6" t="inlineStr">
        <is>
          <t>Февраль 2026</t>
        </is>
      </c>
      <c r="E28" s="7">
        <f>SUMPRODUCT((Кал_Даты&gt;=$B28)*(Кал_Даты&lt;=$C28)*(Кал_Раб=1))</f>
        <v/>
      </c>
    </row>
    <row r="29">
      <c r="A29" s="6" t="n">
        <v>10</v>
      </c>
      <c r="B29" s="17" t="n">
        <v>46086</v>
      </c>
      <c r="C29" s="17" t="n">
        <v>46092</v>
      </c>
      <c r="D29" s="6" t="inlineStr">
        <is>
          <t>Март 2026</t>
        </is>
      </c>
      <c r="E29" s="7">
        <f>SUMPRODUCT((Кал_Даты&gt;=$B29)*(Кал_Даты&lt;=$C29)*(Кал_Раб=1))</f>
        <v/>
      </c>
    </row>
    <row r="30">
      <c r="A30" s="6" t="n">
        <v>11</v>
      </c>
      <c r="B30" s="17" t="n">
        <v>46093</v>
      </c>
      <c r="C30" s="17" t="n">
        <v>46099</v>
      </c>
      <c r="D30" s="6" t="inlineStr">
        <is>
          <t>Март 2026</t>
        </is>
      </c>
      <c r="E30" s="7">
        <f>SUMPRODUCT((Кал_Даты&gt;=$B30)*(Кал_Даты&lt;=$C30)*(Кал_Раб=1))</f>
        <v/>
      </c>
    </row>
    <row r="31">
      <c r="A31" s="6" t="n">
        <v>12</v>
      </c>
      <c r="B31" s="17" t="n">
        <v>46100</v>
      </c>
      <c r="C31" s="17" t="n">
        <v>46106</v>
      </c>
      <c r="D31" s="6" t="inlineStr">
        <is>
          <t>Март 2026</t>
        </is>
      </c>
      <c r="E31" s="7">
        <f>SUMPRODUCT((Кал_Даты&gt;=$B31)*(Кал_Даты&lt;=$C31)*(Кал_Раб=1))</f>
        <v/>
      </c>
    </row>
    <row r="32">
      <c r="A32" s="6" t="n">
        <v>13</v>
      </c>
      <c r="B32" s="17" t="n">
        <v>46107</v>
      </c>
      <c r="C32" s="17" t="n">
        <v>46113</v>
      </c>
      <c r="D32" s="6" t="inlineStr">
        <is>
          <t>Март 2026</t>
        </is>
      </c>
      <c r="E32" s="7">
        <f>SUMPRODUCT((Кал_Даты&gt;=$B32)*(Кал_Даты&lt;=$C32)*(Кал_Раб=1))</f>
        <v/>
      </c>
    </row>
    <row r="33">
      <c r="A33" s="6" t="n">
        <v>14</v>
      </c>
      <c r="B33" s="17" t="n">
        <v>46114</v>
      </c>
      <c r="C33" s="17" t="n">
        <v>46120</v>
      </c>
      <c r="D33" s="6" t="inlineStr">
        <is>
          <t>Апрель 2026</t>
        </is>
      </c>
      <c r="E33" s="7">
        <f>SUMPRODUCT((Кал_Даты&gt;=$B33)*(Кал_Даты&lt;=$C33)*(Кал_Раб=1))</f>
        <v/>
      </c>
    </row>
    <row r="34">
      <c r="A34" s="6" t="n">
        <v>15</v>
      </c>
      <c r="B34" s="17" t="n">
        <v>46121</v>
      </c>
      <c r="C34" s="17" t="n">
        <v>46127</v>
      </c>
      <c r="D34" s="6" t="inlineStr">
        <is>
          <t>Апрель 2026</t>
        </is>
      </c>
      <c r="E34" s="7">
        <f>SUMPRODUCT((Кал_Даты&gt;=$B34)*(Кал_Даты&lt;=$C34)*(Кал_Раб=1))</f>
        <v/>
      </c>
    </row>
    <row r="35">
      <c r="A35" s="6" t="n">
        <v>16</v>
      </c>
      <c r="B35" s="17" t="n">
        <v>46128</v>
      </c>
      <c r="C35" s="17" t="n">
        <v>46134</v>
      </c>
      <c r="D35" s="6" t="inlineStr">
        <is>
          <t>Апрель 2026</t>
        </is>
      </c>
      <c r="E35" s="7">
        <f>SUMPRODUCT((Кал_Даты&gt;=$B35)*(Кал_Даты&lt;=$C35)*(Кал_Раб=1))</f>
        <v/>
      </c>
    </row>
    <row r="36">
      <c r="A36" s="6" t="n">
        <v>17</v>
      </c>
      <c r="B36" s="17" t="n">
        <v>46135</v>
      </c>
      <c r="C36" s="17" t="n">
        <v>46141</v>
      </c>
      <c r="D36" s="6" t="inlineStr">
        <is>
          <t>Апрель 2026</t>
        </is>
      </c>
      <c r="E36" s="7">
        <f>SUMPRODUCT((Кал_Даты&gt;=$B36)*(Кал_Даты&lt;=$C36)*(Кал_Раб=1))</f>
        <v/>
      </c>
    </row>
    <row r="37">
      <c r="A37" s="6" t="n">
        <v>18</v>
      </c>
      <c r="B37" s="17" t="n">
        <v>46142</v>
      </c>
      <c r="C37" s="17" t="n">
        <v>46148</v>
      </c>
      <c r="D37" s="6" t="inlineStr">
        <is>
          <t>Апрель 2026</t>
        </is>
      </c>
      <c r="E37" s="7">
        <f>SUMPRODUCT((Кал_Даты&gt;=$B37)*(Кал_Даты&lt;=$C37)*(Кал_Раб=1))</f>
        <v/>
      </c>
    </row>
    <row r="38">
      <c r="A38" s="6" t="n">
        <v>19</v>
      </c>
      <c r="B38" s="17" t="n">
        <v>46149</v>
      </c>
      <c r="C38" s="17" t="n">
        <v>46155</v>
      </c>
      <c r="D38" s="6" t="inlineStr">
        <is>
          <t>Май 2026</t>
        </is>
      </c>
      <c r="E38" s="7">
        <f>SUMPRODUCT((Кал_Даты&gt;=$B38)*(Кал_Даты&lt;=$C38)*(Кал_Раб=1))</f>
        <v/>
      </c>
    </row>
    <row r="39">
      <c r="A39" s="6" t="n">
        <v>20</v>
      </c>
      <c r="B39" s="17" t="n">
        <v>46156</v>
      </c>
      <c r="C39" s="17" t="n">
        <v>46162</v>
      </c>
      <c r="D39" s="6" t="inlineStr">
        <is>
          <t>Май 2026</t>
        </is>
      </c>
      <c r="E39" s="7">
        <f>SUMPRODUCT((Кал_Даты&gt;=$B39)*(Кал_Даты&lt;=$C39)*(Кал_Раб=1))</f>
        <v/>
      </c>
    </row>
    <row r="40">
      <c r="A40" s="6" t="n">
        <v>21</v>
      </c>
      <c r="B40" s="17" t="n">
        <v>46163</v>
      </c>
      <c r="C40" s="17" t="n">
        <v>46169</v>
      </c>
      <c r="D40" s="6" t="inlineStr">
        <is>
          <t>Май 2026</t>
        </is>
      </c>
      <c r="E40" s="7">
        <f>SUMPRODUCT((Кал_Даты&gt;=$B40)*(Кал_Даты&lt;=$C40)*(Кал_Раб=1))</f>
        <v/>
      </c>
    </row>
    <row r="41">
      <c r="A41" s="6" t="n">
        <v>22</v>
      </c>
      <c r="B41" s="17" t="n">
        <v>46170</v>
      </c>
      <c r="C41" s="17" t="n">
        <v>46176</v>
      </c>
      <c r="D41" s="6" t="inlineStr">
        <is>
          <t>Май 2026</t>
        </is>
      </c>
      <c r="E41" s="7">
        <f>SUMPRODUCT((Кал_Даты&gt;=$B41)*(Кал_Даты&lt;=$C41)*(Кал_Раб=1))</f>
        <v/>
      </c>
    </row>
    <row r="42">
      <c r="A42" s="6" t="n">
        <v>23</v>
      </c>
      <c r="B42" s="17" t="n">
        <v>46177</v>
      </c>
      <c r="C42" s="17" t="n">
        <v>46183</v>
      </c>
      <c r="D42" s="6" t="inlineStr">
        <is>
          <t>Июнь 2026</t>
        </is>
      </c>
      <c r="E42" s="7">
        <f>SUMPRODUCT((Кал_Даты&gt;=$B42)*(Кал_Даты&lt;=$C42)*(Кал_Раб=1))</f>
        <v/>
      </c>
    </row>
    <row r="43">
      <c r="A43" s="6" t="n">
        <v>24</v>
      </c>
      <c r="B43" s="17" t="n">
        <v>46184</v>
      </c>
      <c r="C43" s="17" t="n">
        <v>46190</v>
      </c>
      <c r="D43" s="6" t="inlineStr">
        <is>
          <t>Июнь 2026</t>
        </is>
      </c>
      <c r="E43" s="7">
        <f>SUMPRODUCT((Кал_Даты&gt;=$B43)*(Кал_Даты&lt;=$C43)*(Кал_Раб=1))</f>
        <v/>
      </c>
    </row>
    <row r="44">
      <c r="A44" s="6" t="n">
        <v>25</v>
      </c>
      <c r="B44" s="17" t="n">
        <v>46191</v>
      </c>
      <c r="C44" s="17" t="n">
        <v>46197</v>
      </c>
      <c r="D44" s="6" t="inlineStr">
        <is>
          <t>Июнь 2026</t>
        </is>
      </c>
      <c r="E44" s="7">
        <f>SUMPRODUCT((Кал_Даты&gt;=$B44)*(Кал_Даты&lt;=$C44)*(Кал_Раб=1))</f>
        <v/>
      </c>
    </row>
    <row r="45">
      <c r="A45" s="6" t="n">
        <v>26</v>
      </c>
      <c r="B45" s="17" t="n">
        <v>46198</v>
      </c>
      <c r="C45" s="17" t="n">
        <v>46204</v>
      </c>
      <c r="D45" s="6" t="inlineStr">
        <is>
          <t>Июнь 2026</t>
        </is>
      </c>
      <c r="E45" s="7">
        <f>SUMPRODUCT((Кал_Даты&gt;=$B45)*(Кал_Даты&lt;=$C45)*(Кал_Раб=1))</f>
        <v/>
      </c>
    </row>
    <row r="46">
      <c r="A46" s="6" t="n">
        <v>27</v>
      </c>
      <c r="B46" s="17" t="n">
        <v>46205</v>
      </c>
      <c r="C46" s="17" t="n">
        <v>46211</v>
      </c>
      <c r="D46" s="6" t="inlineStr">
        <is>
          <t>Июль 2026</t>
        </is>
      </c>
      <c r="E46" s="7">
        <f>SUMPRODUCT((Кал_Даты&gt;=$B46)*(Кал_Даты&lt;=$C46)*(Кал_Раб=1))</f>
        <v/>
      </c>
    </row>
    <row r="47">
      <c r="A47" s="6" t="n">
        <v>28</v>
      </c>
      <c r="B47" s="17" t="n">
        <v>46212</v>
      </c>
      <c r="C47" s="17" t="n">
        <v>46218</v>
      </c>
      <c r="D47" s="6" t="inlineStr">
        <is>
          <t>Июль 2026</t>
        </is>
      </c>
      <c r="E47" s="7">
        <f>SUMPRODUCT((Кал_Даты&gt;=$B47)*(Кал_Даты&lt;=$C47)*(Кал_Раб=1))</f>
        <v/>
      </c>
    </row>
    <row r="48">
      <c r="A48" s="6" t="n">
        <v>29</v>
      </c>
      <c r="B48" s="17" t="n">
        <v>46219</v>
      </c>
      <c r="C48" s="17" t="n">
        <v>46225</v>
      </c>
      <c r="D48" s="6" t="inlineStr">
        <is>
          <t>Июль 2026</t>
        </is>
      </c>
      <c r="E48" s="7">
        <f>SUMPRODUCT((Кал_Даты&gt;=$B48)*(Кал_Даты&lt;=$C48)*(Кал_Раб=1))</f>
        <v/>
      </c>
    </row>
    <row r="49">
      <c r="A49" s="6" t="n">
        <v>30</v>
      </c>
      <c r="B49" s="17" t="n">
        <v>46226</v>
      </c>
      <c r="C49" s="17" t="n">
        <v>46232</v>
      </c>
      <c r="D49" s="6" t="inlineStr">
        <is>
          <t>Июль 2026</t>
        </is>
      </c>
      <c r="E49" s="7">
        <f>SUMPRODUCT((Кал_Даты&gt;=$B49)*(Кал_Даты&lt;=$C49)*(Кал_Раб=1))</f>
        <v/>
      </c>
    </row>
    <row r="50">
      <c r="A50" s="6" t="n">
        <v>31</v>
      </c>
      <c r="B50" s="17" t="n">
        <v>46233</v>
      </c>
      <c r="C50" s="17" t="n">
        <v>46239</v>
      </c>
      <c r="D50" s="6" t="inlineStr">
        <is>
          <t>Июль 2026</t>
        </is>
      </c>
      <c r="E50" s="7">
        <f>SUMPRODUCT((Кал_Даты&gt;=$B50)*(Кал_Даты&lt;=$C50)*(Кал_Раб=1))</f>
        <v/>
      </c>
    </row>
    <row r="51">
      <c r="A51" s="6" t="n">
        <v>32</v>
      </c>
      <c r="B51" s="17" t="n">
        <v>46240</v>
      </c>
      <c r="C51" s="17" t="n">
        <v>46246</v>
      </c>
      <c r="D51" s="6" t="inlineStr">
        <is>
          <t>Август 2026</t>
        </is>
      </c>
      <c r="E51" s="7">
        <f>SUMPRODUCT((Кал_Даты&gt;=$B51)*(Кал_Даты&lt;=$C51)*(Кал_Раб=1))</f>
        <v/>
      </c>
    </row>
    <row r="52">
      <c r="A52" s="6" t="n">
        <v>33</v>
      </c>
      <c r="B52" s="17" t="n">
        <v>46247</v>
      </c>
      <c r="C52" s="17" t="n">
        <v>46253</v>
      </c>
      <c r="D52" s="6" t="inlineStr">
        <is>
          <t>Август 2026</t>
        </is>
      </c>
      <c r="E52" s="7">
        <f>SUMPRODUCT((Кал_Даты&gt;=$B52)*(Кал_Даты&lt;=$C52)*(Кал_Раб=1))</f>
        <v/>
      </c>
    </row>
    <row r="53">
      <c r="A53" s="6" t="n">
        <v>34</v>
      </c>
      <c r="B53" s="17" t="n">
        <v>46254</v>
      </c>
      <c r="C53" s="17" t="n">
        <v>46260</v>
      </c>
      <c r="D53" s="6" t="inlineStr">
        <is>
          <t>Август 2026</t>
        </is>
      </c>
      <c r="E53" s="7">
        <f>SUMPRODUCT((Кал_Даты&gt;=$B53)*(Кал_Даты&lt;=$C53)*(Кал_Раб=1))</f>
        <v/>
      </c>
    </row>
    <row r="54">
      <c r="A54" s="6" t="n">
        <v>35</v>
      </c>
      <c r="B54" s="17" t="n">
        <v>46261</v>
      </c>
      <c r="C54" s="17" t="n">
        <v>46267</v>
      </c>
      <c r="D54" s="6" t="inlineStr">
        <is>
          <t>Август 2026</t>
        </is>
      </c>
      <c r="E54" s="7">
        <f>SUMPRODUCT((Кал_Даты&gt;=$B54)*(Кал_Даты&lt;=$C54)*(Кал_Раб=1))</f>
        <v/>
      </c>
    </row>
    <row r="55">
      <c r="A55" s="6" t="n">
        <v>36</v>
      </c>
      <c r="B55" s="17" t="n">
        <v>46268</v>
      </c>
      <c r="C55" s="17" t="n">
        <v>46274</v>
      </c>
      <c r="D55" s="6" t="inlineStr">
        <is>
          <t>Сентябрь 2026</t>
        </is>
      </c>
      <c r="E55" s="7">
        <f>SUMPRODUCT((Кал_Даты&gt;=$B55)*(Кал_Даты&lt;=$C55)*(Кал_Раб=1))</f>
        <v/>
      </c>
    </row>
    <row r="56">
      <c r="A56" s="6" t="n">
        <v>37</v>
      </c>
      <c r="B56" s="17" t="n">
        <v>46275</v>
      </c>
      <c r="C56" s="17" t="n">
        <v>46281</v>
      </c>
      <c r="D56" s="6" t="inlineStr">
        <is>
          <t>Сентябрь 2026</t>
        </is>
      </c>
      <c r="E56" s="7">
        <f>SUMPRODUCT((Кал_Даты&gt;=$B56)*(Кал_Даты&lt;=$C56)*(Кал_Раб=1))</f>
        <v/>
      </c>
    </row>
    <row r="57">
      <c r="A57" s="6" t="n">
        <v>38</v>
      </c>
      <c r="B57" s="17" t="n">
        <v>46282</v>
      </c>
      <c r="C57" s="17" t="n">
        <v>46288</v>
      </c>
      <c r="D57" s="6" t="inlineStr">
        <is>
          <t>Сентябрь 2026</t>
        </is>
      </c>
      <c r="E57" s="7">
        <f>SUMPRODUCT((Кал_Даты&gt;=$B57)*(Кал_Даты&lt;=$C57)*(Кал_Раб=1))</f>
        <v/>
      </c>
    </row>
    <row r="58">
      <c r="A58" s="6" t="n">
        <v>39</v>
      </c>
      <c r="B58" s="17" t="n">
        <v>46289</v>
      </c>
      <c r="C58" s="17" t="n">
        <v>46295</v>
      </c>
      <c r="D58" s="6" t="inlineStr">
        <is>
          <t>Сентябрь 2026</t>
        </is>
      </c>
      <c r="E58" s="7">
        <f>SUMPRODUCT((Кал_Даты&gt;=$B58)*(Кал_Даты&lt;=$C58)*(Кал_Раб=1))</f>
        <v/>
      </c>
    </row>
    <row r="59">
      <c r="A59" s="6" t="n">
        <v>40</v>
      </c>
      <c r="B59" s="17" t="n">
        <v>46296</v>
      </c>
      <c r="C59" s="17" t="n">
        <v>46302</v>
      </c>
      <c r="D59" s="6" t="inlineStr">
        <is>
          <t>Октябрь 2026</t>
        </is>
      </c>
      <c r="E59" s="7">
        <f>SUMPRODUCT((Кал_Даты&gt;=$B59)*(Кал_Даты&lt;=$C59)*(Кал_Раб=1))</f>
        <v/>
      </c>
    </row>
    <row r="60">
      <c r="A60" s="6" t="n">
        <v>41</v>
      </c>
      <c r="B60" s="17" t="n">
        <v>46303</v>
      </c>
      <c r="C60" s="17" t="n">
        <v>46309</v>
      </c>
      <c r="D60" s="6" t="inlineStr">
        <is>
          <t>Октябрь 2026</t>
        </is>
      </c>
      <c r="E60" s="7">
        <f>SUMPRODUCT((Кал_Даты&gt;=$B60)*(Кал_Даты&lt;=$C60)*(Кал_Раб=1))</f>
        <v/>
      </c>
    </row>
    <row r="61">
      <c r="A61" s="6" t="n">
        <v>42</v>
      </c>
      <c r="B61" s="17" t="n">
        <v>46310</v>
      </c>
      <c r="C61" s="17" t="n">
        <v>46316</v>
      </c>
      <c r="D61" s="6" t="inlineStr">
        <is>
          <t>Октябрь 2026</t>
        </is>
      </c>
      <c r="E61" s="7">
        <f>SUMPRODUCT((Кал_Даты&gt;=$B61)*(Кал_Даты&lt;=$C61)*(Кал_Раб=1))</f>
        <v/>
      </c>
    </row>
    <row r="62">
      <c r="A62" s="6" t="n">
        <v>43</v>
      </c>
      <c r="B62" s="17" t="n">
        <v>46317</v>
      </c>
      <c r="C62" s="17" t="n">
        <v>46323</v>
      </c>
      <c r="D62" s="6" t="inlineStr">
        <is>
          <t>Октябрь 2026</t>
        </is>
      </c>
      <c r="E62" s="7">
        <f>SUMPRODUCT((Кал_Даты&gt;=$B62)*(Кал_Даты&lt;=$C62)*(Кал_Раб=1))</f>
        <v/>
      </c>
    </row>
    <row r="63">
      <c r="A63" s="6" t="n">
        <v>44</v>
      </c>
      <c r="B63" s="17" t="n">
        <v>46324</v>
      </c>
      <c r="C63" s="17" t="n">
        <v>46330</v>
      </c>
      <c r="D63" s="6" t="inlineStr">
        <is>
          <t>Октябрь 2026</t>
        </is>
      </c>
      <c r="E63" s="7">
        <f>SUMPRODUCT((Кал_Даты&gt;=$B63)*(Кал_Даты&lt;=$C63)*(Кал_Раб=1))</f>
        <v/>
      </c>
    </row>
    <row r="64">
      <c r="A64" s="6" t="n">
        <v>45</v>
      </c>
      <c r="B64" s="17" t="n">
        <v>46331</v>
      </c>
      <c r="C64" s="17" t="n">
        <v>46337</v>
      </c>
      <c r="D64" s="6" t="inlineStr">
        <is>
          <t>Ноябрь 2026</t>
        </is>
      </c>
      <c r="E64" s="7">
        <f>SUMPRODUCT((Кал_Даты&gt;=$B64)*(Кал_Даты&lt;=$C64)*(Кал_Раб=1))</f>
        <v/>
      </c>
    </row>
    <row r="65">
      <c r="A65" s="6" t="n">
        <v>46</v>
      </c>
      <c r="B65" s="17" t="n">
        <v>46338</v>
      </c>
      <c r="C65" s="17" t="n">
        <v>46344</v>
      </c>
      <c r="D65" s="6" t="inlineStr">
        <is>
          <t>Ноябрь 2026</t>
        </is>
      </c>
      <c r="E65" s="7">
        <f>SUMPRODUCT((Кал_Даты&gt;=$B65)*(Кал_Даты&lt;=$C65)*(Кал_Раб=1))</f>
        <v/>
      </c>
    </row>
    <row r="66">
      <c r="A66" s="6" t="n">
        <v>47</v>
      </c>
      <c r="B66" s="17" t="n">
        <v>46345</v>
      </c>
      <c r="C66" s="17" t="n">
        <v>46351</v>
      </c>
      <c r="D66" s="6" t="inlineStr">
        <is>
          <t>Ноябрь 2026</t>
        </is>
      </c>
      <c r="E66" s="7">
        <f>SUMPRODUCT((Кал_Даты&gt;=$B66)*(Кал_Даты&lt;=$C66)*(Кал_Раб=1))</f>
        <v/>
      </c>
    </row>
    <row r="67">
      <c r="A67" s="6" t="n">
        <v>48</v>
      </c>
      <c r="B67" s="17" t="n">
        <v>46352</v>
      </c>
      <c r="C67" s="17" t="n">
        <v>46358</v>
      </c>
      <c r="D67" s="6" t="inlineStr">
        <is>
          <t>Ноябрь 2026</t>
        </is>
      </c>
      <c r="E67" s="7">
        <f>SUMPRODUCT((Кал_Даты&gt;=$B67)*(Кал_Даты&lt;=$C67)*(Кал_Раб=1))</f>
        <v/>
      </c>
    </row>
    <row r="68">
      <c r="A68" s="6" t="n">
        <v>49</v>
      </c>
      <c r="B68" s="17" t="n">
        <v>46359</v>
      </c>
      <c r="C68" s="17" t="n">
        <v>46365</v>
      </c>
      <c r="D68" s="6" t="inlineStr">
        <is>
          <t>Декабрь 2026</t>
        </is>
      </c>
      <c r="E68" s="7">
        <f>SUMPRODUCT((Кал_Даты&gt;=$B68)*(Кал_Даты&lt;=$C68)*(Кал_Раб=1))</f>
        <v/>
      </c>
    </row>
    <row r="69">
      <c r="A69" s="6" t="n">
        <v>50</v>
      </c>
      <c r="B69" s="17" t="n">
        <v>46366</v>
      </c>
      <c r="C69" s="17" t="n">
        <v>46372</v>
      </c>
      <c r="D69" s="6" t="inlineStr">
        <is>
          <t>Декабрь 2026</t>
        </is>
      </c>
      <c r="E69" s="7">
        <f>SUMPRODUCT((Кал_Даты&gt;=$B69)*(Кал_Даты&lt;=$C69)*(Кал_Раб=1))</f>
        <v/>
      </c>
    </row>
    <row r="70">
      <c r="A70" s="6" t="n">
        <v>51</v>
      </c>
      <c r="B70" s="17" t="n">
        <v>46373</v>
      </c>
      <c r="C70" s="17" t="n">
        <v>46379</v>
      </c>
      <c r="D70" s="6" t="inlineStr">
        <is>
          <t>Декабрь 2026</t>
        </is>
      </c>
      <c r="E70" s="7">
        <f>SUMPRODUCT((Кал_Даты&gt;=$B70)*(Кал_Даты&lt;=$C70)*(Кал_Раб=1))</f>
        <v/>
      </c>
    </row>
    <row r="71">
      <c r="A71" s="6" t="n">
        <v>52</v>
      </c>
      <c r="B71" s="17" t="n">
        <v>46380</v>
      </c>
      <c r="C71" s="17" t="n">
        <v>46386</v>
      </c>
      <c r="D71" s="6" t="inlineStr">
        <is>
          <t>Декабрь 2026</t>
        </is>
      </c>
      <c r="E71" s="7">
        <f>SUMPRODUCT((Кал_Даты&gt;=$B71)*(Кал_Даты&lt;=$C71)*(Кал_Раб=1))</f>
        <v/>
      </c>
    </row>
    <row r="72">
      <c r="A72" s="6" t="n">
        <v>53</v>
      </c>
      <c r="B72" s="17" t="n">
        <v>46387</v>
      </c>
      <c r="C72" s="17" t="n">
        <v>46393</v>
      </c>
      <c r="D72" s="6" t="inlineStr">
        <is>
          <t>Декабрь 2026</t>
        </is>
      </c>
      <c r="E72" s="7">
        <f>SUMPRODUCT((Кал_Даты&gt;=$B72)*(Кал_Даты&lt;=$C72)*(Кал_Раб=1))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5" customWidth="1" min="3" max="3"/>
    <col width="18" customWidth="1" min="4" max="4"/>
  </cols>
  <sheetData>
    <row r="1">
      <c r="A1" s="5" t="inlineStr">
        <is>
          <t>Дата</t>
        </is>
      </c>
      <c r="B1" s="5" t="inlineStr">
        <is>
          <t>Месяц №</t>
        </is>
      </c>
      <c r="C1" s="5" t="inlineStr">
        <is>
          <t>День недели</t>
        </is>
      </c>
      <c r="D1" s="5" t="inlineStr">
        <is>
          <t>Рабочий день (1/0)</t>
        </is>
      </c>
    </row>
    <row r="2">
      <c r="A2" s="18" t="n">
        <v>46023</v>
      </c>
      <c r="B2" t="n">
        <v>1</v>
      </c>
      <c r="C2" t="inlineStr">
        <is>
          <t>Четверг</t>
        </is>
      </c>
      <c r="D2" t="n">
        <v>1</v>
      </c>
    </row>
    <row r="3">
      <c r="A3" s="18" t="n">
        <v>46024</v>
      </c>
      <c r="B3" t="n">
        <v>1</v>
      </c>
      <c r="C3" t="inlineStr">
        <is>
          <t>Пятница</t>
        </is>
      </c>
      <c r="D3" t="n">
        <v>1</v>
      </c>
    </row>
    <row r="4">
      <c r="A4" s="19" t="n">
        <v>46025</v>
      </c>
      <c r="B4" s="20" t="n">
        <v>1</v>
      </c>
      <c r="C4" s="20" t="inlineStr">
        <is>
          <t>Суббота</t>
        </is>
      </c>
      <c r="D4" s="20" t="n">
        <v>0</v>
      </c>
    </row>
    <row r="5">
      <c r="A5" s="19" t="n">
        <v>46026</v>
      </c>
      <c r="B5" s="20" t="n">
        <v>1</v>
      </c>
      <c r="C5" s="20" t="inlineStr">
        <is>
          <t>Воскресенье</t>
        </is>
      </c>
      <c r="D5" s="20" t="n">
        <v>0</v>
      </c>
    </row>
    <row r="6">
      <c r="A6" s="18" t="n">
        <v>46027</v>
      </c>
      <c r="B6" t="n">
        <v>1</v>
      </c>
      <c r="C6" t="inlineStr">
        <is>
          <t>Понедельник</t>
        </is>
      </c>
      <c r="D6" t="n">
        <v>1</v>
      </c>
    </row>
    <row r="7">
      <c r="A7" s="18" t="n">
        <v>46028</v>
      </c>
      <c r="B7" t="n">
        <v>1</v>
      </c>
      <c r="C7" t="inlineStr">
        <is>
          <t>Вторник</t>
        </is>
      </c>
      <c r="D7" t="n">
        <v>1</v>
      </c>
    </row>
    <row r="8">
      <c r="A8" s="18" t="n">
        <v>46029</v>
      </c>
      <c r="B8" t="n">
        <v>1</v>
      </c>
      <c r="C8" t="inlineStr">
        <is>
          <t>Среда</t>
        </is>
      </c>
      <c r="D8" t="n">
        <v>1</v>
      </c>
    </row>
    <row r="9">
      <c r="A9" s="18" t="n">
        <v>46030</v>
      </c>
      <c r="B9" t="n">
        <v>1</v>
      </c>
      <c r="C9" t="inlineStr">
        <is>
          <t>Четверг</t>
        </is>
      </c>
      <c r="D9" t="n">
        <v>1</v>
      </c>
    </row>
    <row r="10">
      <c r="A10" s="18" t="n">
        <v>46031</v>
      </c>
      <c r="B10" t="n">
        <v>1</v>
      </c>
      <c r="C10" t="inlineStr">
        <is>
          <t>Пятница</t>
        </is>
      </c>
      <c r="D10" t="n">
        <v>1</v>
      </c>
    </row>
    <row r="11">
      <c r="A11" s="19" t="n">
        <v>46032</v>
      </c>
      <c r="B11" s="20" t="n">
        <v>1</v>
      </c>
      <c r="C11" s="20" t="inlineStr">
        <is>
          <t>Суббота</t>
        </is>
      </c>
      <c r="D11" s="20" t="n">
        <v>0</v>
      </c>
    </row>
    <row r="12">
      <c r="A12" s="19" t="n">
        <v>46033</v>
      </c>
      <c r="B12" s="20" t="n">
        <v>1</v>
      </c>
      <c r="C12" s="20" t="inlineStr">
        <is>
          <t>Воскресенье</t>
        </is>
      </c>
      <c r="D12" s="20" t="n">
        <v>0</v>
      </c>
    </row>
    <row r="13">
      <c r="A13" s="18" t="n">
        <v>46034</v>
      </c>
      <c r="B13" t="n">
        <v>1</v>
      </c>
      <c r="C13" t="inlineStr">
        <is>
          <t>Понедельник</t>
        </is>
      </c>
      <c r="D13" t="n">
        <v>1</v>
      </c>
    </row>
    <row r="14">
      <c r="A14" s="18" t="n">
        <v>46035</v>
      </c>
      <c r="B14" t="n">
        <v>1</v>
      </c>
      <c r="C14" t="inlineStr">
        <is>
          <t>Вторник</t>
        </is>
      </c>
      <c r="D14" t="n">
        <v>1</v>
      </c>
    </row>
    <row r="15">
      <c r="A15" s="18" t="n">
        <v>46036</v>
      </c>
      <c r="B15" t="n">
        <v>1</v>
      </c>
      <c r="C15" t="inlineStr">
        <is>
          <t>Среда</t>
        </is>
      </c>
      <c r="D15" t="n">
        <v>1</v>
      </c>
    </row>
    <row r="16">
      <c r="A16" s="18" t="n">
        <v>46037</v>
      </c>
      <c r="B16" t="n">
        <v>1</v>
      </c>
      <c r="C16" t="inlineStr">
        <is>
          <t>Четверг</t>
        </is>
      </c>
      <c r="D16" t="n">
        <v>1</v>
      </c>
    </row>
    <row r="17">
      <c r="A17" s="18" t="n">
        <v>46038</v>
      </c>
      <c r="B17" t="n">
        <v>1</v>
      </c>
      <c r="C17" t="inlineStr">
        <is>
          <t>Пятница</t>
        </is>
      </c>
      <c r="D17" t="n">
        <v>1</v>
      </c>
    </row>
    <row r="18">
      <c r="A18" s="19" t="n">
        <v>46039</v>
      </c>
      <c r="B18" s="20" t="n">
        <v>1</v>
      </c>
      <c r="C18" s="20" t="inlineStr">
        <is>
          <t>Суббота</t>
        </is>
      </c>
      <c r="D18" s="20" t="n">
        <v>0</v>
      </c>
    </row>
    <row r="19">
      <c r="A19" s="19" t="n">
        <v>46040</v>
      </c>
      <c r="B19" s="20" t="n">
        <v>1</v>
      </c>
      <c r="C19" s="20" t="inlineStr">
        <is>
          <t>Воскресенье</t>
        </is>
      </c>
      <c r="D19" s="20" t="n">
        <v>0</v>
      </c>
    </row>
    <row r="20">
      <c r="A20" s="18" t="n">
        <v>46041</v>
      </c>
      <c r="B20" t="n">
        <v>1</v>
      </c>
      <c r="C20" t="inlineStr">
        <is>
          <t>Понедельник</t>
        </is>
      </c>
      <c r="D20" t="n">
        <v>1</v>
      </c>
    </row>
    <row r="21">
      <c r="A21" s="18" t="n">
        <v>46042</v>
      </c>
      <c r="B21" t="n">
        <v>1</v>
      </c>
      <c r="C21" t="inlineStr">
        <is>
          <t>Вторник</t>
        </is>
      </c>
      <c r="D21" t="n">
        <v>1</v>
      </c>
    </row>
    <row r="22">
      <c r="A22" s="18" t="n">
        <v>46043</v>
      </c>
      <c r="B22" t="n">
        <v>1</v>
      </c>
      <c r="C22" t="inlineStr">
        <is>
          <t>Среда</t>
        </is>
      </c>
      <c r="D22" t="n">
        <v>1</v>
      </c>
    </row>
    <row r="23">
      <c r="A23" s="18" t="n">
        <v>46044</v>
      </c>
      <c r="B23" t="n">
        <v>1</v>
      </c>
      <c r="C23" t="inlineStr">
        <is>
          <t>Четверг</t>
        </is>
      </c>
      <c r="D23" t="n">
        <v>1</v>
      </c>
    </row>
    <row r="24">
      <c r="A24" s="18" t="n">
        <v>46045</v>
      </c>
      <c r="B24" t="n">
        <v>1</v>
      </c>
      <c r="C24" t="inlineStr">
        <is>
          <t>Пятница</t>
        </is>
      </c>
      <c r="D24" t="n">
        <v>1</v>
      </c>
    </row>
    <row r="25">
      <c r="A25" s="19" t="n">
        <v>46046</v>
      </c>
      <c r="B25" s="20" t="n">
        <v>1</v>
      </c>
      <c r="C25" s="20" t="inlineStr">
        <is>
          <t>Суббота</t>
        </is>
      </c>
      <c r="D25" s="20" t="n">
        <v>0</v>
      </c>
    </row>
    <row r="26">
      <c r="A26" s="19" t="n">
        <v>46047</v>
      </c>
      <c r="B26" s="20" t="n">
        <v>1</v>
      </c>
      <c r="C26" s="20" t="inlineStr">
        <is>
          <t>Воскресенье</t>
        </is>
      </c>
      <c r="D26" s="20" t="n">
        <v>0</v>
      </c>
    </row>
    <row r="27">
      <c r="A27" s="18" t="n">
        <v>46048</v>
      </c>
      <c r="B27" t="n">
        <v>1</v>
      </c>
      <c r="C27" t="inlineStr">
        <is>
          <t>Понедельник</t>
        </is>
      </c>
      <c r="D27" t="n">
        <v>1</v>
      </c>
    </row>
    <row r="28">
      <c r="A28" s="18" t="n">
        <v>46049</v>
      </c>
      <c r="B28" t="n">
        <v>1</v>
      </c>
      <c r="C28" t="inlineStr">
        <is>
          <t>Вторник</t>
        </is>
      </c>
      <c r="D28" t="n">
        <v>1</v>
      </c>
    </row>
    <row r="29">
      <c r="A29" s="18" t="n">
        <v>46050</v>
      </c>
      <c r="B29" t="n">
        <v>1</v>
      </c>
      <c r="C29" t="inlineStr">
        <is>
          <t>Среда</t>
        </is>
      </c>
      <c r="D29" t="n">
        <v>1</v>
      </c>
    </row>
    <row r="30">
      <c r="A30" s="18" t="n">
        <v>46051</v>
      </c>
      <c r="B30" t="n">
        <v>1</v>
      </c>
      <c r="C30" t="inlineStr">
        <is>
          <t>Четверг</t>
        </is>
      </c>
      <c r="D30" t="n">
        <v>1</v>
      </c>
    </row>
    <row r="31">
      <c r="A31" s="18" t="n">
        <v>46052</v>
      </c>
      <c r="B31" t="n">
        <v>1</v>
      </c>
      <c r="C31" t="inlineStr">
        <is>
          <t>Пятница</t>
        </is>
      </c>
      <c r="D31" t="n">
        <v>1</v>
      </c>
    </row>
    <row r="32">
      <c r="A32" s="19" t="n">
        <v>46053</v>
      </c>
      <c r="B32" s="20" t="n">
        <v>1</v>
      </c>
      <c r="C32" s="20" t="inlineStr">
        <is>
          <t>Суббота</t>
        </is>
      </c>
      <c r="D32" s="20" t="n">
        <v>0</v>
      </c>
    </row>
    <row r="33">
      <c r="A33" s="19" t="n">
        <v>46054</v>
      </c>
      <c r="B33" s="20" t="n">
        <v>2</v>
      </c>
      <c r="C33" s="20" t="inlineStr">
        <is>
          <t>Воскресенье</t>
        </is>
      </c>
      <c r="D33" s="20" t="n">
        <v>0</v>
      </c>
    </row>
    <row r="34">
      <c r="A34" s="18" t="n">
        <v>46055</v>
      </c>
      <c r="B34" t="n">
        <v>2</v>
      </c>
      <c r="C34" t="inlineStr">
        <is>
          <t>Понедельник</t>
        </is>
      </c>
      <c r="D34" t="n">
        <v>1</v>
      </c>
    </row>
    <row r="35">
      <c r="A35" s="18" t="n">
        <v>46056</v>
      </c>
      <c r="B35" t="n">
        <v>2</v>
      </c>
      <c r="C35" t="inlineStr">
        <is>
          <t>Вторник</t>
        </is>
      </c>
      <c r="D35" t="n">
        <v>1</v>
      </c>
    </row>
    <row r="36">
      <c r="A36" s="18" t="n">
        <v>46057</v>
      </c>
      <c r="B36" t="n">
        <v>2</v>
      </c>
      <c r="C36" t="inlineStr">
        <is>
          <t>Среда</t>
        </is>
      </c>
      <c r="D36" t="n">
        <v>1</v>
      </c>
    </row>
    <row r="37">
      <c r="A37" s="18" t="n">
        <v>46058</v>
      </c>
      <c r="B37" t="n">
        <v>2</v>
      </c>
      <c r="C37" t="inlineStr">
        <is>
          <t>Четверг</t>
        </is>
      </c>
      <c r="D37" t="n">
        <v>1</v>
      </c>
    </row>
    <row r="38">
      <c r="A38" s="18" t="n">
        <v>46059</v>
      </c>
      <c r="B38" t="n">
        <v>2</v>
      </c>
      <c r="C38" t="inlineStr">
        <is>
          <t>Пятница</t>
        </is>
      </c>
      <c r="D38" t="n">
        <v>1</v>
      </c>
    </row>
    <row r="39">
      <c r="A39" s="19" t="n">
        <v>46060</v>
      </c>
      <c r="B39" s="20" t="n">
        <v>2</v>
      </c>
      <c r="C39" s="20" t="inlineStr">
        <is>
          <t>Суббота</t>
        </is>
      </c>
      <c r="D39" s="20" t="n">
        <v>0</v>
      </c>
    </row>
    <row r="40">
      <c r="A40" s="19" t="n">
        <v>46061</v>
      </c>
      <c r="B40" s="20" t="n">
        <v>2</v>
      </c>
      <c r="C40" s="20" t="inlineStr">
        <is>
          <t>Воскресенье</t>
        </is>
      </c>
      <c r="D40" s="20" t="n">
        <v>0</v>
      </c>
    </row>
    <row r="41">
      <c r="A41" s="18" t="n">
        <v>46062</v>
      </c>
      <c r="B41" t="n">
        <v>2</v>
      </c>
      <c r="C41" t="inlineStr">
        <is>
          <t>Понедельник</t>
        </is>
      </c>
      <c r="D41" t="n">
        <v>1</v>
      </c>
    </row>
    <row r="42">
      <c r="A42" s="18" t="n">
        <v>46063</v>
      </c>
      <c r="B42" t="n">
        <v>2</v>
      </c>
      <c r="C42" t="inlineStr">
        <is>
          <t>Вторник</t>
        </is>
      </c>
      <c r="D42" t="n">
        <v>1</v>
      </c>
    </row>
    <row r="43">
      <c r="A43" s="18" t="n">
        <v>46064</v>
      </c>
      <c r="B43" t="n">
        <v>2</v>
      </c>
      <c r="C43" t="inlineStr">
        <is>
          <t>Среда</t>
        </is>
      </c>
      <c r="D43" t="n">
        <v>1</v>
      </c>
    </row>
    <row r="44">
      <c r="A44" s="18" t="n">
        <v>46065</v>
      </c>
      <c r="B44" t="n">
        <v>2</v>
      </c>
      <c r="C44" t="inlineStr">
        <is>
          <t>Четверг</t>
        </is>
      </c>
      <c r="D44" t="n">
        <v>1</v>
      </c>
    </row>
    <row r="45">
      <c r="A45" s="18" t="n">
        <v>46066</v>
      </c>
      <c r="B45" t="n">
        <v>2</v>
      </c>
      <c r="C45" t="inlineStr">
        <is>
          <t>Пятница</t>
        </is>
      </c>
      <c r="D45" t="n">
        <v>1</v>
      </c>
    </row>
    <row r="46">
      <c r="A46" s="19" t="n">
        <v>46067</v>
      </c>
      <c r="B46" s="20" t="n">
        <v>2</v>
      </c>
      <c r="C46" s="20" t="inlineStr">
        <is>
          <t>Суббота</t>
        </is>
      </c>
      <c r="D46" s="20" t="n">
        <v>0</v>
      </c>
    </row>
    <row r="47">
      <c r="A47" s="19" t="n">
        <v>46068</v>
      </c>
      <c r="B47" s="20" t="n">
        <v>2</v>
      </c>
      <c r="C47" s="20" t="inlineStr">
        <is>
          <t>Воскресенье</t>
        </is>
      </c>
      <c r="D47" s="20" t="n">
        <v>0</v>
      </c>
    </row>
    <row r="48">
      <c r="A48" s="18" t="n">
        <v>46069</v>
      </c>
      <c r="B48" t="n">
        <v>2</v>
      </c>
      <c r="C48" t="inlineStr">
        <is>
          <t>Понедельник</t>
        </is>
      </c>
      <c r="D48" t="n">
        <v>1</v>
      </c>
    </row>
    <row r="49">
      <c r="A49" s="18" t="n">
        <v>46070</v>
      </c>
      <c r="B49" t="n">
        <v>2</v>
      </c>
      <c r="C49" t="inlineStr">
        <is>
          <t>Вторник</t>
        </is>
      </c>
      <c r="D49" t="n">
        <v>1</v>
      </c>
    </row>
    <row r="50">
      <c r="A50" s="18" t="n">
        <v>46071</v>
      </c>
      <c r="B50" t="n">
        <v>2</v>
      </c>
      <c r="C50" t="inlineStr">
        <is>
          <t>Среда</t>
        </is>
      </c>
      <c r="D50" t="n">
        <v>1</v>
      </c>
    </row>
    <row r="51">
      <c r="A51" s="18" t="n">
        <v>46072</v>
      </c>
      <c r="B51" t="n">
        <v>2</v>
      </c>
      <c r="C51" t="inlineStr">
        <is>
          <t>Четверг</t>
        </is>
      </c>
      <c r="D51" t="n">
        <v>1</v>
      </c>
    </row>
    <row r="52">
      <c r="A52" s="18" t="n">
        <v>46073</v>
      </c>
      <c r="B52" t="n">
        <v>2</v>
      </c>
      <c r="C52" t="inlineStr">
        <is>
          <t>Пятница</t>
        </is>
      </c>
      <c r="D52" t="n">
        <v>1</v>
      </c>
    </row>
    <row r="53">
      <c r="A53" s="19" t="n">
        <v>46074</v>
      </c>
      <c r="B53" s="20" t="n">
        <v>2</v>
      </c>
      <c r="C53" s="20" t="inlineStr">
        <is>
          <t>Суббота</t>
        </is>
      </c>
      <c r="D53" s="20" t="n">
        <v>0</v>
      </c>
    </row>
    <row r="54">
      <c r="A54" s="19" t="n">
        <v>46075</v>
      </c>
      <c r="B54" s="20" t="n">
        <v>2</v>
      </c>
      <c r="C54" s="20" t="inlineStr">
        <is>
          <t>Воскресенье</t>
        </is>
      </c>
      <c r="D54" s="20" t="n">
        <v>0</v>
      </c>
    </row>
    <row r="55">
      <c r="A55" s="18" t="n">
        <v>46076</v>
      </c>
      <c r="B55" t="n">
        <v>2</v>
      </c>
      <c r="C55" t="inlineStr">
        <is>
          <t>Понедельник</t>
        </is>
      </c>
      <c r="D55" t="n">
        <v>1</v>
      </c>
    </row>
    <row r="56">
      <c r="A56" s="18" t="n">
        <v>46077</v>
      </c>
      <c r="B56" t="n">
        <v>2</v>
      </c>
      <c r="C56" t="inlineStr">
        <is>
          <t>Вторник</t>
        </is>
      </c>
      <c r="D56" t="n">
        <v>1</v>
      </c>
    </row>
    <row r="57">
      <c r="A57" s="18" t="n">
        <v>46078</v>
      </c>
      <c r="B57" t="n">
        <v>2</v>
      </c>
      <c r="C57" t="inlineStr">
        <is>
          <t>Среда</t>
        </is>
      </c>
      <c r="D57" t="n">
        <v>1</v>
      </c>
    </row>
    <row r="58">
      <c r="A58" s="18" t="n">
        <v>46079</v>
      </c>
      <c r="B58" t="n">
        <v>2</v>
      </c>
      <c r="C58" t="inlineStr">
        <is>
          <t>Четверг</t>
        </is>
      </c>
      <c r="D58" t="n">
        <v>1</v>
      </c>
    </row>
    <row r="59">
      <c r="A59" s="18" t="n">
        <v>46080</v>
      </c>
      <c r="B59" t="n">
        <v>2</v>
      </c>
      <c r="C59" t="inlineStr">
        <is>
          <t>Пятница</t>
        </is>
      </c>
      <c r="D59" t="n">
        <v>1</v>
      </c>
    </row>
    <row r="60">
      <c r="A60" s="19" t="n">
        <v>46081</v>
      </c>
      <c r="B60" s="20" t="n">
        <v>2</v>
      </c>
      <c r="C60" s="20" t="inlineStr">
        <is>
          <t>Суббота</t>
        </is>
      </c>
      <c r="D60" s="20" t="n">
        <v>0</v>
      </c>
    </row>
    <row r="61">
      <c r="A61" s="19" t="n">
        <v>46082</v>
      </c>
      <c r="B61" s="20" t="n">
        <v>3</v>
      </c>
      <c r="C61" s="20" t="inlineStr">
        <is>
          <t>Воскресенье</t>
        </is>
      </c>
      <c r="D61" s="20" t="n">
        <v>0</v>
      </c>
    </row>
    <row r="62">
      <c r="A62" s="18" t="n">
        <v>46083</v>
      </c>
      <c r="B62" t="n">
        <v>3</v>
      </c>
      <c r="C62" t="inlineStr">
        <is>
          <t>Понедельник</t>
        </is>
      </c>
      <c r="D62" t="n">
        <v>1</v>
      </c>
    </row>
    <row r="63">
      <c r="A63" s="18" t="n">
        <v>46084</v>
      </c>
      <c r="B63" t="n">
        <v>3</v>
      </c>
      <c r="C63" t="inlineStr">
        <is>
          <t>Вторник</t>
        </is>
      </c>
      <c r="D63" t="n">
        <v>1</v>
      </c>
    </row>
    <row r="64">
      <c r="A64" s="18" t="n">
        <v>46085</v>
      </c>
      <c r="B64" t="n">
        <v>3</v>
      </c>
      <c r="C64" t="inlineStr">
        <is>
          <t>Среда</t>
        </is>
      </c>
      <c r="D64" t="n">
        <v>1</v>
      </c>
    </row>
    <row r="65">
      <c r="A65" s="18" t="n">
        <v>46086</v>
      </c>
      <c r="B65" t="n">
        <v>3</v>
      </c>
      <c r="C65" t="inlineStr">
        <is>
          <t>Четверг</t>
        </is>
      </c>
      <c r="D65" t="n">
        <v>1</v>
      </c>
    </row>
    <row r="66">
      <c r="A66" s="18" t="n">
        <v>46087</v>
      </c>
      <c r="B66" t="n">
        <v>3</v>
      </c>
      <c r="C66" t="inlineStr">
        <is>
          <t>Пятница</t>
        </is>
      </c>
      <c r="D66" t="n">
        <v>1</v>
      </c>
    </row>
    <row r="67">
      <c r="A67" s="19" t="n">
        <v>46088</v>
      </c>
      <c r="B67" s="20" t="n">
        <v>3</v>
      </c>
      <c r="C67" s="20" t="inlineStr">
        <is>
          <t>Суббота</t>
        </is>
      </c>
      <c r="D67" s="20" t="n">
        <v>0</v>
      </c>
    </row>
    <row r="68">
      <c r="A68" s="19" t="n">
        <v>46089</v>
      </c>
      <c r="B68" s="20" t="n">
        <v>3</v>
      </c>
      <c r="C68" s="20" t="inlineStr">
        <is>
          <t>Воскресенье</t>
        </is>
      </c>
      <c r="D68" s="20" t="n">
        <v>0</v>
      </c>
    </row>
    <row r="69">
      <c r="A69" s="18" t="n">
        <v>46090</v>
      </c>
      <c r="B69" t="n">
        <v>3</v>
      </c>
      <c r="C69" t="inlineStr">
        <is>
          <t>Понедельник</t>
        </is>
      </c>
      <c r="D69" t="n">
        <v>1</v>
      </c>
    </row>
    <row r="70">
      <c r="A70" s="18" t="n">
        <v>46091</v>
      </c>
      <c r="B70" t="n">
        <v>3</v>
      </c>
      <c r="C70" t="inlineStr">
        <is>
          <t>Вторник</t>
        </is>
      </c>
      <c r="D70" t="n">
        <v>1</v>
      </c>
    </row>
    <row r="71">
      <c r="A71" s="18" t="n">
        <v>46092</v>
      </c>
      <c r="B71" t="n">
        <v>3</v>
      </c>
      <c r="C71" t="inlineStr">
        <is>
          <t>Среда</t>
        </is>
      </c>
      <c r="D71" t="n">
        <v>1</v>
      </c>
    </row>
    <row r="72">
      <c r="A72" s="18" t="n">
        <v>46093</v>
      </c>
      <c r="B72" t="n">
        <v>3</v>
      </c>
      <c r="C72" t="inlineStr">
        <is>
          <t>Четверг</t>
        </is>
      </c>
      <c r="D72" t="n">
        <v>1</v>
      </c>
    </row>
    <row r="73">
      <c r="A73" s="18" t="n">
        <v>46094</v>
      </c>
      <c r="B73" t="n">
        <v>3</v>
      </c>
      <c r="C73" t="inlineStr">
        <is>
          <t>Пятница</t>
        </is>
      </c>
      <c r="D73" t="n">
        <v>1</v>
      </c>
    </row>
    <row r="74">
      <c r="A74" s="19" t="n">
        <v>46095</v>
      </c>
      <c r="B74" s="20" t="n">
        <v>3</v>
      </c>
      <c r="C74" s="20" t="inlineStr">
        <is>
          <t>Суббота</t>
        </is>
      </c>
      <c r="D74" s="20" t="n">
        <v>0</v>
      </c>
    </row>
    <row r="75">
      <c r="A75" s="19" t="n">
        <v>46096</v>
      </c>
      <c r="B75" s="20" t="n">
        <v>3</v>
      </c>
      <c r="C75" s="20" t="inlineStr">
        <is>
          <t>Воскресенье</t>
        </is>
      </c>
      <c r="D75" s="20" t="n">
        <v>0</v>
      </c>
    </row>
    <row r="76">
      <c r="A76" s="18" t="n">
        <v>46097</v>
      </c>
      <c r="B76" t="n">
        <v>3</v>
      </c>
      <c r="C76" t="inlineStr">
        <is>
          <t>Понедельник</t>
        </is>
      </c>
      <c r="D76" t="n">
        <v>1</v>
      </c>
    </row>
    <row r="77">
      <c r="A77" s="18" t="n">
        <v>46098</v>
      </c>
      <c r="B77" t="n">
        <v>3</v>
      </c>
      <c r="C77" t="inlineStr">
        <is>
          <t>Вторник</t>
        </is>
      </c>
      <c r="D77" t="n">
        <v>1</v>
      </c>
    </row>
    <row r="78">
      <c r="A78" s="18" t="n">
        <v>46099</v>
      </c>
      <c r="B78" t="n">
        <v>3</v>
      </c>
      <c r="C78" t="inlineStr">
        <is>
          <t>Среда</t>
        </is>
      </c>
      <c r="D78" t="n">
        <v>1</v>
      </c>
    </row>
    <row r="79">
      <c r="A79" s="18" t="n">
        <v>46100</v>
      </c>
      <c r="B79" t="n">
        <v>3</v>
      </c>
      <c r="C79" t="inlineStr">
        <is>
          <t>Четверг</t>
        </is>
      </c>
      <c r="D79" t="n">
        <v>1</v>
      </c>
    </row>
    <row r="80">
      <c r="A80" s="18" t="n">
        <v>46101</v>
      </c>
      <c r="B80" t="n">
        <v>3</v>
      </c>
      <c r="C80" t="inlineStr">
        <is>
          <t>Пятница</t>
        </is>
      </c>
      <c r="D80" t="n">
        <v>1</v>
      </c>
    </row>
    <row r="81">
      <c r="A81" s="19" t="n">
        <v>46102</v>
      </c>
      <c r="B81" s="20" t="n">
        <v>3</v>
      </c>
      <c r="C81" s="20" t="inlineStr">
        <is>
          <t>Суббота</t>
        </is>
      </c>
      <c r="D81" s="20" t="n">
        <v>0</v>
      </c>
    </row>
    <row r="82">
      <c r="A82" s="19" t="n">
        <v>46103</v>
      </c>
      <c r="B82" s="20" t="n">
        <v>3</v>
      </c>
      <c r="C82" s="20" t="inlineStr">
        <is>
          <t>Воскресенье</t>
        </is>
      </c>
      <c r="D82" s="20" t="n">
        <v>0</v>
      </c>
    </row>
    <row r="83">
      <c r="A83" s="18" t="n">
        <v>46104</v>
      </c>
      <c r="B83" t="n">
        <v>3</v>
      </c>
      <c r="C83" t="inlineStr">
        <is>
          <t>Понедельник</t>
        </is>
      </c>
      <c r="D83" t="n">
        <v>1</v>
      </c>
    </row>
    <row r="84">
      <c r="A84" s="18" t="n">
        <v>46105</v>
      </c>
      <c r="B84" t="n">
        <v>3</v>
      </c>
      <c r="C84" t="inlineStr">
        <is>
          <t>Вторник</t>
        </is>
      </c>
      <c r="D84" t="n">
        <v>1</v>
      </c>
    </row>
    <row r="85">
      <c r="A85" s="18" t="n">
        <v>46106</v>
      </c>
      <c r="B85" t="n">
        <v>3</v>
      </c>
      <c r="C85" t="inlineStr">
        <is>
          <t>Среда</t>
        </is>
      </c>
      <c r="D85" t="n">
        <v>1</v>
      </c>
    </row>
    <row r="86">
      <c r="A86" s="18" t="n">
        <v>46107</v>
      </c>
      <c r="B86" t="n">
        <v>3</v>
      </c>
      <c r="C86" t="inlineStr">
        <is>
          <t>Четверг</t>
        </is>
      </c>
      <c r="D86" t="n">
        <v>1</v>
      </c>
    </row>
    <row r="87">
      <c r="A87" s="18" t="n">
        <v>46108</v>
      </c>
      <c r="B87" t="n">
        <v>3</v>
      </c>
      <c r="C87" t="inlineStr">
        <is>
          <t>Пятница</t>
        </is>
      </c>
      <c r="D87" t="n">
        <v>1</v>
      </c>
    </row>
    <row r="88">
      <c r="A88" s="19" t="n">
        <v>46109</v>
      </c>
      <c r="B88" s="20" t="n">
        <v>3</v>
      </c>
      <c r="C88" s="20" t="inlineStr">
        <is>
          <t>Суббота</t>
        </is>
      </c>
      <c r="D88" s="20" t="n">
        <v>0</v>
      </c>
    </row>
    <row r="89">
      <c r="A89" s="19" t="n">
        <v>46110</v>
      </c>
      <c r="B89" s="20" t="n">
        <v>3</v>
      </c>
      <c r="C89" s="20" t="inlineStr">
        <is>
          <t>Воскресенье</t>
        </is>
      </c>
      <c r="D89" s="20" t="n">
        <v>0</v>
      </c>
    </row>
    <row r="90">
      <c r="A90" s="18" t="n">
        <v>46111</v>
      </c>
      <c r="B90" t="n">
        <v>3</v>
      </c>
      <c r="C90" t="inlineStr">
        <is>
          <t>Понедельник</t>
        </is>
      </c>
      <c r="D90" t="n">
        <v>1</v>
      </c>
    </row>
    <row r="91">
      <c r="A91" s="18" t="n">
        <v>46112</v>
      </c>
      <c r="B91" t="n">
        <v>3</v>
      </c>
      <c r="C91" t="inlineStr">
        <is>
          <t>Вторник</t>
        </is>
      </c>
      <c r="D91" t="n">
        <v>1</v>
      </c>
    </row>
    <row r="92">
      <c r="A92" s="18" t="n">
        <v>46113</v>
      </c>
      <c r="B92" t="n">
        <v>4</v>
      </c>
      <c r="C92" t="inlineStr">
        <is>
          <t>Среда</t>
        </is>
      </c>
      <c r="D92" t="n">
        <v>1</v>
      </c>
    </row>
    <row r="93">
      <c r="A93" s="18" t="n">
        <v>46114</v>
      </c>
      <c r="B93" t="n">
        <v>4</v>
      </c>
      <c r="C93" t="inlineStr">
        <is>
          <t>Четверг</t>
        </is>
      </c>
      <c r="D93" t="n">
        <v>1</v>
      </c>
    </row>
    <row r="94">
      <c r="A94" s="18" t="n">
        <v>46115</v>
      </c>
      <c r="B94" t="n">
        <v>4</v>
      </c>
      <c r="C94" t="inlineStr">
        <is>
          <t>Пятница</t>
        </is>
      </c>
      <c r="D94" t="n">
        <v>1</v>
      </c>
    </row>
    <row r="95">
      <c r="A95" s="19" t="n">
        <v>46116</v>
      </c>
      <c r="B95" s="20" t="n">
        <v>4</v>
      </c>
      <c r="C95" s="20" t="inlineStr">
        <is>
          <t>Суббота</t>
        </is>
      </c>
      <c r="D95" s="20" t="n">
        <v>0</v>
      </c>
    </row>
    <row r="96">
      <c r="A96" s="19" t="n">
        <v>46117</v>
      </c>
      <c r="B96" s="20" t="n">
        <v>4</v>
      </c>
      <c r="C96" s="20" t="inlineStr">
        <is>
          <t>Воскресенье</t>
        </is>
      </c>
      <c r="D96" s="20" t="n">
        <v>0</v>
      </c>
    </row>
    <row r="97">
      <c r="A97" s="18" t="n">
        <v>46118</v>
      </c>
      <c r="B97" t="n">
        <v>4</v>
      </c>
      <c r="C97" t="inlineStr">
        <is>
          <t>Понедельник</t>
        </is>
      </c>
      <c r="D97" t="n">
        <v>1</v>
      </c>
    </row>
    <row r="98">
      <c r="A98" s="18" t="n">
        <v>46119</v>
      </c>
      <c r="B98" t="n">
        <v>4</v>
      </c>
      <c r="C98" t="inlineStr">
        <is>
          <t>Вторник</t>
        </is>
      </c>
      <c r="D98" t="n">
        <v>1</v>
      </c>
    </row>
    <row r="99">
      <c r="A99" s="18" t="n">
        <v>46120</v>
      </c>
      <c r="B99" t="n">
        <v>4</v>
      </c>
      <c r="C99" t="inlineStr">
        <is>
          <t>Среда</t>
        </is>
      </c>
      <c r="D99" t="n">
        <v>1</v>
      </c>
    </row>
    <row r="100">
      <c r="A100" s="18" t="n">
        <v>46121</v>
      </c>
      <c r="B100" t="n">
        <v>4</v>
      </c>
      <c r="C100" t="inlineStr">
        <is>
          <t>Четверг</t>
        </is>
      </c>
      <c r="D100" t="n">
        <v>1</v>
      </c>
    </row>
    <row r="101">
      <c r="A101" s="18" t="n">
        <v>46122</v>
      </c>
      <c r="B101" t="n">
        <v>4</v>
      </c>
      <c r="C101" t="inlineStr">
        <is>
          <t>Пятница</t>
        </is>
      </c>
      <c r="D101" t="n">
        <v>1</v>
      </c>
    </row>
    <row r="102">
      <c r="A102" s="19" t="n">
        <v>46123</v>
      </c>
      <c r="B102" s="20" t="n">
        <v>4</v>
      </c>
      <c r="C102" s="20" t="inlineStr">
        <is>
          <t>Суббота</t>
        </is>
      </c>
      <c r="D102" s="20" t="n">
        <v>0</v>
      </c>
    </row>
    <row r="103">
      <c r="A103" s="19" t="n">
        <v>46124</v>
      </c>
      <c r="B103" s="20" t="n">
        <v>4</v>
      </c>
      <c r="C103" s="20" t="inlineStr">
        <is>
          <t>Воскресенье</t>
        </is>
      </c>
      <c r="D103" s="20" t="n">
        <v>0</v>
      </c>
    </row>
    <row r="104">
      <c r="A104" s="18" t="n">
        <v>46125</v>
      </c>
      <c r="B104" t="n">
        <v>4</v>
      </c>
      <c r="C104" t="inlineStr">
        <is>
          <t>Понедельник</t>
        </is>
      </c>
      <c r="D104" t="n">
        <v>1</v>
      </c>
    </row>
    <row r="105">
      <c r="A105" s="18" t="n">
        <v>46126</v>
      </c>
      <c r="B105" t="n">
        <v>4</v>
      </c>
      <c r="C105" t="inlineStr">
        <is>
          <t>Вторник</t>
        </is>
      </c>
      <c r="D105" t="n">
        <v>1</v>
      </c>
    </row>
    <row r="106">
      <c r="A106" s="18" t="n">
        <v>46127</v>
      </c>
      <c r="B106" t="n">
        <v>4</v>
      </c>
      <c r="C106" t="inlineStr">
        <is>
          <t>Среда</t>
        </is>
      </c>
      <c r="D106" t="n">
        <v>1</v>
      </c>
    </row>
    <row r="107">
      <c r="A107" s="18" t="n">
        <v>46128</v>
      </c>
      <c r="B107" t="n">
        <v>4</v>
      </c>
      <c r="C107" t="inlineStr">
        <is>
          <t>Четверг</t>
        </is>
      </c>
      <c r="D107" t="n">
        <v>1</v>
      </c>
    </row>
    <row r="108">
      <c r="A108" s="18" t="n">
        <v>46129</v>
      </c>
      <c r="B108" t="n">
        <v>4</v>
      </c>
      <c r="C108" t="inlineStr">
        <is>
          <t>Пятница</t>
        </is>
      </c>
      <c r="D108" t="n">
        <v>1</v>
      </c>
    </row>
    <row r="109">
      <c r="A109" s="19" t="n">
        <v>46130</v>
      </c>
      <c r="B109" s="20" t="n">
        <v>4</v>
      </c>
      <c r="C109" s="20" t="inlineStr">
        <is>
          <t>Суббота</t>
        </is>
      </c>
      <c r="D109" s="20" t="n">
        <v>0</v>
      </c>
    </row>
    <row r="110">
      <c r="A110" s="19" t="n">
        <v>46131</v>
      </c>
      <c r="B110" s="20" t="n">
        <v>4</v>
      </c>
      <c r="C110" s="20" t="inlineStr">
        <is>
          <t>Воскресенье</t>
        </is>
      </c>
      <c r="D110" s="20" t="n">
        <v>0</v>
      </c>
    </row>
    <row r="111">
      <c r="A111" s="18" t="n">
        <v>46132</v>
      </c>
      <c r="B111" t="n">
        <v>4</v>
      </c>
      <c r="C111" t="inlineStr">
        <is>
          <t>Понедельник</t>
        </is>
      </c>
      <c r="D111" t="n">
        <v>1</v>
      </c>
    </row>
    <row r="112">
      <c r="A112" s="18" t="n">
        <v>46133</v>
      </c>
      <c r="B112" t="n">
        <v>4</v>
      </c>
      <c r="C112" t="inlineStr">
        <is>
          <t>Вторник</t>
        </is>
      </c>
      <c r="D112" t="n">
        <v>1</v>
      </c>
    </row>
    <row r="113">
      <c r="A113" s="18" t="n">
        <v>46134</v>
      </c>
      <c r="B113" t="n">
        <v>4</v>
      </c>
      <c r="C113" t="inlineStr">
        <is>
          <t>Среда</t>
        </is>
      </c>
      <c r="D113" t="n">
        <v>1</v>
      </c>
    </row>
    <row r="114">
      <c r="A114" s="18" t="n">
        <v>46135</v>
      </c>
      <c r="B114" t="n">
        <v>4</v>
      </c>
      <c r="C114" t="inlineStr">
        <is>
          <t>Четверг</t>
        </is>
      </c>
      <c r="D114" t="n">
        <v>1</v>
      </c>
    </row>
    <row r="115">
      <c r="A115" s="18" t="n">
        <v>46136</v>
      </c>
      <c r="B115" t="n">
        <v>4</v>
      </c>
      <c r="C115" t="inlineStr">
        <is>
          <t>Пятница</t>
        </is>
      </c>
      <c r="D115" t="n">
        <v>1</v>
      </c>
    </row>
    <row r="116">
      <c r="A116" s="19" t="n">
        <v>46137</v>
      </c>
      <c r="B116" s="20" t="n">
        <v>4</v>
      </c>
      <c r="C116" s="20" t="inlineStr">
        <is>
          <t>Суббота</t>
        </is>
      </c>
      <c r="D116" s="20" t="n">
        <v>0</v>
      </c>
    </row>
    <row r="117">
      <c r="A117" s="19" t="n">
        <v>46138</v>
      </c>
      <c r="B117" s="20" t="n">
        <v>4</v>
      </c>
      <c r="C117" s="20" t="inlineStr">
        <is>
          <t>Воскресенье</t>
        </is>
      </c>
      <c r="D117" s="20" t="n">
        <v>0</v>
      </c>
    </row>
    <row r="118">
      <c r="A118" s="18" t="n">
        <v>46139</v>
      </c>
      <c r="B118" t="n">
        <v>4</v>
      </c>
      <c r="C118" t="inlineStr">
        <is>
          <t>Понедельник</t>
        </is>
      </c>
      <c r="D118" t="n">
        <v>1</v>
      </c>
    </row>
    <row r="119">
      <c r="A119" s="18" t="n">
        <v>46140</v>
      </c>
      <c r="B119" t="n">
        <v>4</v>
      </c>
      <c r="C119" t="inlineStr">
        <is>
          <t>Вторник</t>
        </is>
      </c>
      <c r="D119" t="n">
        <v>1</v>
      </c>
    </row>
    <row r="120">
      <c r="A120" s="18" t="n">
        <v>46141</v>
      </c>
      <c r="B120" t="n">
        <v>4</v>
      </c>
      <c r="C120" t="inlineStr">
        <is>
          <t>Среда</t>
        </is>
      </c>
      <c r="D120" t="n">
        <v>1</v>
      </c>
    </row>
    <row r="121">
      <c r="A121" s="18" t="n">
        <v>46142</v>
      </c>
      <c r="B121" t="n">
        <v>4</v>
      </c>
      <c r="C121" t="inlineStr">
        <is>
          <t>Четверг</t>
        </is>
      </c>
      <c r="D121" t="n">
        <v>1</v>
      </c>
    </row>
    <row r="122">
      <c r="A122" s="18" t="n">
        <v>46143</v>
      </c>
      <c r="B122" t="n">
        <v>5</v>
      </c>
      <c r="C122" t="inlineStr">
        <is>
          <t>Пятница</t>
        </is>
      </c>
      <c r="D122" t="n">
        <v>1</v>
      </c>
    </row>
    <row r="123">
      <c r="A123" s="19" t="n">
        <v>46144</v>
      </c>
      <c r="B123" s="20" t="n">
        <v>5</v>
      </c>
      <c r="C123" s="20" t="inlineStr">
        <is>
          <t>Суббота</t>
        </is>
      </c>
      <c r="D123" s="20" t="n">
        <v>0</v>
      </c>
    </row>
    <row r="124">
      <c r="A124" s="19" t="n">
        <v>46145</v>
      </c>
      <c r="B124" s="20" t="n">
        <v>5</v>
      </c>
      <c r="C124" s="20" t="inlineStr">
        <is>
          <t>Воскресенье</t>
        </is>
      </c>
      <c r="D124" s="20" t="n">
        <v>0</v>
      </c>
    </row>
    <row r="125">
      <c r="A125" s="18" t="n">
        <v>46146</v>
      </c>
      <c r="B125" t="n">
        <v>5</v>
      </c>
      <c r="C125" t="inlineStr">
        <is>
          <t>Понедельник</t>
        </is>
      </c>
      <c r="D125" t="n">
        <v>1</v>
      </c>
    </row>
    <row r="126">
      <c r="A126" s="18" t="n">
        <v>46147</v>
      </c>
      <c r="B126" t="n">
        <v>5</v>
      </c>
      <c r="C126" t="inlineStr">
        <is>
          <t>Вторник</t>
        </is>
      </c>
      <c r="D126" t="n">
        <v>1</v>
      </c>
    </row>
    <row r="127">
      <c r="A127" s="18" t="n">
        <v>46148</v>
      </c>
      <c r="B127" t="n">
        <v>5</v>
      </c>
      <c r="C127" t="inlineStr">
        <is>
          <t>Среда</t>
        </is>
      </c>
      <c r="D127" t="n">
        <v>1</v>
      </c>
    </row>
    <row r="128">
      <c r="A128" s="18" t="n">
        <v>46149</v>
      </c>
      <c r="B128" t="n">
        <v>5</v>
      </c>
      <c r="C128" t="inlineStr">
        <is>
          <t>Четверг</t>
        </is>
      </c>
      <c r="D128" t="n">
        <v>1</v>
      </c>
    </row>
    <row r="129">
      <c r="A129" s="18" t="n">
        <v>46150</v>
      </c>
      <c r="B129" t="n">
        <v>5</v>
      </c>
      <c r="C129" t="inlineStr">
        <is>
          <t>Пятница</t>
        </is>
      </c>
      <c r="D129" t="n">
        <v>1</v>
      </c>
    </row>
    <row r="130">
      <c r="A130" s="19" t="n">
        <v>46151</v>
      </c>
      <c r="B130" s="20" t="n">
        <v>5</v>
      </c>
      <c r="C130" s="20" t="inlineStr">
        <is>
          <t>Суббота</t>
        </is>
      </c>
      <c r="D130" s="20" t="n">
        <v>0</v>
      </c>
    </row>
    <row r="131">
      <c r="A131" s="19" t="n">
        <v>46152</v>
      </c>
      <c r="B131" s="20" t="n">
        <v>5</v>
      </c>
      <c r="C131" s="20" t="inlineStr">
        <is>
          <t>Воскресенье</t>
        </is>
      </c>
      <c r="D131" s="20" t="n">
        <v>0</v>
      </c>
    </row>
    <row r="132">
      <c r="A132" s="18" t="n">
        <v>46153</v>
      </c>
      <c r="B132" t="n">
        <v>5</v>
      </c>
      <c r="C132" t="inlineStr">
        <is>
          <t>Понедельник</t>
        </is>
      </c>
      <c r="D132" t="n">
        <v>1</v>
      </c>
    </row>
    <row r="133">
      <c r="A133" s="18" t="n">
        <v>46154</v>
      </c>
      <c r="B133" t="n">
        <v>5</v>
      </c>
      <c r="C133" t="inlineStr">
        <is>
          <t>Вторник</t>
        </is>
      </c>
      <c r="D133" t="n">
        <v>1</v>
      </c>
    </row>
    <row r="134">
      <c r="A134" s="18" t="n">
        <v>46155</v>
      </c>
      <c r="B134" t="n">
        <v>5</v>
      </c>
      <c r="C134" t="inlineStr">
        <is>
          <t>Среда</t>
        </is>
      </c>
      <c r="D134" t="n">
        <v>1</v>
      </c>
    </row>
    <row r="135">
      <c r="A135" s="18" t="n">
        <v>46156</v>
      </c>
      <c r="B135" t="n">
        <v>5</v>
      </c>
      <c r="C135" t="inlineStr">
        <is>
          <t>Четверг</t>
        </is>
      </c>
      <c r="D135" t="n">
        <v>1</v>
      </c>
    </row>
    <row r="136">
      <c r="A136" s="18" t="n">
        <v>46157</v>
      </c>
      <c r="B136" t="n">
        <v>5</v>
      </c>
      <c r="C136" t="inlineStr">
        <is>
          <t>Пятница</t>
        </is>
      </c>
      <c r="D136" t="n">
        <v>1</v>
      </c>
    </row>
    <row r="137">
      <c r="A137" s="19" t="n">
        <v>46158</v>
      </c>
      <c r="B137" s="20" t="n">
        <v>5</v>
      </c>
      <c r="C137" s="20" t="inlineStr">
        <is>
          <t>Суббота</t>
        </is>
      </c>
      <c r="D137" s="20" t="n">
        <v>0</v>
      </c>
    </row>
    <row r="138">
      <c r="A138" s="19" t="n">
        <v>46159</v>
      </c>
      <c r="B138" s="20" t="n">
        <v>5</v>
      </c>
      <c r="C138" s="20" t="inlineStr">
        <is>
          <t>Воскресенье</t>
        </is>
      </c>
      <c r="D138" s="20" t="n">
        <v>0</v>
      </c>
    </row>
    <row r="139">
      <c r="A139" s="18" t="n">
        <v>46160</v>
      </c>
      <c r="B139" t="n">
        <v>5</v>
      </c>
      <c r="C139" t="inlineStr">
        <is>
          <t>Понедельник</t>
        </is>
      </c>
      <c r="D139" t="n">
        <v>1</v>
      </c>
    </row>
    <row r="140">
      <c r="A140" s="18" t="n">
        <v>46161</v>
      </c>
      <c r="B140" t="n">
        <v>5</v>
      </c>
      <c r="C140" t="inlineStr">
        <is>
          <t>Вторник</t>
        </is>
      </c>
      <c r="D140" t="n">
        <v>1</v>
      </c>
    </row>
    <row r="141">
      <c r="A141" s="18" t="n">
        <v>46162</v>
      </c>
      <c r="B141" t="n">
        <v>5</v>
      </c>
      <c r="C141" t="inlineStr">
        <is>
          <t>Среда</t>
        </is>
      </c>
      <c r="D141" t="n">
        <v>1</v>
      </c>
    </row>
    <row r="142">
      <c r="A142" s="18" t="n">
        <v>46163</v>
      </c>
      <c r="B142" t="n">
        <v>5</v>
      </c>
      <c r="C142" t="inlineStr">
        <is>
          <t>Четверг</t>
        </is>
      </c>
      <c r="D142" t="n">
        <v>1</v>
      </c>
    </row>
    <row r="143">
      <c r="A143" s="18" t="n">
        <v>46164</v>
      </c>
      <c r="B143" t="n">
        <v>5</v>
      </c>
      <c r="C143" t="inlineStr">
        <is>
          <t>Пятница</t>
        </is>
      </c>
      <c r="D143" t="n">
        <v>1</v>
      </c>
    </row>
    <row r="144">
      <c r="A144" s="19" t="n">
        <v>46165</v>
      </c>
      <c r="B144" s="20" t="n">
        <v>5</v>
      </c>
      <c r="C144" s="20" t="inlineStr">
        <is>
          <t>Суббота</t>
        </is>
      </c>
      <c r="D144" s="20" t="n">
        <v>0</v>
      </c>
    </row>
    <row r="145">
      <c r="A145" s="19" t="n">
        <v>46166</v>
      </c>
      <c r="B145" s="20" t="n">
        <v>5</v>
      </c>
      <c r="C145" s="20" t="inlineStr">
        <is>
          <t>Воскресенье</t>
        </is>
      </c>
      <c r="D145" s="20" t="n">
        <v>0</v>
      </c>
    </row>
    <row r="146">
      <c r="A146" s="18" t="n">
        <v>46167</v>
      </c>
      <c r="B146" t="n">
        <v>5</v>
      </c>
      <c r="C146" t="inlineStr">
        <is>
          <t>Понедельник</t>
        </is>
      </c>
      <c r="D146" t="n">
        <v>1</v>
      </c>
    </row>
    <row r="147">
      <c r="A147" s="18" t="n">
        <v>46168</v>
      </c>
      <c r="B147" t="n">
        <v>5</v>
      </c>
      <c r="C147" t="inlineStr">
        <is>
          <t>Вторник</t>
        </is>
      </c>
      <c r="D147" t="n">
        <v>1</v>
      </c>
    </row>
    <row r="148">
      <c r="A148" s="18" t="n">
        <v>46169</v>
      </c>
      <c r="B148" t="n">
        <v>5</v>
      </c>
      <c r="C148" t="inlineStr">
        <is>
          <t>Среда</t>
        </is>
      </c>
      <c r="D148" t="n">
        <v>1</v>
      </c>
    </row>
    <row r="149">
      <c r="A149" s="18" t="n">
        <v>46170</v>
      </c>
      <c r="B149" t="n">
        <v>5</v>
      </c>
      <c r="C149" t="inlineStr">
        <is>
          <t>Четверг</t>
        </is>
      </c>
      <c r="D149" t="n">
        <v>1</v>
      </c>
    </row>
    <row r="150">
      <c r="A150" s="18" t="n">
        <v>46171</v>
      </c>
      <c r="B150" t="n">
        <v>5</v>
      </c>
      <c r="C150" t="inlineStr">
        <is>
          <t>Пятница</t>
        </is>
      </c>
      <c r="D150" t="n">
        <v>1</v>
      </c>
    </row>
    <row r="151">
      <c r="A151" s="19" t="n">
        <v>46172</v>
      </c>
      <c r="B151" s="20" t="n">
        <v>5</v>
      </c>
      <c r="C151" s="20" t="inlineStr">
        <is>
          <t>Суббота</t>
        </is>
      </c>
      <c r="D151" s="20" t="n">
        <v>0</v>
      </c>
    </row>
    <row r="152">
      <c r="A152" s="19" t="n">
        <v>46173</v>
      </c>
      <c r="B152" s="20" t="n">
        <v>5</v>
      </c>
      <c r="C152" s="20" t="inlineStr">
        <is>
          <t>Воскресенье</t>
        </is>
      </c>
      <c r="D152" s="20" t="n">
        <v>0</v>
      </c>
    </row>
    <row r="153">
      <c r="A153" s="18" t="n">
        <v>46174</v>
      </c>
      <c r="B153" t="n">
        <v>6</v>
      </c>
      <c r="C153" t="inlineStr">
        <is>
          <t>Понедельник</t>
        </is>
      </c>
      <c r="D153" t="n">
        <v>1</v>
      </c>
    </row>
    <row r="154">
      <c r="A154" s="18" t="n">
        <v>46175</v>
      </c>
      <c r="B154" t="n">
        <v>6</v>
      </c>
      <c r="C154" t="inlineStr">
        <is>
          <t>Вторник</t>
        </is>
      </c>
      <c r="D154" t="n">
        <v>1</v>
      </c>
    </row>
    <row r="155">
      <c r="A155" s="18" t="n">
        <v>46176</v>
      </c>
      <c r="B155" t="n">
        <v>6</v>
      </c>
      <c r="C155" t="inlineStr">
        <is>
          <t>Среда</t>
        </is>
      </c>
      <c r="D155" t="n">
        <v>1</v>
      </c>
    </row>
    <row r="156">
      <c r="A156" s="18" t="n">
        <v>46177</v>
      </c>
      <c r="B156" t="n">
        <v>6</v>
      </c>
      <c r="C156" t="inlineStr">
        <is>
          <t>Четверг</t>
        </is>
      </c>
      <c r="D156" t="n">
        <v>1</v>
      </c>
    </row>
    <row r="157">
      <c r="A157" s="18" t="n">
        <v>46178</v>
      </c>
      <c r="B157" t="n">
        <v>6</v>
      </c>
      <c r="C157" t="inlineStr">
        <is>
          <t>Пятница</t>
        </is>
      </c>
      <c r="D157" t="n">
        <v>1</v>
      </c>
    </row>
    <row r="158">
      <c r="A158" s="19" t="n">
        <v>46179</v>
      </c>
      <c r="B158" s="20" t="n">
        <v>6</v>
      </c>
      <c r="C158" s="20" t="inlineStr">
        <is>
          <t>Суббота</t>
        </is>
      </c>
      <c r="D158" s="20" t="n">
        <v>0</v>
      </c>
    </row>
    <row r="159">
      <c r="A159" s="19" t="n">
        <v>46180</v>
      </c>
      <c r="B159" s="20" t="n">
        <v>6</v>
      </c>
      <c r="C159" s="20" t="inlineStr">
        <is>
          <t>Воскресенье</t>
        </is>
      </c>
      <c r="D159" s="20" t="n">
        <v>0</v>
      </c>
    </row>
    <row r="160">
      <c r="A160" s="18" t="n">
        <v>46181</v>
      </c>
      <c r="B160" t="n">
        <v>6</v>
      </c>
      <c r="C160" t="inlineStr">
        <is>
          <t>Понедельник</t>
        </is>
      </c>
      <c r="D160" t="n">
        <v>1</v>
      </c>
    </row>
    <row r="161">
      <c r="A161" s="18" t="n">
        <v>46182</v>
      </c>
      <c r="B161" t="n">
        <v>6</v>
      </c>
      <c r="C161" t="inlineStr">
        <is>
          <t>Вторник</t>
        </is>
      </c>
      <c r="D161" t="n">
        <v>1</v>
      </c>
    </row>
    <row r="162">
      <c r="A162" s="18" t="n">
        <v>46183</v>
      </c>
      <c r="B162" t="n">
        <v>6</v>
      </c>
      <c r="C162" t="inlineStr">
        <is>
          <t>Среда</t>
        </is>
      </c>
      <c r="D162" t="n">
        <v>1</v>
      </c>
    </row>
    <row r="163">
      <c r="A163" s="18" t="n">
        <v>46184</v>
      </c>
      <c r="B163" t="n">
        <v>6</v>
      </c>
      <c r="C163" t="inlineStr">
        <is>
          <t>Четверг</t>
        </is>
      </c>
      <c r="D163" t="n">
        <v>1</v>
      </c>
    </row>
    <row r="164">
      <c r="A164" s="18" t="n">
        <v>46185</v>
      </c>
      <c r="B164" t="n">
        <v>6</v>
      </c>
      <c r="C164" t="inlineStr">
        <is>
          <t>Пятница</t>
        </is>
      </c>
      <c r="D164" t="n">
        <v>1</v>
      </c>
    </row>
    <row r="165">
      <c r="A165" s="19" t="n">
        <v>46186</v>
      </c>
      <c r="B165" s="20" t="n">
        <v>6</v>
      </c>
      <c r="C165" s="20" t="inlineStr">
        <is>
          <t>Суббота</t>
        </is>
      </c>
      <c r="D165" s="20" t="n">
        <v>0</v>
      </c>
    </row>
    <row r="166">
      <c r="A166" s="19" t="n">
        <v>46187</v>
      </c>
      <c r="B166" s="20" t="n">
        <v>6</v>
      </c>
      <c r="C166" s="20" t="inlineStr">
        <is>
          <t>Воскресенье</t>
        </is>
      </c>
      <c r="D166" s="20" t="n">
        <v>0</v>
      </c>
    </row>
    <row r="167">
      <c r="A167" s="18" t="n">
        <v>46188</v>
      </c>
      <c r="B167" t="n">
        <v>6</v>
      </c>
      <c r="C167" t="inlineStr">
        <is>
          <t>Понедельник</t>
        </is>
      </c>
      <c r="D167" t="n">
        <v>1</v>
      </c>
    </row>
    <row r="168">
      <c r="A168" s="18" t="n">
        <v>46189</v>
      </c>
      <c r="B168" t="n">
        <v>6</v>
      </c>
      <c r="C168" t="inlineStr">
        <is>
          <t>Вторник</t>
        </is>
      </c>
      <c r="D168" t="n">
        <v>1</v>
      </c>
    </row>
    <row r="169">
      <c r="A169" s="18" t="n">
        <v>46190</v>
      </c>
      <c r="B169" t="n">
        <v>6</v>
      </c>
      <c r="C169" t="inlineStr">
        <is>
          <t>Среда</t>
        </is>
      </c>
      <c r="D169" t="n">
        <v>1</v>
      </c>
    </row>
    <row r="170">
      <c r="A170" s="18" t="n">
        <v>46191</v>
      </c>
      <c r="B170" t="n">
        <v>6</v>
      </c>
      <c r="C170" t="inlineStr">
        <is>
          <t>Четверг</t>
        </is>
      </c>
      <c r="D170" t="n">
        <v>1</v>
      </c>
    </row>
    <row r="171">
      <c r="A171" s="18" t="n">
        <v>46192</v>
      </c>
      <c r="B171" t="n">
        <v>6</v>
      </c>
      <c r="C171" t="inlineStr">
        <is>
          <t>Пятница</t>
        </is>
      </c>
      <c r="D171" t="n">
        <v>1</v>
      </c>
    </row>
    <row r="172">
      <c r="A172" s="19" t="n">
        <v>46193</v>
      </c>
      <c r="B172" s="20" t="n">
        <v>6</v>
      </c>
      <c r="C172" s="20" t="inlineStr">
        <is>
          <t>Суббота</t>
        </is>
      </c>
      <c r="D172" s="20" t="n">
        <v>0</v>
      </c>
    </row>
    <row r="173">
      <c r="A173" s="19" t="n">
        <v>46194</v>
      </c>
      <c r="B173" s="20" t="n">
        <v>6</v>
      </c>
      <c r="C173" s="20" t="inlineStr">
        <is>
          <t>Воскресенье</t>
        </is>
      </c>
      <c r="D173" s="20" t="n">
        <v>0</v>
      </c>
    </row>
    <row r="174">
      <c r="A174" s="18" t="n">
        <v>46195</v>
      </c>
      <c r="B174" t="n">
        <v>6</v>
      </c>
      <c r="C174" t="inlineStr">
        <is>
          <t>Понедельник</t>
        </is>
      </c>
      <c r="D174" t="n">
        <v>1</v>
      </c>
    </row>
    <row r="175">
      <c r="A175" s="18" t="n">
        <v>46196</v>
      </c>
      <c r="B175" t="n">
        <v>6</v>
      </c>
      <c r="C175" t="inlineStr">
        <is>
          <t>Вторник</t>
        </is>
      </c>
      <c r="D175" t="n">
        <v>1</v>
      </c>
    </row>
    <row r="176">
      <c r="A176" s="18" t="n">
        <v>46197</v>
      </c>
      <c r="B176" t="n">
        <v>6</v>
      </c>
      <c r="C176" t="inlineStr">
        <is>
          <t>Среда</t>
        </is>
      </c>
      <c r="D176" t="n">
        <v>1</v>
      </c>
    </row>
    <row r="177">
      <c r="A177" s="18" t="n">
        <v>46198</v>
      </c>
      <c r="B177" t="n">
        <v>6</v>
      </c>
      <c r="C177" t="inlineStr">
        <is>
          <t>Четверг</t>
        </is>
      </c>
      <c r="D177" t="n">
        <v>1</v>
      </c>
    </row>
    <row r="178">
      <c r="A178" s="18" t="n">
        <v>46199</v>
      </c>
      <c r="B178" t="n">
        <v>6</v>
      </c>
      <c r="C178" t="inlineStr">
        <is>
          <t>Пятница</t>
        </is>
      </c>
      <c r="D178" t="n">
        <v>1</v>
      </c>
    </row>
    <row r="179">
      <c r="A179" s="19" t="n">
        <v>46200</v>
      </c>
      <c r="B179" s="20" t="n">
        <v>6</v>
      </c>
      <c r="C179" s="20" t="inlineStr">
        <is>
          <t>Суббота</t>
        </is>
      </c>
      <c r="D179" s="20" t="n">
        <v>0</v>
      </c>
    </row>
    <row r="180">
      <c r="A180" s="19" t="n">
        <v>46201</v>
      </c>
      <c r="B180" s="20" t="n">
        <v>6</v>
      </c>
      <c r="C180" s="20" t="inlineStr">
        <is>
          <t>Воскресенье</t>
        </is>
      </c>
      <c r="D180" s="20" t="n">
        <v>0</v>
      </c>
    </row>
    <row r="181">
      <c r="A181" s="18" t="n">
        <v>46202</v>
      </c>
      <c r="B181" t="n">
        <v>6</v>
      </c>
      <c r="C181" t="inlineStr">
        <is>
          <t>Понедельник</t>
        </is>
      </c>
      <c r="D181" t="n">
        <v>1</v>
      </c>
    </row>
    <row r="182">
      <c r="A182" s="18" t="n">
        <v>46203</v>
      </c>
      <c r="B182" t="n">
        <v>6</v>
      </c>
      <c r="C182" t="inlineStr">
        <is>
          <t>Вторник</t>
        </is>
      </c>
      <c r="D182" t="n">
        <v>1</v>
      </c>
    </row>
    <row r="183">
      <c r="A183" s="18" t="n">
        <v>46204</v>
      </c>
      <c r="B183" t="n">
        <v>7</v>
      </c>
      <c r="C183" t="inlineStr">
        <is>
          <t>Среда</t>
        </is>
      </c>
      <c r="D183" t="n">
        <v>1</v>
      </c>
    </row>
    <row r="184">
      <c r="A184" s="18" t="n">
        <v>46205</v>
      </c>
      <c r="B184" t="n">
        <v>7</v>
      </c>
      <c r="C184" t="inlineStr">
        <is>
          <t>Четверг</t>
        </is>
      </c>
      <c r="D184" t="n">
        <v>1</v>
      </c>
    </row>
    <row r="185">
      <c r="A185" s="18" t="n">
        <v>46206</v>
      </c>
      <c r="B185" t="n">
        <v>7</v>
      </c>
      <c r="C185" t="inlineStr">
        <is>
          <t>Пятница</t>
        </is>
      </c>
      <c r="D185" t="n">
        <v>1</v>
      </c>
    </row>
    <row r="186">
      <c r="A186" s="19" t="n">
        <v>46207</v>
      </c>
      <c r="B186" s="20" t="n">
        <v>7</v>
      </c>
      <c r="C186" s="20" t="inlineStr">
        <is>
          <t>Суббота</t>
        </is>
      </c>
      <c r="D186" s="20" t="n">
        <v>0</v>
      </c>
    </row>
    <row r="187">
      <c r="A187" s="19" t="n">
        <v>46208</v>
      </c>
      <c r="B187" s="20" t="n">
        <v>7</v>
      </c>
      <c r="C187" s="20" t="inlineStr">
        <is>
          <t>Воскресенье</t>
        </is>
      </c>
      <c r="D187" s="20" t="n">
        <v>0</v>
      </c>
    </row>
    <row r="188">
      <c r="A188" s="18" t="n">
        <v>46209</v>
      </c>
      <c r="B188" t="n">
        <v>7</v>
      </c>
      <c r="C188" t="inlineStr">
        <is>
          <t>Понедельник</t>
        </is>
      </c>
      <c r="D188" t="n">
        <v>1</v>
      </c>
    </row>
    <row r="189">
      <c r="A189" s="18" t="n">
        <v>46210</v>
      </c>
      <c r="B189" t="n">
        <v>7</v>
      </c>
      <c r="C189" t="inlineStr">
        <is>
          <t>Вторник</t>
        </is>
      </c>
      <c r="D189" t="n">
        <v>1</v>
      </c>
    </row>
    <row r="190">
      <c r="A190" s="18" t="n">
        <v>46211</v>
      </c>
      <c r="B190" t="n">
        <v>7</v>
      </c>
      <c r="C190" t="inlineStr">
        <is>
          <t>Среда</t>
        </is>
      </c>
      <c r="D190" t="n">
        <v>1</v>
      </c>
    </row>
    <row r="191">
      <c r="A191" s="18" t="n">
        <v>46212</v>
      </c>
      <c r="B191" t="n">
        <v>7</v>
      </c>
      <c r="C191" t="inlineStr">
        <is>
          <t>Четверг</t>
        </is>
      </c>
      <c r="D191" t="n">
        <v>1</v>
      </c>
    </row>
    <row r="192">
      <c r="A192" s="18" t="n">
        <v>46213</v>
      </c>
      <c r="B192" t="n">
        <v>7</v>
      </c>
      <c r="C192" t="inlineStr">
        <is>
          <t>Пятница</t>
        </is>
      </c>
      <c r="D192" t="n">
        <v>1</v>
      </c>
    </row>
    <row r="193">
      <c r="A193" s="19" t="n">
        <v>46214</v>
      </c>
      <c r="B193" s="20" t="n">
        <v>7</v>
      </c>
      <c r="C193" s="20" t="inlineStr">
        <is>
          <t>Суббота</t>
        </is>
      </c>
      <c r="D193" s="20" t="n">
        <v>0</v>
      </c>
    </row>
    <row r="194">
      <c r="A194" s="19" t="n">
        <v>46215</v>
      </c>
      <c r="B194" s="20" t="n">
        <v>7</v>
      </c>
      <c r="C194" s="20" t="inlineStr">
        <is>
          <t>Воскресенье</t>
        </is>
      </c>
      <c r="D194" s="20" t="n">
        <v>0</v>
      </c>
    </row>
    <row r="195">
      <c r="A195" s="18" t="n">
        <v>46216</v>
      </c>
      <c r="B195" t="n">
        <v>7</v>
      </c>
      <c r="C195" t="inlineStr">
        <is>
          <t>Понедельник</t>
        </is>
      </c>
      <c r="D195" t="n">
        <v>1</v>
      </c>
    </row>
    <row r="196">
      <c r="A196" s="18" t="n">
        <v>46217</v>
      </c>
      <c r="B196" t="n">
        <v>7</v>
      </c>
      <c r="C196" t="inlineStr">
        <is>
          <t>Вторник</t>
        </is>
      </c>
      <c r="D196" t="n">
        <v>1</v>
      </c>
    </row>
    <row r="197">
      <c r="A197" s="18" t="n">
        <v>46218</v>
      </c>
      <c r="B197" t="n">
        <v>7</v>
      </c>
      <c r="C197" t="inlineStr">
        <is>
          <t>Среда</t>
        </is>
      </c>
      <c r="D197" t="n">
        <v>1</v>
      </c>
    </row>
    <row r="198">
      <c r="A198" s="18" t="n">
        <v>46219</v>
      </c>
      <c r="B198" t="n">
        <v>7</v>
      </c>
      <c r="C198" t="inlineStr">
        <is>
          <t>Четверг</t>
        </is>
      </c>
      <c r="D198" t="n">
        <v>1</v>
      </c>
    </row>
    <row r="199">
      <c r="A199" s="18" t="n">
        <v>46220</v>
      </c>
      <c r="B199" t="n">
        <v>7</v>
      </c>
      <c r="C199" t="inlineStr">
        <is>
          <t>Пятница</t>
        </is>
      </c>
      <c r="D199" t="n">
        <v>1</v>
      </c>
    </row>
    <row r="200">
      <c r="A200" s="19" t="n">
        <v>46221</v>
      </c>
      <c r="B200" s="20" t="n">
        <v>7</v>
      </c>
      <c r="C200" s="20" t="inlineStr">
        <is>
          <t>Суббота</t>
        </is>
      </c>
      <c r="D200" s="20" t="n">
        <v>0</v>
      </c>
    </row>
    <row r="201">
      <c r="A201" s="19" t="n">
        <v>46222</v>
      </c>
      <c r="B201" s="20" t="n">
        <v>7</v>
      </c>
      <c r="C201" s="20" t="inlineStr">
        <is>
          <t>Воскресенье</t>
        </is>
      </c>
      <c r="D201" s="20" t="n">
        <v>0</v>
      </c>
    </row>
    <row r="202">
      <c r="A202" s="18" t="n">
        <v>46223</v>
      </c>
      <c r="B202" t="n">
        <v>7</v>
      </c>
      <c r="C202" t="inlineStr">
        <is>
          <t>Понедельник</t>
        </is>
      </c>
      <c r="D202" t="n">
        <v>1</v>
      </c>
    </row>
    <row r="203">
      <c r="A203" s="18" t="n">
        <v>46224</v>
      </c>
      <c r="B203" t="n">
        <v>7</v>
      </c>
      <c r="C203" t="inlineStr">
        <is>
          <t>Вторник</t>
        </is>
      </c>
      <c r="D203" t="n">
        <v>1</v>
      </c>
    </row>
    <row r="204">
      <c r="A204" s="18" t="n">
        <v>46225</v>
      </c>
      <c r="B204" t="n">
        <v>7</v>
      </c>
      <c r="C204" t="inlineStr">
        <is>
          <t>Среда</t>
        </is>
      </c>
      <c r="D204" t="n">
        <v>1</v>
      </c>
    </row>
    <row r="205">
      <c r="A205" s="18" t="n">
        <v>46226</v>
      </c>
      <c r="B205" t="n">
        <v>7</v>
      </c>
      <c r="C205" t="inlineStr">
        <is>
          <t>Четверг</t>
        </is>
      </c>
      <c r="D205" t="n">
        <v>1</v>
      </c>
    </row>
    <row r="206">
      <c r="A206" s="18" t="n">
        <v>46227</v>
      </c>
      <c r="B206" t="n">
        <v>7</v>
      </c>
      <c r="C206" t="inlineStr">
        <is>
          <t>Пятница</t>
        </is>
      </c>
      <c r="D206" t="n">
        <v>1</v>
      </c>
    </row>
    <row r="207">
      <c r="A207" s="19" t="n">
        <v>46228</v>
      </c>
      <c r="B207" s="20" t="n">
        <v>7</v>
      </c>
      <c r="C207" s="20" t="inlineStr">
        <is>
          <t>Суббота</t>
        </is>
      </c>
      <c r="D207" s="20" t="n">
        <v>0</v>
      </c>
    </row>
    <row r="208">
      <c r="A208" s="19" t="n">
        <v>46229</v>
      </c>
      <c r="B208" s="20" t="n">
        <v>7</v>
      </c>
      <c r="C208" s="20" t="inlineStr">
        <is>
          <t>Воскресенье</t>
        </is>
      </c>
      <c r="D208" s="20" t="n">
        <v>0</v>
      </c>
    </row>
    <row r="209">
      <c r="A209" s="18" t="n">
        <v>46230</v>
      </c>
      <c r="B209" t="n">
        <v>7</v>
      </c>
      <c r="C209" t="inlineStr">
        <is>
          <t>Понедельник</t>
        </is>
      </c>
      <c r="D209" t="n">
        <v>1</v>
      </c>
    </row>
    <row r="210">
      <c r="A210" s="18" t="n">
        <v>46231</v>
      </c>
      <c r="B210" t="n">
        <v>7</v>
      </c>
      <c r="C210" t="inlineStr">
        <is>
          <t>Вторник</t>
        </is>
      </c>
      <c r="D210" t="n">
        <v>1</v>
      </c>
    </row>
    <row r="211">
      <c r="A211" s="18" t="n">
        <v>46232</v>
      </c>
      <c r="B211" t="n">
        <v>7</v>
      </c>
      <c r="C211" t="inlineStr">
        <is>
          <t>Среда</t>
        </is>
      </c>
      <c r="D211" t="n">
        <v>1</v>
      </c>
    </row>
    <row r="212">
      <c r="A212" s="18" t="n">
        <v>46233</v>
      </c>
      <c r="B212" t="n">
        <v>7</v>
      </c>
      <c r="C212" t="inlineStr">
        <is>
          <t>Четверг</t>
        </is>
      </c>
      <c r="D212" t="n">
        <v>1</v>
      </c>
    </row>
    <row r="213">
      <c r="A213" s="18" t="n">
        <v>46234</v>
      </c>
      <c r="B213" t="n">
        <v>7</v>
      </c>
      <c r="C213" t="inlineStr">
        <is>
          <t>Пятница</t>
        </is>
      </c>
      <c r="D213" t="n">
        <v>1</v>
      </c>
    </row>
    <row r="214">
      <c r="A214" s="19" t="n">
        <v>46235</v>
      </c>
      <c r="B214" s="20" t="n">
        <v>8</v>
      </c>
      <c r="C214" s="20" t="inlineStr">
        <is>
          <t>Суббота</t>
        </is>
      </c>
      <c r="D214" s="20" t="n">
        <v>0</v>
      </c>
    </row>
    <row r="215">
      <c r="A215" s="19" t="n">
        <v>46236</v>
      </c>
      <c r="B215" s="20" t="n">
        <v>8</v>
      </c>
      <c r="C215" s="20" t="inlineStr">
        <is>
          <t>Воскресенье</t>
        </is>
      </c>
      <c r="D215" s="20" t="n">
        <v>0</v>
      </c>
    </row>
    <row r="216">
      <c r="A216" s="18" t="n">
        <v>46237</v>
      </c>
      <c r="B216" t="n">
        <v>8</v>
      </c>
      <c r="C216" t="inlineStr">
        <is>
          <t>Понедельник</t>
        </is>
      </c>
      <c r="D216" t="n">
        <v>1</v>
      </c>
    </row>
    <row r="217">
      <c r="A217" s="18" t="n">
        <v>46238</v>
      </c>
      <c r="B217" t="n">
        <v>8</v>
      </c>
      <c r="C217" t="inlineStr">
        <is>
          <t>Вторник</t>
        </is>
      </c>
      <c r="D217" t="n">
        <v>1</v>
      </c>
    </row>
    <row r="218">
      <c r="A218" s="18" t="n">
        <v>46239</v>
      </c>
      <c r="B218" t="n">
        <v>8</v>
      </c>
      <c r="C218" t="inlineStr">
        <is>
          <t>Среда</t>
        </is>
      </c>
      <c r="D218" t="n">
        <v>1</v>
      </c>
    </row>
    <row r="219">
      <c r="A219" s="18" t="n">
        <v>46240</v>
      </c>
      <c r="B219" t="n">
        <v>8</v>
      </c>
      <c r="C219" t="inlineStr">
        <is>
          <t>Четверг</t>
        </is>
      </c>
      <c r="D219" t="n">
        <v>1</v>
      </c>
    </row>
    <row r="220">
      <c r="A220" s="18" t="n">
        <v>46241</v>
      </c>
      <c r="B220" t="n">
        <v>8</v>
      </c>
      <c r="C220" t="inlineStr">
        <is>
          <t>Пятница</t>
        </is>
      </c>
      <c r="D220" t="n">
        <v>1</v>
      </c>
    </row>
    <row r="221">
      <c r="A221" s="19" t="n">
        <v>46242</v>
      </c>
      <c r="B221" s="20" t="n">
        <v>8</v>
      </c>
      <c r="C221" s="20" t="inlineStr">
        <is>
          <t>Суббота</t>
        </is>
      </c>
      <c r="D221" s="20" t="n">
        <v>0</v>
      </c>
    </row>
    <row r="222">
      <c r="A222" s="19" t="n">
        <v>46243</v>
      </c>
      <c r="B222" s="20" t="n">
        <v>8</v>
      </c>
      <c r="C222" s="20" t="inlineStr">
        <is>
          <t>Воскресенье</t>
        </is>
      </c>
      <c r="D222" s="20" t="n">
        <v>0</v>
      </c>
    </row>
    <row r="223">
      <c r="A223" s="18" t="n">
        <v>46244</v>
      </c>
      <c r="B223" t="n">
        <v>8</v>
      </c>
      <c r="C223" t="inlineStr">
        <is>
          <t>Понедельник</t>
        </is>
      </c>
      <c r="D223" t="n">
        <v>1</v>
      </c>
    </row>
    <row r="224">
      <c r="A224" s="18" t="n">
        <v>46245</v>
      </c>
      <c r="B224" t="n">
        <v>8</v>
      </c>
      <c r="C224" t="inlineStr">
        <is>
          <t>Вторник</t>
        </is>
      </c>
      <c r="D224" t="n">
        <v>1</v>
      </c>
    </row>
    <row r="225">
      <c r="A225" s="18" t="n">
        <v>46246</v>
      </c>
      <c r="B225" t="n">
        <v>8</v>
      </c>
      <c r="C225" t="inlineStr">
        <is>
          <t>Среда</t>
        </is>
      </c>
      <c r="D225" t="n">
        <v>1</v>
      </c>
    </row>
    <row r="226">
      <c r="A226" s="18" t="n">
        <v>46247</v>
      </c>
      <c r="B226" t="n">
        <v>8</v>
      </c>
      <c r="C226" t="inlineStr">
        <is>
          <t>Четверг</t>
        </is>
      </c>
      <c r="D226" t="n">
        <v>1</v>
      </c>
    </row>
    <row r="227">
      <c r="A227" s="18" t="n">
        <v>46248</v>
      </c>
      <c r="B227" t="n">
        <v>8</v>
      </c>
      <c r="C227" t="inlineStr">
        <is>
          <t>Пятница</t>
        </is>
      </c>
      <c r="D227" t="n">
        <v>1</v>
      </c>
    </row>
    <row r="228">
      <c r="A228" s="19" t="n">
        <v>46249</v>
      </c>
      <c r="B228" s="20" t="n">
        <v>8</v>
      </c>
      <c r="C228" s="20" t="inlineStr">
        <is>
          <t>Суббота</t>
        </is>
      </c>
      <c r="D228" s="20" t="n">
        <v>0</v>
      </c>
    </row>
    <row r="229">
      <c r="A229" s="19" t="n">
        <v>46250</v>
      </c>
      <c r="B229" s="20" t="n">
        <v>8</v>
      </c>
      <c r="C229" s="20" t="inlineStr">
        <is>
          <t>Воскресенье</t>
        </is>
      </c>
      <c r="D229" s="20" t="n">
        <v>0</v>
      </c>
    </row>
    <row r="230">
      <c r="A230" s="18" t="n">
        <v>46251</v>
      </c>
      <c r="B230" t="n">
        <v>8</v>
      </c>
      <c r="C230" t="inlineStr">
        <is>
          <t>Понедельник</t>
        </is>
      </c>
      <c r="D230" t="n">
        <v>1</v>
      </c>
    </row>
    <row r="231">
      <c r="A231" s="18" t="n">
        <v>46252</v>
      </c>
      <c r="B231" t="n">
        <v>8</v>
      </c>
      <c r="C231" t="inlineStr">
        <is>
          <t>Вторник</t>
        </is>
      </c>
      <c r="D231" t="n">
        <v>1</v>
      </c>
    </row>
    <row r="232">
      <c r="A232" s="18" t="n">
        <v>46253</v>
      </c>
      <c r="B232" t="n">
        <v>8</v>
      </c>
      <c r="C232" t="inlineStr">
        <is>
          <t>Среда</t>
        </is>
      </c>
      <c r="D232" t="n">
        <v>1</v>
      </c>
    </row>
    <row r="233">
      <c r="A233" s="18" t="n">
        <v>46254</v>
      </c>
      <c r="B233" t="n">
        <v>8</v>
      </c>
      <c r="C233" t="inlineStr">
        <is>
          <t>Четверг</t>
        </is>
      </c>
      <c r="D233" t="n">
        <v>1</v>
      </c>
    </row>
    <row r="234">
      <c r="A234" s="18" t="n">
        <v>46255</v>
      </c>
      <c r="B234" t="n">
        <v>8</v>
      </c>
      <c r="C234" t="inlineStr">
        <is>
          <t>Пятница</t>
        </is>
      </c>
      <c r="D234" t="n">
        <v>1</v>
      </c>
    </row>
    <row r="235">
      <c r="A235" s="19" t="n">
        <v>46256</v>
      </c>
      <c r="B235" s="20" t="n">
        <v>8</v>
      </c>
      <c r="C235" s="20" t="inlineStr">
        <is>
          <t>Суббота</t>
        </is>
      </c>
      <c r="D235" s="20" t="n">
        <v>0</v>
      </c>
    </row>
    <row r="236">
      <c r="A236" s="19" t="n">
        <v>46257</v>
      </c>
      <c r="B236" s="20" t="n">
        <v>8</v>
      </c>
      <c r="C236" s="20" t="inlineStr">
        <is>
          <t>Воскресенье</t>
        </is>
      </c>
      <c r="D236" s="20" t="n">
        <v>0</v>
      </c>
    </row>
    <row r="237">
      <c r="A237" s="18" t="n">
        <v>46258</v>
      </c>
      <c r="B237" t="n">
        <v>8</v>
      </c>
      <c r="C237" t="inlineStr">
        <is>
          <t>Понедельник</t>
        </is>
      </c>
      <c r="D237" t="n">
        <v>1</v>
      </c>
    </row>
    <row r="238">
      <c r="A238" s="18" t="n">
        <v>46259</v>
      </c>
      <c r="B238" t="n">
        <v>8</v>
      </c>
      <c r="C238" t="inlineStr">
        <is>
          <t>Вторник</t>
        </is>
      </c>
      <c r="D238" t="n">
        <v>1</v>
      </c>
    </row>
    <row r="239">
      <c r="A239" s="18" t="n">
        <v>46260</v>
      </c>
      <c r="B239" t="n">
        <v>8</v>
      </c>
      <c r="C239" t="inlineStr">
        <is>
          <t>Среда</t>
        </is>
      </c>
      <c r="D239" t="n">
        <v>1</v>
      </c>
    </row>
    <row r="240">
      <c r="A240" s="18" t="n">
        <v>46261</v>
      </c>
      <c r="B240" t="n">
        <v>8</v>
      </c>
      <c r="C240" t="inlineStr">
        <is>
          <t>Четверг</t>
        </is>
      </c>
      <c r="D240" t="n">
        <v>1</v>
      </c>
    </row>
    <row r="241">
      <c r="A241" s="18" t="n">
        <v>46262</v>
      </c>
      <c r="B241" t="n">
        <v>8</v>
      </c>
      <c r="C241" t="inlineStr">
        <is>
          <t>Пятница</t>
        </is>
      </c>
      <c r="D241" t="n">
        <v>1</v>
      </c>
    </row>
    <row r="242">
      <c r="A242" s="19" t="n">
        <v>46263</v>
      </c>
      <c r="B242" s="20" t="n">
        <v>8</v>
      </c>
      <c r="C242" s="20" t="inlineStr">
        <is>
          <t>Суббота</t>
        </is>
      </c>
      <c r="D242" s="20" t="n">
        <v>0</v>
      </c>
    </row>
    <row r="243">
      <c r="A243" s="19" t="n">
        <v>46264</v>
      </c>
      <c r="B243" s="20" t="n">
        <v>8</v>
      </c>
      <c r="C243" s="20" t="inlineStr">
        <is>
          <t>Воскресенье</t>
        </is>
      </c>
      <c r="D243" s="20" t="n">
        <v>0</v>
      </c>
    </row>
    <row r="244">
      <c r="A244" s="18" t="n">
        <v>46265</v>
      </c>
      <c r="B244" t="n">
        <v>8</v>
      </c>
      <c r="C244" t="inlineStr">
        <is>
          <t>Понедельник</t>
        </is>
      </c>
      <c r="D244" t="n">
        <v>1</v>
      </c>
    </row>
    <row r="245">
      <c r="A245" s="18" t="n">
        <v>46266</v>
      </c>
      <c r="B245" t="n">
        <v>9</v>
      </c>
      <c r="C245" t="inlineStr">
        <is>
          <t>Вторник</t>
        </is>
      </c>
      <c r="D245" t="n">
        <v>1</v>
      </c>
    </row>
    <row r="246">
      <c r="A246" s="18" t="n">
        <v>46267</v>
      </c>
      <c r="B246" t="n">
        <v>9</v>
      </c>
      <c r="C246" t="inlineStr">
        <is>
          <t>Среда</t>
        </is>
      </c>
      <c r="D246" t="n">
        <v>1</v>
      </c>
    </row>
    <row r="247">
      <c r="A247" s="18" t="n">
        <v>46268</v>
      </c>
      <c r="B247" t="n">
        <v>9</v>
      </c>
      <c r="C247" t="inlineStr">
        <is>
          <t>Четверг</t>
        </is>
      </c>
      <c r="D247" t="n">
        <v>1</v>
      </c>
    </row>
    <row r="248">
      <c r="A248" s="18" t="n">
        <v>46269</v>
      </c>
      <c r="B248" t="n">
        <v>9</v>
      </c>
      <c r="C248" t="inlineStr">
        <is>
          <t>Пятница</t>
        </is>
      </c>
      <c r="D248" t="n">
        <v>1</v>
      </c>
    </row>
    <row r="249">
      <c r="A249" s="19" t="n">
        <v>46270</v>
      </c>
      <c r="B249" s="20" t="n">
        <v>9</v>
      </c>
      <c r="C249" s="20" t="inlineStr">
        <is>
          <t>Суббота</t>
        </is>
      </c>
      <c r="D249" s="20" t="n">
        <v>0</v>
      </c>
    </row>
    <row r="250">
      <c r="A250" s="19" t="n">
        <v>46271</v>
      </c>
      <c r="B250" s="20" t="n">
        <v>9</v>
      </c>
      <c r="C250" s="20" t="inlineStr">
        <is>
          <t>Воскресенье</t>
        </is>
      </c>
      <c r="D250" s="20" t="n">
        <v>0</v>
      </c>
    </row>
    <row r="251">
      <c r="A251" s="18" t="n">
        <v>46272</v>
      </c>
      <c r="B251" t="n">
        <v>9</v>
      </c>
      <c r="C251" t="inlineStr">
        <is>
          <t>Понедельник</t>
        </is>
      </c>
      <c r="D251" t="n">
        <v>1</v>
      </c>
    </row>
    <row r="252">
      <c r="A252" s="18" t="n">
        <v>46273</v>
      </c>
      <c r="B252" t="n">
        <v>9</v>
      </c>
      <c r="C252" t="inlineStr">
        <is>
          <t>Вторник</t>
        </is>
      </c>
      <c r="D252" t="n">
        <v>1</v>
      </c>
    </row>
    <row r="253">
      <c r="A253" s="18" t="n">
        <v>46274</v>
      </c>
      <c r="B253" t="n">
        <v>9</v>
      </c>
      <c r="C253" t="inlineStr">
        <is>
          <t>Среда</t>
        </is>
      </c>
      <c r="D253" t="n">
        <v>1</v>
      </c>
    </row>
    <row r="254">
      <c r="A254" s="18" t="n">
        <v>46275</v>
      </c>
      <c r="B254" t="n">
        <v>9</v>
      </c>
      <c r="C254" t="inlineStr">
        <is>
          <t>Четверг</t>
        </is>
      </c>
      <c r="D254" t="n">
        <v>1</v>
      </c>
    </row>
    <row r="255">
      <c r="A255" s="18" t="n">
        <v>46276</v>
      </c>
      <c r="B255" t="n">
        <v>9</v>
      </c>
      <c r="C255" t="inlineStr">
        <is>
          <t>Пятница</t>
        </is>
      </c>
      <c r="D255" t="n">
        <v>1</v>
      </c>
    </row>
    <row r="256">
      <c r="A256" s="19" t="n">
        <v>46277</v>
      </c>
      <c r="B256" s="20" t="n">
        <v>9</v>
      </c>
      <c r="C256" s="20" t="inlineStr">
        <is>
          <t>Суббота</t>
        </is>
      </c>
      <c r="D256" s="20" t="n">
        <v>0</v>
      </c>
    </row>
    <row r="257">
      <c r="A257" s="19" t="n">
        <v>46278</v>
      </c>
      <c r="B257" s="20" t="n">
        <v>9</v>
      </c>
      <c r="C257" s="20" t="inlineStr">
        <is>
          <t>Воскресенье</t>
        </is>
      </c>
      <c r="D257" s="20" t="n">
        <v>0</v>
      </c>
    </row>
    <row r="258">
      <c r="A258" s="18" t="n">
        <v>46279</v>
      </c>
      <c r="B258" t="n">
        <v>9</v>
      </c>
      <c r="C258" t="inlineStr">
        <is>
          <t>Понедельник</t>
        </is>
      </c>
      <c r="D258" t="n">
        <v>1</v>
      </c>
    </row>
    <row r="259">
      <c r="A259" s="18" t="n">
        <v>46280</v>
      </c>
      <c r="B259" t="n">
        <v>9</v>
      </c>
      <c r="C259" t="inlineStr">
        <is>
          <t>Вторник</t>
        </is>
      </c>
      <c r="D259" t="n">
        <v>1</v>
      </c>
    </row>
    <row r="260">
      <c r="A260" s="18" t="n">
        <v>46281</v>
      </c>
      <c r="B260" t="n">
        <v>9</v>
      </c>
      <c r="C260" t="inlineStr">
        <is>
          <t>Среда</t>
        </is>
      </c>
      <c r="D260" t="n">
        <v>1</v>
      </c>
    </row>
    <row r="261">
      <c r="A261" s="18" t="n">
        <v>46282</v>
      </c>
      <c r="B261" t="n">
        <v>9</v>
      </c>
      <c r="C261" t="inlineStr">
        <is>
          <t>Четверг</t>
        </is>
      </c>
      <c r="D261" t="n">
        <v>1</v>
      </c>
    </row>
    <row r="262">
      <c r="A262" s="18" t="n">
        <v>46283</v>
      </c>
      <c r="B262" t="n">
        <v>9</v>
      </c>
      <c r="C262" t="inlineStr">
        <is>
          <t>Пятница</t>
        </is>
      </c>
      <c r="D262" t="n">
        <v>1</v>
      </c>
    </row>
    <row r="263">
      <c r="A263" s="19" t="n">
        <v>46284</v>
      </c>
      <c r="B263" s="20" t="n">
        <v>9</v>
      </c>
      <c r="C263" s="20" t="inlineStr">
        <is>
          <t>Суббота</t>
        </is>
      </c>
      <c r="D263" s="20" t="n">
        <v>0</v>
      </c>
    </row>
    <row r="264">
      <c r="A264" s="19" t="n">
        <v>46285</v>
      </c>
      <c r="B264" s="20" t="n">
        <v>9</v>
      </c>
      <c r="C264" s="20" t="inlineStr">
        <is>
          <t>Воскресенье</t>
        </is>
      </c>
      <c r="D264" s="20" t="n">
        <v>0</v>
      </c>
    </row>
    <row r="265">
      <c r="A265" s="18" t="n">
        <v>46286</v>
      </c>
      <c r="B265" t="n">
        <v>9</v>
      </c>
      <c r="C265" t="inlineStr">
        <is>
          <t>Понедельник</t>
        </is>
      </c>
      <c r="D265" t="n">
        <v>1</v>
      </c>
    </row>
    <row r="266">
      <c r="A266" s="18" t="n">
        <v>46287</v>
      </c>
      <c r="B266" t="n">
        <v>9</v>
      </c>
      <c r="C266" t="inlineStr">
        <is>
          <t>Вторник</t>
        </is>
      </c>
      <c r="D266" t="n">
        <v>1</v>
      </c>
    </row>
    <row r="267">
      <c r="A267" s="18" t="n">
        <v>46288</v>
      </c>
      <c r="B267" t="n">
        <v>9</v>
      </c>
      <c r="C267" t="inlineStr">
        <is>
          <t>Среда</t>
        </is>
      </c>
      <c r="D267" t="n">
        <v>1</v>
      </c>
    </row>
    <row r="268">
      <c r="A268" s="18" t="n">
        <v>46289</v>
      </c>
      <c r="B268" t="n">
        <v>9</v>
      </c>
      <c r="C268" t="inlineStr">
        <is>
          <t>Четверг</t>
        </is>
      </c>
      <c r="D268" t="n">
        <v>1</v>
      </c>
    </row>
    <row r="269">
      <c r="A269" s="18" t="n">
        <v>46290</v>
      </c>
      <c r="B269" t="n">
        <v>9</v>
      </c>
      <c r="C269" t="inlineStr">
        <is>
          <t>Пятница</t>
        </is>
      </c>
      <c r="D269" t="n">
        <v>1</v>
      </c>
    </row>
    <row r="270">
      <c r="A270" s="19" t="n">
        <v>46291</v>
      </c>
      <c r="B270" s="20" t="n">
        <v>9</v>
      </c>
      <c r="C270" s="20" t="inlineStr">
        <is>
          <t>Суббота</t>
        </is>
      </c>
      <c r="D270" s="20" t="n">
        <v>0</v>
      </c>
    </row>
    <row r="271">
      <c r="A271" s="19" t="n">
        <v>46292</v>
      </c>
      <c r="B271" s="20" t="n">
        <v>9</v>
      </c>
      <c r="C271" s="20" t="inlineStr">
        <is>
          <t>Воскресенье</t>
        </is>
      </c>
      <c r="D271" s="20" t="n">
        <v>0</v>
      </c>
    </row>
    <row r="272">
      <c r="A272" s="18" t="n">
        <v>46293</v>
      </c>
      <c r="B272" t="n">
        <v>9</v>
      </c>
      <c r="C272" t="inlineStr">
        <is>
          <t>Понедельник</t>
        </is>
      </c>
      <c r="D272" t="n">
        <v>1</v>
      </c>
    </row>
    <row r="273">
      <c r="A273" s="18" t="n">
        <v>46294</v>
      </c>
      <c r="B273" t="n">
        <v>9</v>
      </c>
      <c r="C273" t="inlineStr">
        <is>
          <t>Вторник</t>
        </is>
      </c>
      <c r="D273" t="n">
        <v>1</v>
      </c>
    </row>
    <row r="274">
      <c r="A274" s="18" t="n">
        <v>46295</v>
      </c>
      <c r="B274" t="n">
        <v>9</v>
      </c>
      <c r="C274" t="inlineStr">
        <is>
          <t>Среда</t>
        </is>
      </c>
      <c r="D274" t="n">
        <v>1</v>
      </c>
    </row>
    <row r="275">
      <c r="A275" s="18" t="n">
        <v>46296</v>
      </c>
      <c r="B275" t="n">
        <v>10</v>
      </c>
      <c r="C275" t="inlineStr">
        <is>
          <t>Четверг</t>
        </is>
      </c>
      <c r="D275" t="n">
        <v>1</v>
      </c>
    </row>
    <row r="276">
      <c r="A276" s="18" t="n">
        <v>46297</v>
      </c>
      <c r="B276" t="n">
        <v>10</v>
      </c>
      <c r="C276" t="inlineStr">
        <is>
          <t>Пятница</t>
        </is>
      </c>
      <c r="D276" t="n">
        <v>1</v>
      </c>
    </row>
    <row r="277">
      <c r="A277" s="19" t="n">
        <v>46298</v>
      </c>
      <c r="B277" s="20" t="n">
        <v>10</v>
      </c>
      <c r="C277" s="20" t="inlineStr">
        <is>
          <t>Суббота</t>
        </is>
      </c>
      <c r="D277" s="20" t="n">
        <v>0</v>
      </c>
    </row>
    <row r="278">
      <c r="A278" s="19" t="n">
        <v>46299</v>
      </c>
      <c r="B278" s="20" t="n">
        <v>10</v>
      </c>
      <c r="C278" s="20" t="inlineStr">
        <is>
          <t>Воскресенье</t>
        </is>
      </c>
      <c r="D278" s="20" t="n">
        <v>0</v>
      </c>
    </row>
    <row r="279">
      <c r="A279" s="18" t="n">
        <v>46300</v>
      </c>
      <c r="B279" t="n">
        <v>10</v>
      </c>
      <c r="C279" t="inlineStr">
        <is>
          <t>Понедельник</t>
        </is>
      </c>
      <c r="D279" t="n">
        <v>1</v>
      </c>
    </row>
    <row r="280">
      <c r="A280" s="18" t="n">
        <v>46301</v>
      </c>
      <c r="B280" t="n">
        <v>10</v>
      </c>
      <c r="C280" t="inlineStr">
        <is>
          <t>Вторник</t>
        </is>
      </c>
      <c r="D280" t="n">
        <v>1</v>
      </c>
    </row>
    <row r="281">
      <c r="A281" s="18" t="n">
        <v>46302</v>
      </c>
      <c r="B281" t="n">
        <v>10</v>
      </c>
      <c r="C281" t="inlineStr">
        <is>
          <t>Среда</t>
        </is>
      </c>
      <c r="D281" t="n">
        <v>1</v>
      </c>
    </row>
    <row r="282">
      <c r="A282" s="18" t="n">
        <v>46303</v>
      </c>
      <c r="B282" t="n">
        <v>10</v>
      </c>
      <c r="C282" t="inlineStr">
        <is>
          <t>Четверг</t>
        </is>
      </c>
      <c r="D282" t="n">
        <v>1</v>
      </c>
    </row>
    <row r="283">
      <c r="A283" s="18" t="n">
        <v>46304</v>
      </c>
      <c r="B283" t="n">
        <v>10</v>
      </c>
      <c r="C283" t="inlineStr">
        <is>
          <t>Пятница</t>
        </is>
      </c>
      <c r="D283" t="n">
        <v>1</v>
      </c>
    </row>
    <row r="284">
      <c r="A284" s="19" t="n">
        <v>46305</v>
      </c>
      <c r="B284" s="20" t="n">
        <v>10</v>
      </c>
      <c r="C284" s="20" t="inlineStr">
        <is>
          <t>Суббота</t>
        </is>
      </c>
      <c r="D284" s="20" t="n">
        <v>0</v>
      </c>
    </row>
    <row r="285">
      <c r="A285" s="19" t="n">
        <v>46306</v>
      </c>
      <c r="B285" s="20" t="n">
        <v>10</v>
      </c>
      <c r="C285" s="20" t="inlineStr">
        <is>
          <t>Воскресенье</t>
        </is>
      </c>
      <c r="D285" s="20" t="n">
        <v>0</v>
      </c>
    </row>
    <row r="286">
      <c r="A286" s="18" t="n">
        <v>46307</v>
      </c>
      <c r="B286" t="n">
        <v>10</v>
      </c>
      <c r="C286" t="inlineStr">
        <is>
          <t>Понедельник</t>
        </is>
      </c>
      <c r="D286" t="n">
        <v>1</v>
      </c>
    </row>
    <row r="287">
      <c r="A287" s="18" t="n">
        <v>46308</v>
      </c>
      <c r="B287" t="n">
        <v>10</v>
      </c>
      <c r="C287" t="inlineStr">
        <is>
          <t>Вторник</t>
        </is>
      </c>
      <c r="D287" t="n">
        <v>1</v>
      </c>
    </row>
    <row r="288">
      <c r="A288" s="18" t="n">
        <v>46309</v>
      </c>
      <c r="B288" t="n">
        <v>10</v>
      </c>
      <c r="C288" t="inlineStr">
        <is>
          <t>Среда</t>
        </is>
      </c>
      <c r="D288" t="n">
        <v>1</v>
      </c>
    </row>
    <row r="289">
      <c r="A289" s="18" t="n">
        <v>46310</v>
      </c>
      <c r="B289" t="n">
        <v>10</v>
      </c>
      <c r="C289" t="inlineStr">
        <is>
          <t>Четверг</t>
        </is>
      </c>
      <c r="D289" t="n">
        <v>1</v>
      </c>
    </row>
    <row r="290">
      <c r="A290" s="18" t="n">
        <v>46311</v>
      </c>
      <c r="B290" t="n">
        <v>10</v>
      </c>
      <c r="C290" t="inlineStr">
        <is>
          <t>Пятница</t>
        </is>
      </c>
      <c r="D290" t="n">
        <v>1</v>
      </c>
    </row>
    <row r="291">
      <c r="A291" s="19" t="n">
        <v>46312</v>
      </c>
      <c r="B291" s="20" t="n">
        <v>10</v>
      </c>
      <c r="C291" s="20" t="inlineStr">
        <is>
          <t>Суббота</t>
        </is>
      </c>
      <c r="D291" s="20" t="n">
        <v>0</v>
      </c>
    </row>
    <row r="292">
      <c r="A292" s="19" t="n">
        <v>46313</v>
      </c>
      <c r="B292" s="20" t="n">
        <v>10</v>
      </c>
      <c r="C292" s="20" t="inlineStr">
        <is>
          <t>Воскресенье</t>
        </is>
      </c>
      <c r="D292" s="20" t="n">
        <v>0</v>
      </c>
    </row>
    <row r="293">
      <c r="A293" s="18" t="n">
        <v>46314</v>
      </c>
      <c r="B293" t="n">
        <v>10</v>
      </c>
      <c r="C293" t="inlineStr">
        <is>
          <t>Понедельник</t>
        </is>
      </c>
      <c r="D293" t="n">
        <v>1</v>
      </c>
    </row>
    <row r="294">
      <c r="A294" s="18" t="n">
        <v>46315</v>
      </c>
      <c r="B294" t="n">
        <v>10</v>
      </c>
      <c r="C294" t="inlineStr">
        <is>
          <t>Вторник</t>
        </is>
      </c>
      <c r="D294" t="n">
        <v>1</v>
      </c>
    </row>
    <row r="295">
      <c r="A295" s="18" t="n">
        <v>46316</v>
      </c>
      <c r="B295" t="n">
        <v>10</v>
      </c>
      <c r="C295" t="inlineStr">
        <is>
          <t>Среда</t>
        </is>
      </c>
      <c r="D295" t="n">
        <v>1</v>
      </c>
    </row>
    <row r="296">
      <c r="A296" s="18" t="n">
        <v>46317</v>
      </c>
      <c r="B296" t="n">
        <v>10</v>
      </c>
      <c r="C296" t="inlineStr">
        <is>
          <t>Четверг</t>
        </is>
      </c>
      <c r="D296" t="n">
        <v>1</v>
      </c>
    </row>
    <row r="297">
      <c r="A297" s="18" t="n">
        <v>46318</v>
      </c>
      <c r="B297" t="n">
        <v>10</v>
      </c>
      <c r="C297" t="inlineStr">
        <is>
          <t>Пятница</t>
        </is>
      </c>
      <c r="D297" t="n">
        <v>1</v>
      </c>
    </row>
    <row r="298">
      <c r="A298" s="19" t="n">
        <v>46319</v>
      </c>
      <c r="B298" s="20" t="n">
        <v>10</v>
      </c>
      <c r="C298" s="20" t="inlineStr">
        <is>
          <t>Суббота</t>
        </is>
      </c>
      <c r="D298" s="20" t="n">
        <v>0</v>
      </c>
    </row>
    <row r="299">
      <c r="A299" s="19" t="n">
        <v>46320</v>
      </c>
      <c r="B299" s="20" t="n">
        <v>10</v>
      </c>
      <c r="C299" s="20" t="inlineStr">
        <is>
          <t>Воскресенье</t>
        </is>
      </c>
      <c r="D299" s="20" t="n">
        <v>0</v>
      </c>
    </row>
    <row r="300">
      <c r="A300" s="18" t="n">
        <v>46321</v>
      </c>
      <c r="B300" t="n">
        <v>10</v>
      </c>
      <c r="C300" t="inlineStr">
        <is>
          <t>Понедельник</t>
        </is>
      </c>
      <c r="D300" t="n">
        <v>1</v>
      </c>
    </row>
    <row r="301">
      <c r="A301" s="18" t="n">
        <v>46322</v>
      </c>
      <c r="B301" t="n">
        <v>10</v>
      </c>
      <c r="C301" t="inlineStr">
        <is>
          <t>Вторник</t>
        </is>
      </c>
      <c r="D301" t="n">
        <v>1</v>
      </c>
    </row>
    <row r="302">
      <c r="A302" s="18" t="n">
        <v>46323</v>
      </c>
      <c r="B302" t="n">
        <v>10</v>
      </c>
      <c r="C302" t="inlineStr">
        <is>
          <t>Среда</t>
        </is>
      </c>
      <c r="D302" t="n">
        <v>1</v>
      </c>
    </row>
    <row r="303">
      <c r="A303" s="18" t="n">
        <v>46324</v>
      </c>
      <c r="B303" t="n">
        <v>10</v>
      </c>
      <c r="C303" t="inlineStr">
        <is>
          <t>Четверг</t>
        </is>
      </c>
      <c r="D303" t="n">
        <v>1</v>
      </c>
    </row>
    <row r="304">
      <c r="A304" s="18" t="n">
        <v>46325</v>
      </c>
      <c r="B304" t="n">
        <v>10</v>
      </c>
      <c r="C304" t="inlineStr">
        <is>
          <t>Пятница</t>
        </is>
      </c>
      <c r="D304" t="n">
        <v>1</v>
      </c>
    </row>
    <row r="305">
      <c r="A305" s="19" t="n">
        <v>46326</v>
      </c>
      <c r="B305" s="20" t="n">
        <v>10</v>
      </c>
      <c r="C305" s="20" t="inlineStr">
        <is>
          <t>Суббота</t>
        </is>
      </c>
      <c r="D305" s="20" t="n">
        <v>0</v>
      </c>
    </row>
    <row r="306">
      <c r="A306" s="19" t="n">
        <v>46327</v>
      </c>
      <c r="B306" s="20" t="n">
        <v>11</v>
      </c>
      <c r="C306" s="20" t="inlineStr">
        <is>
          <t>Воскресенье</t>
        </is>
      </c>
      <c r="D306" s="20" t="n">
        <v>0</v>
      </c>
    </row>
    <row r="307">
      <c r="A307" s="18" t="n">
        <v>46328</v>
      </c>
      <c r="B307" t="n">
        <v>11</v>
      </c>
      <c r="C307" t="inlineStr">
        <is>
          <t>Понедельник</t>
        </is>
      </c>
      <c r="D307" t="n">
        <v>1</v>
      </c>
    </row>
    <row r="308">
      <c r="A308" s="18" t="n">
        <v>46329</v>
      </c>
      <c r="B308" t="n">
        <v>11</v>
      </c>
      <c r="C308" t="inlineStr">
        <is>
          <t>Вторник</t>
        </is>
      </c>
      <c r="D308" t="n">
        <v>1</v>
      </c>
    </row>
    <row r="309">
      <c r="A309" s="18" t="n">
        <v>46330</v>
      </c>
      <c r="B309" t="n">
        <v>11</v>
      </c>
      <c r="C309" t="inlineStr">
        <is>
          <t>Среда</t>
        </is>
      </c>
      <c r="D309" t="n">
        <v>1</v>
      </c>
    </row>
    <row r="310">
      <c r="A310" s="18" t="n">
        <v>46331</v>
      </c>
      <c r="B310" t="n">
        <v>11</v>
      </c>
      <c r="C310" t="inlineStr">
        <is>
          <t>Четверг</t>
        </is>
      </c>
      <c r="D310" t="n">
        <v>1</v>
      </c>
    </row>
    <row r="311">
      <c r="A311" s="18" t="n">
        <v>46332</v>
      </c>
      <c r="B311" t="n">
        <v>11</v>
      </c>
      <c r="C311" t="inlineStr">
        <is>
          <t>Пятница</t>
        </is>
      </c>
      <c r="D311" t="n">
        <v>1</v>
      </c>
    </row>
    <row r="312">
      <c r="A312" s="19" t="n">
        <v>46333</v>
      </c>
      <c r="B312" s="20" t="n">
        <v>11</v>
      </c>
      <c r="C312" s="20" t="inlineStr">
        <is>
          <t>Суббота</t>
        </is>
      </c>
      <c r="D312" s="20" t="n">
        <v>0</v>
      </c>
    </row>
    <row r="313">
      <c r="A313" s="19" t="n">
        <v>46334</v>
      </c>
      <c r="B313" s="20" t="n">
        <v>11</v>
      </c>
      <c r="C313" s="20" t="inlineStr">
        <is>
          <t>Воскресенье</t>
        </is>
      </c>
      <c r="D313" s="20" t="n">
        <v>0</v>
      </c>
    </row>
    <row r="314">
      <c r="A314" s="18" t="n">
        <v>46335</v>
      </c>
      <c r="B314" t="n">
        <v>11</v>
      </c>
      <c r="C314" t="inlineStr">
        <is>
          <t>Понедельник</t>
        </is>
      </c>
      <c r="D314" t="n">
        <v>1</v>
      </c>
    </row>
    <row r="315">
      <c r="A315" s="18" t="n">
        <v>46336</v>
      </c>
      <c r="B315" t="n">
        <v>11</v>
      </c>
      <c r="C315" t="inlineStr">
        <is>
          <t>Вторник</t>
        </is>
      </c>
      <c r="D315" t="n">
        <v>1</v>
      </c>
    </row>
    <row r="316">
      <c r="A316" s="18" t="n">
        <v>46337</v>
      </c>
      <c r="B316" t="n">
        <v>11</v>
      </c>
      <c r="C316" t="inlineStr">
        <is>
          <t>Среда</t>
        </is>
      </c>
      <c r="D316" t="n">
        <v>1</v>
      </c>
    </row>
    <row r="317">
      <c r="A317" s="18" t="n">
        <v>46338</v>
      </c>
      <c r="B317" t="n">
        <v>11</v>
      </c>
      <c r="C317" t="inlineStr">
        <is>
          <t>Четверг</t>
        </is>
      </c>
      <c r="D317" t="n">
        <v>1</v>
      </c>
    </row>
    <row r="318">
      <c r="A318" s="18" t="n">
        <v>46339</v>
      </c>
      <c r="B318" t="n">
        <v>11</v>
      </c>
      <c r="C318" t="inlineStr">
        <is>
          <t>Пятница</t>
        </is>
      </c>
      <c r="D318" t="n">
        <v>1</v>
      </c>
    </row>
    <row r="319">
      <c r="A319" s="19" t="n">
        <v>46340</v>
      </c>
      <c r="B319" s="20" t="n">
        <v>11</v>
      </c>
      <c r="C319" s="20" t="inlineStr">
        <is>
          <t>Суббота</t>
        </is>
      </c>
      <c r="D319" s="20" t="n">
        <v>0</v>
      </c>
    </row>
    <row r="320">
      <c r="A320" s="19" t="n">
        <v>46341</v>
      </c>
      <c r="B320" s="20" t="n">
        <v>11</v>
      </c>
      <c r="C320" s="20" t="inlineStr">
        <is>
          <t>Воскресенье</t>
        </is>
      </c>
      <c r="D320" s="20" t="n">
        <v>0</v>
      </c>
    </row>
    <row r="321">
      <c r="A321" s="18" t="n">
        <v>46342</v>
      </c>
      <c r="B321" t="n">
        <v>11</v>
      </c>
      <c r="C321" t="inlineStr">
        <is>
          <t>Понедельник</t>
        </is>
      </c>
      <c r="D321" t="n">
        <v>1</v>
      </c>
    </row>
    <row r="322">
      <c r="A322" s="18" t="n">
        <v>46343</v>
      </c>
      <c r="B322" t="n">
        <v>11</v>
      </c>
      <c r="C322" t="inlineStr">
        <is>
          <t>Вторник</t>
        </is>
      </c>
      <c r="D322" t="n">
        <v>1</v>
      </c>
    </row>
    <row r="323">
      <c r="A323" s="18" t="n">
        <v>46344</v>
      </c>
      <c r="B323" t="n">
        <v>11</v>
      </c>
      <c r="C323" t="inlineStr">
        <is>
          <t>Среда</t>
        </is>
      </c>
      <c r="D323" t="n">
        <v>1</v>
      </c>
    </row>
    <row r="324">
      <c r="A324" s="18" t="n">
        <v>46345</v>
      </c>
      <c r="B324" t="n">
        <v>11</v>
      </c>
      <c r="C324" t="inlineStr">
        <is>
          <t>Четверг</t>
        </is>
      </c>
      <c r="D324" t="n">
        <v>1</v>
      </c>
    </row>
    <row r="325">
      <c r="A325" s="18" t="n">
        <v>46346</v>
      </c>
      <c r="B325" t="n">
        <v>11</v>
      </c>
      <c r="C325" t="inlineStr">
        <is>
          <t>Пятница</t>
        </is>
      </c>
      <c r="D325" t="n">
        <v>1</v>
      </c>
    </row>
    <row r="326">
      <c r="A326" s="19" t="n">
        <v>46347</v>
      </c>
      <c r="B326" s="20" t="n">
        <v>11</v>
      </c>
      <c r="C326" s="20" t="inlineStr">
        <is>
          <t>Суббота</t>
        </is>
      </c>
      <c r="D326" s="20" t="n">
        <v>0</v>
      </c>
    </row>
    <row r="327">
      <c r="A327" s="19" t="n">
        <v>46348</v>
      </c>
      <c r="B327" s="20" t="n">
        <v>11</v>
      </c>
      <c r="C327" s="20" t="inlineStr">
        <is>
          <t>Воскресенье</t>
        </is>
      </c>
      <c r="D327" s="20" t="n">
        <v>0</v>
      </c>
    </row>
    <row r="328">
      <c r="A328" s="18" t="n">
        <v>46349</v>
      </c>
      <c r="B328" t="n">
        <v>11</v>
      </c>
      <c r="C328" t="inlineStr">
        <is>
          <t>Понедельник</t>
        </is>
      </c>
      <c r="D328" t="n">
        <v>1</v>
      </c>
    </row>
    <row r="329">
      <c r="A329" s="18" t="n">
        <v>46350</v>
      </c>
      <c r="B329" t="n">
        <v>11</v>
      </c>
      <c r="C329" t="inlineStr">
        <is>
          <t>Вторник</t>
        </is>
      </c>
      <c r="D329" t="n">
        <v>1</v>
      </c>
    </row>
    <row r="330">
      <c r="A330" s="18" t="n">
        <v>46351</v>
      </c>
      <c r="B330" t="n">
        <v>11</v>
      </c>
      <c r="C330" t="inlineStr">
        <is>
          <t>Среда</t>
        </is>
      </c>
      <c r="D330" t="n">
        <v>1</v>
      </c>
    </row>
    <row r="331">
      <c r="A331" s="18" t="n">
        <v>46352</v>
      </c>
      <c r="B331" t="n">
        <v>11</v>
      </c>
      <c r="C331" t="inlineStr">
        <is>
          <t>Четверг</t>
        </is>
      </c>
      <c r="D331" t="n">
        <v>1</v>
      </c>
    </row>
    <row r="332">
      <c r="A332" s="18" t="n">
        <v>46353</v>
      </c>
      <c r="B332" t="n">
        <v>11</v>
      </c>
      <c r="C332" t="inlineStr">
        <is>
          <t>Пятница</t>
        </is>
      </c>
      <c r="D332" t="n">
        <v>1</v>
      </c>
    </row>
    <row r="333">
      <c r="A333" s="19" t="n">
        <v>46354</v>
      </c>
      <c r="B333" s="20" t="n">
        <v>11</v>
      </c>
      <c r="C333" s="20" t="inlineStr">
        <is>
          <t>Суббота</t>
        </is>
      </c>
      <c r="D333" s="20" t="n">
        <v>0</v>
      </c>
    </row>
    <row r="334">
      <c r="A334" s="19" t="n">
        <v>46355</v>
      </c>
      <c r="B334" s="20" t="n">
        <v>11</v>
      </c>
      <c r="C334" s="20" t="inlineStr">
        <is>
          <t>Воскресенье</t>
        </is>
      </c>
      <c r="D334" s="20" t="n">
        <v>0</v>
      </c>
    </row>
    <row r="335">
      <c r="A335" s="18" t="n">
        <v>46356</v>
      </c>
      <c r="B335" t="n">
        <v>11</v>
      </c>
      <c r="C335" t="inlineStr">
        <is>
          <t>Понедельник</t>
        </is>
      </c>
      <c r="D335" t="n">
        <v>1</v>
      </c>
    </row>
    <row r="336">
      <c r="A336" s="18" t="n">
        <v>46357</v>
      </c>
      <c r="B336" t="n">
        <v>12</v>
      </c>
      <c r="C336" t="inlineStr">
        <is>
          <t>Вторник</t>
        </is>
      </c>
      <c r="D336" t="n">
        <v>1</v>
      </c>
    </row>
    <row r="337">
      <c r="A337" s="18" t="n">
        <v>46358</v>
      </c>
      <c r="B337" t="n">
        <v>12</v>
      </c>
      <c r="C337" t="inlineStr">
        <is>
          <t>Среда</t>
        </is>
      </c>
      <c r="D337" t="n">
        <v>1</v>
      </c>
    </row>
    <row r="338">
      <c r="A338" s="18" t="n">
        <v>46359</v>
      </c>
      <c r="B338" t="n">
        <v>12</v>
      </c>
      <c r="C338" t="inlineStr">
        <is>
          <t>Четверг</t>
        </is>
      </c>
      <c r="D338" t="n">
        <v>1</v>
      </c>
    </row>
    <row r="339">
      <c r="A339" s="18" t="n">
        <v>46360</v>
      </c>
      <c r="B339" t="n">
        <v>12</v>
      </c>
      <c r="C339" t="inlineStr">
        <is>
          <t>Пятница</t>
        </is>
      </c>
      <c r="D339" t="n">
        <v>1</v>
      </c>
    </row>
    <row r="340">
      <c r="A340" s="19" t="n">
        <v>46361</v>
      </c>
      <c r="B340" s="20" t="n">
        <v>12</v>
      </c>
      <c r="C340" s="20" t="inlineStr">
        <is>
          <t>Суббота</t>
        </is>
      </c>
      <c r="D340" s="20" t="n">
        <v>0</v>
      </c>
    </row>
    <row r="341">
      <c r="A341" s="19" t="n">
        <v>46362</v>
      </c>
      <c r="B341" s="20" t="n">
        <v>12</v>
      </c>
      <c r="C341" s="20" t="inlineStr">
        <is>
          <t>Воскресенье</t>
        </is>
      </c>
      <c r="D341" s="20" t="n">
        <v>0</v>
      </c>
    </row>
    <row r="342">
      <c r="A342" s="18" t="n">
        <v>46363</v>
      </c>
      <c r="B342" t="n">
        <v>12</v>
      </c>
      <c r="C342" t="inlineStr">
        <is>
          <t>Понедельник</t>
        </is>
      </c>
      <c r="D342" t="n">
        <v>1</v>
      </c>
    </row>
    <row r="343">
      <c r="A343" s="18" t="n">
        <v>46364</v>
      </c>
      <c r="B343" t="n">
        <v>12</v>
      </c>
      <c r="C343" t="inlineStr">
        <is>
          <t>Вторник</t>
        </is>
      </c>
      <c r="D343" t="n">
        <v>1</v>
      </c>
    </row>
    <row r="344">
      <c r="A344" s="18" t="n">
        <v>46365</v>
      </c>
      <c r="B344" t="n">
        <v>12</v>
      </c>
      <c r="C344" t="inlineStr">
        <is>
          <t>Среда</t>
        </is>
      </c>
      <c r="D344" t="n">
        <v>1</v>
      </c>
    </row>
    <row r="345">
      <c r="A345" s="18" t="n">
        <v>46366</v>
      </c>
      <c r="B345" t="n">
        <v>12</v>
      </c>
      <c r="C345" t="inlineStr">
        <is>
          <t>Четверг</t>
        </is>
      </c>
      <c r="D345" t="n">
        <v>1</v>
      </c>
    </row>
    <row r="346">
      <c r="A346" s="18" t="n">
        <v>46367</v>
      </c>
      <c r="B346" t="n">
        <v>12</v>
      </c>
      <c r="C346" t="inlineStr">
        <is>
          <t>Пятница</t>
        </is>
      </c>
      <c r="D346" t="n">
        <v>1</v>
      </c>
    </row>
    <row r="347">
      <c r="A347" s="19" t="n">
        <v>46368</v>
      </c>
      <c r="B347" s="20" t="n">
        <v>12</v>
      </c>
      <c r="C347" s="20" t="inlineStr">
        <is>
          <t>Суббота</t>
        </is>
      </c>
      <c r="D347" s="20" t="n">
        <v>0</v>
      </c>
    </row>
    <row r="348">
      <c r="A348" s="19" t="n">
        <v>46369</v>
      </c>
      <c r="B348" s="20" t="n">
        <v>12</v>
      </c>
      <c r="C348" s="20" t="inlineStr">
        <is>
          <t>Воскресенье</t>
        </is>
      </c>
      <c r="D348" s="20" t="n">
        <v>0</v>
      </c>
    </row>
    <row r="349">
      <c r="A349" s="18" t="n">
        <v>46370</v>
      </c>
      <c r="B349" t="n">
        <v>12</v>
      </c>
      <c r="C349" t="inlineStr">
        <is>
          <t>Понедельник</t>
        </is>
      </c>
      <c r="D349" t="n">
        <v>1</v>
      </c>
    </row>
    <row r="350">
      <c r="A350" s="18" t="n">
        <v>46371</v>
      </c>
      <c r="B350" t="n">
        <v>12</v>
      </c>
      <c r="C350" t="inlineStr">
        <is>
          <t>Вторник</t>
        </is>
      </c>
      <c r="D350" t="n">
        <v>1</v>
      </c>
    </row>
    <row r="351">
      <c r="A351" s="18" t="n">
        <v>46372</v>
      </c>
      <c r="B351" t="n">
        <v>12</v>
      </c>
      <c r="C351" t="inlineStr">
        <is>
          <t>Среда</t>
        </is>
      </c>
      <c r="D351" t="n">
        <v>1</v>
      </c>
    </row>
    <row r="352">
      <c r="A352" s="18" t="n">
        <v>46373</v>
      </c>
      <c r="B352" t="n">
        <v>12</v>
      </c>
      <c r="C352" t="inlineStr">
        <is>
          <t>Четверг</t>
        </is>
      </c>
      <c r="D352" t="n">
        <v>1</v>
      </c>
    </row>
    <row r="353">
      <c r="A353" s="18" t="n">
        <v>46374</v>
      </c>
      <c r="B353" t="n">
        <v>12</v>
      </c>
      <c r="C353" t="inlineStr">
        <is>
          <t>Пятница</t>
        </is>
      </c>
      <c r="D353" t="n">
        <v>1</v>
      </c>
    </row>
    <row r="354">
      <c r="A354" s="19" t="n">
        <v>46375</v>
      </c>
      <c r="B354" s="20" t="n">
        <v>12</v>
      </c>
      <c r="C354" s="20" t="inlineStr">
        <is>
          <t>Суббота</t>
        </is>
      </c>
      <c r="D354" s="20" t="n">
        <v>0</v>
      </c>
    </row>
    <row r="355">
      <c r="A355" s="19" t="n">
        <v>46376</v>
      </c>
      <c r="B355" s="20" t="n">
        <v>12</v>
      </c>
      <c r="C355" s="20" t="inlineStr">
        <is>
          <t>Воскресенье</t>
        </is>
      </c>
      <c r="D355" s="20" t="n">
        <v>0</v>
      </c>
    </row>
    <row r="356">
      <c r="A356" s="18" t="n">
        <v>46377</v>
      </c>
      <c r="B356" t="n">
        <v>12</v>
      </c>
      <c r="C356" t="inlineStr">
        <is>
          <t>Понедельник</t>
        </is>
      </c>
      <c r="D356" t="n">
        <v>1</v>
      </c>
    </row>
    <row r="357">
      <c r="A357" s="18" t="n">
        <v>46378</v>
      </c>
      <c r="B357" t="n">
        <v>12</v>
      </c>
      <c r="C357" t="inlineStr">
        <is>
          <t>Вторник</t>
        </is>
      </c>
      <c r="D357" t="n">
        <v>1</v>
      </c>
    </row>
    <row r="358">
      <c r="A358" s="18" t="n">
        <v>46379</v>
      </c>
      <c r="B358" t="n">
        <v>12</v>
      </c>
      <c r="C358" t="inlineStr">
        <is>
          <t>Среда</t>
        </is>
      </c>
      <c r="D358" t="n">
        <v>1</v>
      </c>
    </row>
    <row r="359">
      <c r="A359" s="18" t="n">
        <v>46380</v>
      </c>
      <c r="B359" t="n">
        <v>12</v>
      </c>
      <c r="C359" t="inlineStr">
        <is>
          <t>Четверг</t>
        </is>
      </c>
      <c r="D359" t="n">
        <v>1</v>
      </c>
    </row>
    <row r="360">
      <c r="A360" s="18" t="n">
        <v>46381</v>
      </c>
      <c r="B360" t="n">
        <v>12</v>
      </c>
      <c r="C360" t="inlineStr">
        <is>
          <t>Пятница</t>
        </is>
      </c>
      <c r="D360" t="n">
        <v>1</v>
      </c>
    </row>
    <row r="361">
      <c r="A361" s="19" t="n">
        <v>46382</v>
      </c>
      <c r="B361" s="20" t="n">
        <v>12</v>
      </c>
      <c r="C361" s="20" t="inlineStr">
        <is>
          <t>Суббота</t>
        </is>
      </c>
      <c r="D361" s="20" t="n">
        <v>0</v>
      </c>
    </row>
    <row r="362">
      <c r="A362" s="19" t="n">
        <v>46383</v>
      </c>
      <c r="B362" s="20" t="n">
        <v>12</v>
      </c>
      <c r="C362" s="20" t="inlineStr">
        <is>
          <t>Воскресенье</t>
        </is>
      </c>
      <c r="D362" s="20" t="n">
        <v>0</v>
      </c>
    </row>
    <row r="363">
      <c r="A363" s="18" t="n">
        <v>46384</v>
      </c>
      <c r="B363" t="n">
        <v>12</v>
      </c>
      <c r="C363" t="inlineStr">
        <is>
          <t>Понедельник</t>
        </is>
      </c>
      <c r="D363" t="n">
        <v>1</v>
      </c>
    </row>
    <row r="364">
      <c r="A364" s="18" t="n">
        <v>46385</v>
      </c>
      <c r="B364" t="n">
        <v>12</v>
      </c>
      <c r="C364" t="inlineStr">
        <is>
          <t>Вторник</t>
        </is>
      </c>
      <c r="D364" t="n">
        <v>1</v>
      </c>
    </row>
    <row r="365">
      <c r="A365" s="18" t="n">
        <v>46386</v>
      </c>
      <c r="B365" t="n">
        <v>12</v>
      </c>
      <c r="C365" t="inlineStr">
        <is>
          <t>Среда</t>
        </is>
      </c>
      <c r="D365" t="n">
        <v>1</v>
      </c>
    </row>
    <row r="366">
      <c r="A366" s="18" t="n">
        <v>46387</v>
      </c>
      <c r="B366" t="n">
        <v>12</v>
      </c>
      <c r="C366" t="inlineStr">
        <is>
          <t>Четверг</t>
        </is>
      </c>
      <c r="D36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5" customWidth="1" min="4" max="4"/>
    <col width="14" customWidth="1" min="5" max="5"/>
    <col width="16" customWidth="1" min="6" max="6"/>
    <col width="14" customWidth="1" min="7" max="7"/>
  </cols>
  <sheetData>
    <row r="1">
      <c r="A1" s="1" t="inlineStr">
        <is>
          <t>СЛУЖЕБНЫЙ РАСЧЁТ (не редактировать)</t>
        </is>
      </c>
    </row>
    <row r="2">
      <c r="A2" s="2" t="inlineStr">
        <is>
          <t>Блок 1: план дня = план месяца / число рабочих дней месяца (выходные = 0). Блок 2: план недели = сумма планов её дней; дни недели, попавшие на разные месяцы, считаются по плану каждого месяца (стык месяцев учтён).</t>
        </is>
      </c>
    </row>
    <row r="4">
      <c r="A4" s="5" t="inlineStr">
        <is>
          <t>Менеджер</t>
        </is>
      </c>
      <c r="B4" s="5" t="inlineStr">
        <is>
          <t>Строка плана</t>
        </is>
      </c>
      <c r="C4" s="5" t="inlineStr">
        <is>
          <t>Дата</t>
        </is>
      </c>
      <c r="D4" s="5" t="inlineStr">
        <is>
          <t>Месяц даты</t>
        </is>
      </c>
      <c r="E4" s="5" t="inlineStr">
        <is>
          <t>Рабочий?</t>
        </is>
      </c>
      <c r="F4" s="5" t="inlineStr">
        <is>
          <t>№ фин. недели</t>
        </is>
      </c>
      <c r="G4" s="5" t="inlineStr">
        <is>
          <t>План на день</t>
        </is>
      </c>
    </row>
    <row r="5">
      <c r="A5" t="inlineStr">
        <is>
          <t>Иванов</t>
        </is>
      </c>
      <c r="B5" t="n">
        <v>5</v>
      </c>
      <c r="C5" s="18">
        <f>'Календарь'!A2</f>
        <v/>
      </c>
      <c r="D5">
        <f>MONTH(C5)</f>
        <v/>
      </c>
      <c r="E5">
        <f>'Календарь'!D2</f>
        <v/>
      </c>
      <c r="F5">
        <f>INT((C5-Нед_Начало)/7)+1</f>
        <v/>
      </c>
      <c r="G5">
        <f>IF(E5=0,0,INDEX('Планы менеджеров'!$B$5:$M$16,B5,D5)/INDEX(Мес_Раб,D5))</f>
        <v/>
      </c>
    </row>
    <row r="6">
      <c r="A6" t="inlineStr">
        <is>
          <t>Иванов</t>
        </is>
      </c>
      <c r="B6" t="n">
        <v>5</v>
      </c>
      <c r="C6" s="18">
        <f>'Календарь'!A3</f>
        <v/>
      </c>
      <c r="D6">
        <f>MONTH(C6)</f>
        <v/>
      </c>
      <c r="E6">
        <f>'Календарь'!D3</f>
        <v/>
      </c>
      <c r="F6">
        <f>INT((C6-Нед_Начало)/7)+1</f>
        <v/>
      </c>
      <c r="G6">
        <f>IF(E6=0,0,INDEX('Планы менеджеров'!$B$5:$M$16,B6,D6)/INDEX(Мес_Раб,D6))</f>
        <v/>
      </c>
    </row>
    <row r="7">
      <c r="A7" t="inlineStr">
        <is>
          <t>Иванов</t>
        </is>
      </c>
      <c r="B7" t="n">
        <v>5</v>
      </c>
      <c r="C7" s="18">
        <f>'Календарь'!A4</f>
        <v/>
      </c>
      <c r="D7">
        <f>MONTH(C7)</f>
        <v/>
      </c>
      <c r="E7">
        <f>'Календарь'!D4</f>
        <v/>
      </c>
      <c r="F7">
        <f>INT((C7-Нед_Начало)/7)+1</f>
        <v/>
      </c>
      <c r="G7">
        <f>IF(E7=0,0,INDEX('Планы менеджеров'!$B$5:$M$16,B7,D7)/INDEX(Мес_Раб,D7))</f>
        <v/>
      </c>
    </row>
    <row r="8">
      <c r="A8" t="inlineStr">
        <is>
          <t>Иванов</t>
        </is>
      </c>
      <c r="B8" t="n">
        <v>5</v>
      </c>
      <c r="C8" s="18">
        <f>'Календарь'!A5</f>
        <v/>
      </c>
      <c r="D8">
        <f>MONTH(C8)</f>
        <v/>
      </c>
      <c r="E8">
        <f>'Календарь'!D5</f>
        <v/>
      </c>
      <c r="F8">
        <f>INT((C8-Нед_Начало)/7)+1</f>
        <v/>
      </c>
      <c r="G8">
        <f>IF(E8=0,0,INDEX('Планы менеджеров'!$B$5:$M$16,B8,D8)/INDEX(Мес_Раб,D8))</f>
        <v/>
      </c>
    </row>
    <row r="9">
      <c r="A9" t="inlineStr">
        <is>
          <t>Иванов</t>
        </is>
      </c>
      <c r="B9" t="n">
        <v>5</v>
      </c>
      <c r="C9" s="18">
        <f>'Календарь'!A6</f>
        <v/>
      </c>
      <c r="D9">
        <f>MONTH(C9)</f>
        <v/>
      </c>
      <c r="E9">
        <f>'Календарь'!D6</f>
        <v/>
      </c>
      <c r="F9">
        <f>INT((C9-Нед_Начало)/7)+1</f>
        <v/>
      </c>
      <c r="G9">
        <f>IF(E9=0,0,INDEX('Планы менеджеров'!$B$5:$M$16,B9,D9)/INDEX(Мес_Раб,D9))</f>
        <v/>
      </c>
    </row>
    <row r="10">
      <c r="A10" t="inlineStr">
        <is>
          <t>Иванов</t>
        </is>
      </c>
      <c r="B10" t="n">
        <v>5</v>
      </c>
      <c r="C10" s="18">
        <f>'Календарь'!A7</f>
        <v/>
      </c>
      <c r="D10">
        <f>MONTH(C10)</f>
        <v/>
      </c>
      <c r="E10">
        <f>'Календарь'!D7</f>
        <v/>
      </c>
      <c r="F10">
        <f>INT((C10-Нед_Начало)/7)+1</f>
        <v/>
      </c>
      <c r="G10">
        <f>IF(E10=0,0,INDEX('Планы менеджеров'!$B$5:$M$16,B10,D10)/INDEX(Мес_Раб,D10))</f>
        <v/>
      </c>
    </row>
    <row r="11">
      <c r="A11" t="inlineStr">
        <is>
          <t>Иванов</t>
        </is>
      </c>
      <c r="B11" t="n">
        <v>5</v>
      </c>
      <c r="C11" s="18">
        <f>'Календарь'!A8</f>
        <v/>
      </c>
      <c r="D11">
        <f>MONTH(C11)</f>
        <v/>
      </c>
      <c r="E11">
        <f>'Календарь'!D8</f>
        <v/>
      </c>
      <c r="F11">
        <f>INT((C11-Нед_Начало)/7)+1</f>
        <v/>
      </c>
      <c r="G11">
        <f>IF(E11=0,0,INDEX('Планы менеджеров'!$B$5:$M$16,B11,D11)/INDEX(Мес_Раб,D11))</f>
        <v/>
      </c>
    </row>
    <row r="12">
      <c r="A12" t="inlineStr">
        <is>
          <t>Иванов</t>
        </is>
      </c>
      <c r="B12" t="n">
        <v>5</v>
      </c>
      <c r="C12" s="18">
        <f>'Календарь'!A9</f>
        <v/>
      </c>
      <c r="D12">
        <f>MONTH(C12)</f>
        <v/>
      </c>
      <c r="E12">
        <f>'Календарь'!D9</f>
        <v/>
      </c>
      <c r="F12">
        <f>INT((C12-Нед_Начало)/7)+1</f>
        <v/>
      </c>
      <c r="G12">
        <f>IF(E12=0,0,INDEX('Планы менеджеров'!$B$5:$M$16,B12,D12)/INDEX(Мес_Раб,D12))</f>
        <v/>
      </c>
    </row>
    <row r="13">
      <c r="A13" t="inlineStr">
        <is>
          <t>Иванов</t>
        </is>
      </c>
      <c r="B13" t="n">
        <v>5</v>
      </c>
      <c r="C13" s="18">
        <f>'Календарь'!A10</f>
        <v/>
      </c>
      <c r="D13">
        <f>MONTH(C13)</f>
        <v/>
      </c>
      <c r="E13">
        <f>'Календарь'!D10</f>
        <v/>
      </c>
      <c r="F13">
        <f>INT((C13-Нед_Начало)/7)+1</f>
        <v/>
      </c>
      <c r="G13">
        <f>IF(E13=0,0,INDEX('Планы менеджеров'!$B$5:$M$16,B13,D13)/INDEX(Мес_Раб,D13))</f>
        <v/>
      </c>
    </row>
    <row r="14">
      <c r="A14" t="inlineStr">
        <is>
          <t>Иванов</t>
        </is>
      </c>
      <c r="B14" t="n">
        <v>5</v>
      </c>
      <c r="C14" s="18">
        <f>'Календарь'!A11</f>
        <v/>
      </c>
      <c r="D14">
        <f>MONTH(C14)</f>
        <v/>
      </c>
      <c r="E14">
        <f>'Календарь'!D11</f>
        <v/>
      </c>
      <c r="F14">
        <f>INT((C14-Нед_Начало)/7)+1</f>
        <v/>
      </c>
      <c r="G14">
        <f>IF(E14=0,0,INDEX('Планы менеджеров'!$B$5:$M$16,B14,D14)/INDEX(Мес_Раб,D14))</f>
        <v/>
      </c>
    </row>
    <row r="15">
      <c r="A15" t="inlineStr">
        <is>
          <t>Иванов</t>
        </is>
      </c>
      <c r="B15" t="n">
        <v>5</v>
      </c>
      <c r="C15" s="18">
        <f>'Календарь'!A12</f>
        <v/>
      </c>
      <c r="D15">
        <f>MONTH(C15)</f>
        <v/>
      </c>
      <c r="E15">
        <f>'Календарь'!D12</f>
        <v/>
      </c>
      <c r="F15">
        <f>INT((C15-Нед_Начало)/7)+1</f>
        <v/>
      </c>
      <c r="G15">
        <f>IF(E15=0,0,INDEX('Планы менеджеров'!$B$5:$M$16,B15,D15)/INDEX(Мес_Раб,D15))</f>
        <v/>
      </c>
    </row>
    <row r="16">
      <c r="A16" t="inlineStr">
        <is>
          <t>Иванов</t>
        </is>
      </c>
      <c r="B16" t="n">
        <v>5</v>
      </c>
      <c r="C16" s="18">
        <f>'Календарь'!A13</f>
        <v/>
      </c>
      <c r="D16">
        <f>MONTH(C16)</f>
        <v/>
      </c>
      <c r="E16">
        <f>'Календарь'!D13</f>
        <v/>
      </c>
      <c r="F16">
        <f>INT((C16-Нед_Начало)/7)+1</f>
        <v/>
      </c>
      <c r="G16">
        <f>IF(E16=0,0,INDEX('Планы менеджеров'!$B$5:$M$16,B16,D16)/INDEX(Мес_Раб,D16))</f>
        <v/>
      </c>
    </row>
    <row r="17">
      <c r="A17" t="inlineStr">
        <is>
          <t>Иванов</t>
        </is>
      </c>
      <c r="B17" t="n">
        <v>5</v>
      </c>
      <c r="C17" s="18">
        <f>'Календарь'!A14</f>
        <v/>
      </c>
      <c r="D17">
        <f>MONTH(C17)</f>
        <v/>
      </c>
      <c r="E17">
        <f>'Календарь'!D14</f>
        <v/>
      </c>
      <c r="F17">
        <f>INT((C17-Нед_Начало)/7)+1</f>
        <v/>
      </c>
      <c r="G17">
        <f>IF(E17=0,0,INDEX('Планы менеджеров'!$B$5:$M$16,B17,D17)/INDEX(Мес_Раб,D17))</f>
        <v/>
      </c>
    </row>
    <row r="18">
      <c r="A18" t="inlineStr">
        <is>
          <t>Иванов</t>
        </is>
      </c>
      <c r="B18" t="n">
        <v>5</v>
      </c>
      <c r="C18" s="18">
        <f>'Календарь'!A15</f>
        <v/>
      </c>
      <c r="D18">
        <f>MONTH(C18)</f>
        <v/>
      </c>
      <c r="E18">
        <f>'Календарь'!D15</f>
        <v/>
      </c>
      <c r="F18">
        <f>INT((C18-Нед_Начало)/7)+1</f>
        <v/>
      </c>
      <c r="G18">
        <f>IF(E18=0,0,INDEX('Планы менеджеров'!$B$5:$M$16,B18,D18)/INDEX(Мес_Раб,D18))</f>
        <v/>
      </c>
    </row>
    <row r="19">
      <c r="A19" t="inlineStr">
        <is>
          <t>Иванов</t>
        </is>
      </c>
      <c r="B19" t="n">
        <v>5</v>
      </c>
      <c r="C19" s="18">
        <f>'Календарь'!A16</f>
        <v/>
      </c>
      <c r="D19">
        <f>MONTH(C19)</f>
        <v/>
      </c>
      <c r="E19">
        <f>'Календарь'!D16</f>
        <v/>
      </c>
      <c r="F19">
        <f>INT((C19-Нед_Начало)/7)+1</f>
        <v/>
      </c>
      <c r="G19">
        <f>IF(E19=0,0,INDEX('Планы менеджеров'!$B$5:$M$16,B19,D19)/INDEX(Мес_Раб,D19))</f>
        <v/>
      </c>
    </row>
    <row r="20">
      <c r="A20" t="inlineStr">
        <is>
          <t>Иванов</t>
        </is>
      </c>
      <c r="B20" t="n">
        <v>5</v>
      </c>
      <c r="C20" s="18">
        <f>'Календарь'!A17</f>
        <v/>
      </c>
      <c r="D20">
        <f>MONTH(C20)</f>
        <v/>
      </c>
      <c r="E20">
        <f>'Календарь'!D17</f>
        <v/>
      </c>
      <c r="F20">
        <f>INT((C20-Нед_Начало)/7)+1</f>
        <v/>
      </c>
      <c r="G20">
        <f>IF(E20=0,0,INDEX('Планы менеджеров'!$B$5:$M$16,B20,D20)/INDEX(Мес_Раб,D20))</f>
        <v/>
      </c>
    </row>
    <row r="21">
      <c r="A21" t="inlineStr">
        <is>
          <t>Иванов</t>
        </is>
      </c>
      <c r="B21" t="n">
        <v>5</v>
      </c>
      <c r="C21" s="18">
        <f>'Календарь'!A18</f>
        <v/>
      </c>
      <c r="D21">
        <f>MONTH(C21)</f>
        <v/>
      </c>
      <c r="E21">
        <f>'Календарь'!D18</f>
        <v/>
      </c>
      <c r="F21">
        <f>INT((C21-Нед_Начало)/7)+1</f>
        <v/>
      </c>
      <c r="G21">
        <f>IF(E21=0,0,INDEX('Планы менеджеров'!$B$5:$M$16,B21,D21)/INDEX(Мес_Раб,D21))</f>
        <v/>
      </c>
    </row>
    <row r="22">
      <c r="A22" t="inlineStr">
        <is>
          <t>Иванов</t>
        </is>
      </c>
      <c r="B22" t="n">
        <v>5</v>
      </c>
      <c r="C22" s="18">
        <f>'Календарь'!A19</f>
        <v/>
      </c>
      <c r="D22">
        <f>MONTH(C22)</f>
        <v/>
      </c>
      <c r="E22">
        <f>'Календарь'!D19</f>
        <v/>
      </c>
      <c r="F22">
        <f>INT((C22-Нед_Начало)/7)+1</f>
        <v/>
      </c>
      <c r="G22">
        <f>IF(E22=0,0,INDEX('Планы менеджеров'!$B$5:$M$16,B22,D22)/INDEX(Мес_Раб,D22))</f>
        <v/>
      </c>
    </row>
    <row r="23">
      <c r="A23" t="inlineStr">
        <is>
          <t>Иванов</t>
        </is>
      </c>
      <c r="B23" t="n">
        <v>5</v>
      </c>
      <c r="C23" s="18">
        <f>'Календарь'!A20</f>
        <v/>
      </c>
      <c r="D23">
        <f>MONTH(C23)</f>
        <v/>
      </c>
      <c r="E23">
        <f>'Календарь'!D20</f>
        <v/>
      </c>
      <c r="F23">
        <f>INT((C23-Нед_Начало)/7)+1</f>
        <v/>
      </c>
      <c r="G23">
        <f>IF(E23=0,0,INDEX('Планы менеджеров'!$B$5:$M$16,B23,D23)/INDEX(Мес_Раб,D23))</f>
        <v/>
      </c>
    </row>
    <row r="24">
      <c r="A24" t="inlineStr">
        <is>
          <t>Иванов</t>
        </is>
      </c>
      <c r="B24" t="n">
        <v>5</v>
      </c>
      <c r="C24" s="18">
        <f>'Календарь'!A21</f>
        <v/>
      </c>
      <c r="D24">
        <f>MONTH(C24)</f>
        <v/>
      </c>
      <c r="E24">
        <f>'Календарь'!D21</f>
        <v/>
      </c>
      <c r="F24">
        <f>INT((C24-Нед_Начало)/7)+1</f>
        <v/>
      </c>
      <c r="G24">
        <f>IF(E24=0,0,INDEX('Планы менеджеров'!$B$5:$M$16,B24,D24)/INDEX(Мес_Раб,D24))</f>
        <v/>
      </c>
    </row>
    <row r="25">
      <c r="A25" t="inlineStr">
        <is>
          <t>Иванов</t>
        </is>
      </c>
      <c r="B25" t="n">
        <v>5</v>
      </c>
      <c r="C25" s="18">
        <f>'Календарь'!A22</f>
        <v/>
      </c>
      <c r="D25">
        <f>MONTH(C25)</f>
        <v/>
      </c>
      <c r="E25">
        <f>'Календарь'!D22</f>
        <v/>
      </c>
      <c r="F25">
        <f>INT((C25-Нед_Начало)/7)+1</f>
        <v/>
      </c>
      <c r="G25">
        <f>IF(E25=0,0,INDEX('Планы менеджеров'!$B$5:$M$16,B25,D25)/INDEX(Мес_Раб,D25))</f>
        <v/>
      </c>
    </row>
    <row r="26">
      <c r="A26" t="inlineStr">
        <is>
          <t>Иванов</t>
        </is>
      </c>
      <c r="B26" t="n">
        <v>5</v>
      </c>
      <c r="C26" s="18">
        <f>'Календарь'!A23</f>
        <v/>
      </c>
      <c r="D26">
        <f>MONTH(C26)</f>
        <v/>
      </c>
      <c r="E26">
        <f>'Календарь'!D23</f>
        <v/>
      </c>
      <c r="F26">
        <f>INT((C26-Нед_Начало)/7)+1</f>
        <v/>
      </c>
      <c r="G26">
        <f>IF(E26=0,0,INDEX('Планы менеджеров'!$B$5:$M$16,B26,D26)/INDEX(Мес_Раб,D26))</f>
        <v/>
      </c>
    </row>
    <row r="27">
      <c r="A27" t="inlineStr">
        <is>
          <t>Иванов</t>
        </is>
      </c>
      <c r="B27" t="n">
        <v>5</v>
      </c>
      <c r="C27" s="18">
        <f>'Календарь'!A24</f>
        <v/>
      </c>
      <c r="D27">
        <f>MONTH(C27)</f>
        <v/>
      </c>
      <c r="E27">
        <f>'Календарь'!D24</f>
        <v/>
      </c>
      <c r="F27">
        <f>INT((C27-Нед_Начало)/7)+1</f>
        <v/>
      </c>
      <c r="G27">
        <f>IF(E27=0,0,INDEX('Планы менеджеров'!$B$5:$M$16,B27,D27)/INDEX(Мес_Раб,D27))</f>
        <v/>
      </c>
    </row>
    <row r="28">
      <c r="A28" t="inlineStr">
        <is>
          <t>Иванов</t>
        </is>
      </c>
      <c r="B28" t="n">
        <v>5</v>
      </c>
      <c r="C28" s="18">
        <f>'Календарь'!A25</f>
        <v/>
      </c>
      <c r="D28">
        <f>MONTH(C28)</f>
        <v/>
      </c>
      <c r="E28">
        <f>'Календарь'!D25</f>
        <v/>
      </c>
      <c r="F28">
        <f>INT((C28-Нед_Начало)/7)+1</f>
        <v/>
      </c>
      <c r="G28">
        <f>IF(E28=0,0,INDEX('Планы менеджеров'!$B$5:$M$16,B28,D28)/INDEX(Мес_Раб,D28))</f>
        <v/>
      </c>
    </row>
    <row r="29">
      <c r="A29" t="inlineStr">
        <is>
          <t>Иванов</t>
        </is>
      </c>
      <c r="B29" t="n">
        <v>5</v>
      </c>
      <c r="C29" s="18">
        <f>'Календарь'!A26</f>
        <v/>
      </c>
      <c r="D29">
        <f>MONTH(C29)</f>
        <v/>
      </c>
      <c r="E29">
        <f>'Календарь'!D26</f>
        <v/>
      </c>
      <c r="F29">
        <f>INT((C29-Нед_Начало)/7)+1</f>
        <v/>
      </c>
      <c r="G29">
        <f>IF(E29=0,0,INDEX('Планы менеджеров'!$B$5:$M$16,B29,D29)/INDEX(Мес_Раб,D29))</f>
        <v/>
      </c>
    </row>
    <row r="30">
      <c r="A30" t="inlineStr">
        <is>
          <t>Иванов</t>
        </is>
      </c>
      <c r="B30" t="n">
        <v>5</v>
      </c>
      <c r="C30" s="18">
        <f>'Календарь'!A27</f>
        <v/>
      </c>
      <c r="D30">
        <f>MONTH(C30)</f>
        <v/>
      </c>
      <c r="E30">
        <f>'Календарь'!D27</f>
        <v/>
      </c>
      <c r="F30">
        <f>INT((C30-Нед_Начало)/7)+1</f>
        <v/>
      </c>
      <c r="G30">
        <f>IF(E30=0,0,INDEX('Планы менеджеров'!$B$5:$M$16,B30,D30)/INDEX(Мес_Раб,D30))</f>
        <v/>
      </c>
    </row>
    <row r="31">
      <c r="A31" t="inlineStr">
        <is>
          <t>Иванов</t>
        </is>
      </c>
      <c r="B31" t="n">
        <v>5</v>
      </c>
      <c r="C31" s="18">
        <f>'Календарь'!A28</f>
        <v/>
      </c>
      <c r="D31">
        <f>MONTH(C31)</f>
        <v/>
      </c>
      <c r="E31">
        <f>'Календарь'!D28</f>
        <v/>
      </c>
      <c r="F31">
        <f>INT((C31-Нед_Начало)/7)+1</f>
        <v/>
      </c>
      <c r="G31">
        <f>IF(E31=0,0,INDEX('Планы менеджеров'!$B$5:$M$16,B31,D31)/INDEX(Мес_Раб,D31))</f>
        <v/>
      </c>
    </row>
    <row r="32">
      <c r="A32" t="inlineStr">
        <is>
          <t>Иванов</t>
        </is>
      </c>
      <c r="B32" t="n">
        <v>5</v>
      </c>
      <c r="C32" s="18">
        <f>'Календарь'!A29</f>
        <v/>
      </c>
      <c r="D32">
        <f>MONTH(C32)</f>
        <v/>
      </c>
      <c r="E32">
        <f>'Календарь'!D29</f>
        <v/>
      </c>
      <c r="F32">
        <f>INT((C32-Нед_Начало)/7)+1</f>
        <v/>
      </c>
      <c r="G32">
        <f>IF(E32=0,0,INDEX('Планы менеджеров'!$B$5:$M$16,B32,D32)/INDEX(Мес_Раб,D32))</f>
        <v/>
      </c>
    </row>
    <row r="33">
      <c r="A33" t="inlineStr">
        <is>
          <t>Иванов</t>
        </is>
      </c>
      <c r="B33" t="n">
        <v>5</v>
      </c>
      <c r="C33" s="18">
        <f>'Календарь'!A30</f>
        <v/>
      </c>
      <c r="D33">
        <f>MONTH(C33)</f>
        <v/>
      </c>
      <c r="E33">
        <f>'Календарь'!D30</f>
        <v/>
      </c>
      <c r="F33">
        <f>INT((C33-Нед_Начало)/7)+1</f>
        <v/>
      </c>
      <c r="G33">
        <f>IF(E33=0,0,INDEX('Планы менеджеров'!$B$5:$M$16,B33,D33)/INDEX(Мес_Раб,D33))</f>
        <v/>
      </c>
    </row>
    <row r="34">
      <c r="A34" t="inlineStr">
        <is>
          <t>Иванов</t>
        </is>
      </c>
      <c r="B34" t="n">
        <v>5</v>
      </c>
      <c r="C34" s="18">
        <f>'Календарь'!A31</f>
        <v/>
      </c>
      <c r="D34">
        <f>MONTH(C34)</f>
        <v/>
      </c>
      <c r="E34">
        <f>'Календарь'!D31</f>
        <v/>
      </c>
      <c r="F34">
        <f>INT((C34-Нед_Начало)/7)+1</f>
        <v/>
      </c>
      <c r="G34">
        <f>IF(E34=0,0,INDEX('Планы менеджеров'!$B$5:$M$16,B34,D34)/INDEX(Мес_Раб,D34))</f>
        <v/>
      </c>
    </row>
    <row r="35">
      <c r="A35" t="inlineStr">
        <is>
          <t>Иванов</t>
        </is>
      </c>
      <c r="B35" t="n">
        <v>5</v>
      </c>
      <c r="C35" s="18">
        <f>'Календарь'!A32</f>
        <v/>
      </c>
      <c r="D35">
        <f>MONTH(C35)</f>
        <v/>
      </c>
      <c r="E35">
        <f>'Календарь'!D32</f>
        <v/>
      </c>
      <c r="F35">
        <f>INT((C35-Нед_Начало)/7)+1</f>
        <v/>
      </c>
      <c r="G35">
        <f>IF(E35=0,0,INDEX('Планы менеджеров'!$B$5:$M$16,B35,D35)/INDEX(Мес_Раб,D35))</f>
        <v/>
      </c>
    </row>
    <row r="36">
      <c r="A36" t="inlineStr">
        <is>
          <t>Иванов</t>
        </is>
      </c>
      <c r="B36" t="n">
        <v>5</v>
      </c>
      <c r="C36" s="18">
        <f>'Календарь'!A33</f>
        <v/>
      </c>
      <c r="D36">
        <f>MONTH(C36)</f>
        <v/>
      </c>
      <c r="E36">
        <f>'Календарь'!D33</f>
        <v/>
      </c>
      <c r="F36">
        <f>INT((C36-Нед_Начало)/7)+1</f>
        <v/>
      </c>
      <c r="G36">
        <f>IF(E36=0,0,INDEX('Планы менеджеров'!$B$5:$M$16,B36,D36)/INDEX(Мес_Раб,D36))</f>
        <v/>
      </c>
    </row>
    <row r="37">
      <c r="A37" t="inlineStr">
        <is>
          <t>Иванов</t>
        </is>
      </c>
      <c r="B37" t="n">
        <v>5</v>
      </c>
      <c r="C37" s="18">
        <f>'Календарь'!A34</f>
        <v/>
      </c>
      <c r="D37">
        <f>MONTH(C37)</f>
        <v/>
      </c>
      <c r="E37">
        <f>'Календарь'!D34</f>
        <v/>
      </c>
      <c r="F37">
        <f>INT((C37-Нед_Начало)/7)+1</f>
        <v/>
      </c>
      <c r="G37">
        <f>IF(E37=0,0,INDEX('Планы менеджеров'!$B$5:$M$16,B37,D37)/INDEX(Мес_Раб,D37))</f>
        <v/>
      </c>
    </row>
    <row r="38">
      <c r="A38" t="inlineStr">
        <is>
          <t>Иванов</t>
        </is>
      </c>
      <c r="B38" t="n">
        <v>5</v>
      </c>
      <c r="C38" s="18">
        <f>'Календарь'!A35</f>
        <v/>
      </c>
      <c r="D38">
        <f>MONTH(C38)</f>
        <v/>
      </c>
      <c r="E38">
        <f>'Календарь'!D35</f>
        <v/>
      </c>
      <c r="F38">
        <f>INT((C38-Нед_Начало)/7)+1</f>
        <v/>
      </c>
      <c r="G38">
        <f>IF(E38=0,0,INDEX('Планы менеджеров'!$B$5:$M$16,B38,D38)/INDEX(Мес_Раб,D38))</f>
        <v/>
      </c>
    </row>
    <row r="39">
      <c r="A39" t="inlineStr">
        <is>
          <t>Иванов</t>
        </is>
      </c>
      <c r="B39" t="n">
        <v>5</v>
      </c>
      <c r="C39" s="18">
        <f>'Календарь'!A36</f>
        <v/>
      </c>
      <c r="D39">
        <f>MONTH(C39)</f>
        <v/>
      </c>
      <c r="E39">
        <f>'Календарь'!D36</f>
        <v/>
      </c>
      <c r="F39">
        <f>INT((C39-Нед_Начало)/7)+1</f>
        <v/>
      </c>
      <c r="G39">
        <f>IF(E39=0,0,INDEX('Планы менеджеров'!$B$5:$M$16,B39,D39)/INDEX(Мес_Раб,D39))</f>
        <v/>
      </c>
    </row>
    <row r="40">
      <c r="A40" t="inlineStr">
        <is>
          <t>Иванов</t>
        </is>
      </c>
      <c r="B40" t="n">
        <v>5</v>
      </c>
      <c r="C40" s="18">
        <f>'Календарь'!A37</f>
        <v/>
      </c>
      <c r="D40">
        <f>MONTH(C40)</f>
        <v/>
      </c>
      <c r="E40">
        <f>'Календарь'!D37</f>
        <v/>
      </c>
      <c r="F40">
        <f>INT((C40-Нед_Начало)/7)+1</f>
        <v/>
      </c>
      <c r="G40">
        <f>IF(E40=0,0,INDEX('Планы менеджеров'!$B$5:$M$16,B40,D40)/INDEX(Мес_Раб,D40))</f>
        <v/>
      </c>
    </row>
    <row r="41">
      <c r="A41" t="inlineStr">
        <is>
          <t>Иванов</t>
        </is>
      </c>
      <c r="B41" t="n">
        <v>5</v>
      </c>
      <c r="C41" s="18">
        <f>'Календарь'!A38</f>
        <v/>
      </c>
      <c r="D41">
        <f>MONTH(C41)</f>
        <v/>
      </c>
      <c r="E41">
        <f>'Календарь'!D38</f>
        <v/>
      </c>
      <c r="F41">
        <f>INT((C41-Нед_Начало)/7)+1</f>
        <v/>
      </c>
      <c r="G41">
        <f>IF(E41=0,0,INDEX('Планы менеджеров'!$B$5:$M$16,B41,D41)/INDEX(Мес_Раб,D41))</f>
        <v/>
      </c>
    </row>
    <row r="42">
      <c r="A42" t="inlineStr">
        <is>
          <t>Иванов</t>
        </is>
      </c>
      <c r="B42" t="n">
        <v>5</v>
      </c>
      <c r="C42" s="18">
        <f>'Календарь'!A39</f>
        <v/>
      </c>
      <c r="D42">
        <f>MONTH(C42)</f>
        <v/>
      </c>
      <c r="E42">
        <f>'Календарь'!D39</f>
        <v/>
      </c>
      <c r="F42">
        <f>INT((C42-Нед_Начало)/7)+1</f>
        <v/>
      </c>
      <c r="G42">
        <f>IF(E42=0,0,INDEX('Планы менеджеров'!$B$5:$M$16,B42,D42)/INDEX(Мес_Раб,D42))</f>
        <v/>
      </c>
    </row>
    <row r="43">
      <c r="A43" t="inlineStr">
        <is>
          <t>Иванов</t>
        </is>
      </c>
      <c r="B43" t="n">
        <v>5</v>
      </c>
      <c r="C43" s="18">
        <f>'Календарь'!A40</f>
        <v/>
      </c>
      <c r="D43">
        <f>MONTH(C43)</f>
        <v/>
      </c>
      <c r="E43">
        <f>'Календарь'!D40</f>
        <v/>
      </c>
      <c r="F43">
        <f>INT((C43-Нед_Начало)/7)+1</f>
        <v/>
      </c>
      <c r="G43">
        <f>IF(E43=0,0,INDEX('Планы менеджеров'!$B$5:$M$16,B43,D43)/INDEX(Мес_Раб,D43))</f>
        <v/>
      </c>
    </row>
    <row r="44">
      <c r="A44" t="inlineStr">
        <is>
          <t>Иванов</t>
        </is>
      </c>
      <c r="B44" t="n">
        <v>5</v>
      </c>
      <c r="C44" s="18">
        <f>'Календарь'!A41</f>
        <v/>
      </c>
      <c r="D44">
        <f>MONTH(C44)</f>
        <v/>
      </c>
      <c r="E44">
        <f>'Календарь'!D41</f>
        <v/>
      </c>
      <c r="F44">
        <f>INT((C44-Нед_Начало)/7)+1</f>
        <v/>
      </c>
      <c r="G44">
        <f>IF(E44=0,0,INDEX('Планы менеджеров'!$B$5:$M$16,B44,D44)/INDEX(Мес_Раб,D44))</f>
        <v/>
      </c>
    </row>
    <row r="45">
      <c r="A45" t="inlineStr">
        <is>
          <t>Иванов</t>
        </is>
      </c>
      <c r="B45" t="n">
        <v>5</v>
      </c>
      <c r="C45" s="18">
        <f>'Календарь'!A42</f>
        <v/>
      </c>
      <c r="D45">
        <f>MONTH(C45)</f>
        <v/>
      </c>
      <c r="E45">
        <f>'Календарь'!D42</f>
        <v/>
      </c>
      <c r="F45">
        <f>INT((C45-Нед_Начало)/7)+1</f>
        <v/>
      </c>
      <c r="G45">
        <f>IF(E45=0,0,INDEX('Планы менеджеров'!$B$5:$M$16,B45,D45)/INDEX(Мес_Раб,D45))</f>
        <v/>
      </c>
    </row>
    <row r="46">
      <c r="A46" t="inlineStr">
        <is>
          <t>Иванов</t>
        </is>
      </c>
      <c r="B46" t="n">
        <v>5</v>
      </c>
      <c r="C46" s="18">
        <f>'Календарь'!A43</f>
        <v/>
      </c>
      <c r="D46">
        <f>MONTH(C46)</f>
        <v/>
      </c>
      <c r="E46">
        <f>'Календарь'!D43</f>
        <v/>
      </c>
      <c r="F46">
        <f>INT((C46-Нед_Начало)/7)+1</f>
        <v/>
      </c>
      <c r="G46">
        <f>IF(E46=0,0,INDEX('Планы менеджеров'!$B$5:$M$16,B46,D46)/INDEX(Мес_Раб,D46))</f>
        <v/>
      </c>
    </row>
    <row r="47">
      <c r="A47" t="inlineStr">
        <is>
          <t>Иванов</t>
        </is>
      </c>
      <c r="B47" t="n">
        <v>5</v>
      </c>
      <c r="C47" s="18">
        <f>'Календарь'!A44</f>
        <v/>
      </c>
      <c r="D47">
        <f>MONTH(C47)</f>
        <v/>
      </c>
      <c r="E47">
        <f>'Календарь'!D44</f>
        <v/>
      </c>
      <c r="F47">
        <f>INT((C47-Нед_Начало)/7)+1</f>
        <v/>
      </c>
      <c r="G47">
        <f>IF(E47=0,0,INDEX('Планы менеджеров'!$B$5:$M$16,B47,D47)/INDEX(Мес_Раб,D47))</f>
        <v/>
      </c>
    </row>
    <row r="48">
      <c r="A48" t="inlineStr">
        <is>
          <t>Иванов</t>
        </is>
      </c>
      <c r="B48" t="n">
        <v>5</v>
      </c>
      <c r="C48" s="18">
        <f>'Календарь'!A45</f>
        <v/>
      </c>
      <c r="D48">
        <f>MONTH(C48)</f>
        <v/>
      </c>
      <c r="E48">
        <f>'Календарь'!D45</f>
        <v/>
      </c>
      <c r="F48">
        <f>INT((C48-Нед_Начало)/7)+1</f>
        <v/>
      </c>
      <c r="G48">
        <f>IF(E48=0,0,INDEX('Планы менеджеров'!$B$5:$M$16,B48,D48)/INDEX(Мес_Раб,D48))</f>
        <v/>
      </c>
    </row>
    <row r="49">
      <c r="A49" t="inlineStr">
        <is>
          <t>Иванов</t>
        </is>
      </c>
      <c r="B49" t="n">
        <v>5</v>
      </c>
      <c r="C49" s="18">
        <f>'Календарь'!A46</f>
        <v/>
      </c>
      <c r="D49">
        <f>MONTH(C49)</f>
        <v/>
      </c>
      <c r="E49">
        <f>'Календарь'!D46</f>
        <v/>
      </c>
      <c r="F49">
        <f>INT((C49-Нед_Начало)/7)+1</f>
        <v/>
      </c>
      <c r="G49">
        <f>IF(E49=0,0,INDEX('Планы менеджеров'!$B$5:$M$16,B49,D49)/INDEX(Мес_Раб,D49))</f>
        <v/>
      </c>
    </row>
    <row r="50">
      <c r="A50" t="inlineStr">
        <is>
          <t>Иванов</t>
        </is>
      </c>
      <c r="B50" t="n">
        <v>5</v>
      </c>
      <c r="C50" s="18">
        <f>'Календарь'!A47</f>
        <v/>
      </c>
      <c r="D50">
        <f>MONTH(C50)</f>
        <v/>
      </c>
      <c r="E50">
        <f>'Календарь'!D47</f>
        <v/>
      </c>
      <c r="F50">
        <f>INT((C50-Нед_Начало)/7)+1</f>
        <v/>
      </c>
      <c r="G50">
        <f>IF(E50=0,0,INDEX('Планы менеджеров'!$B$5:$M$16,B50,D50)/INDEX(Мес_Раб,D50))</f>
        <v/>
      </c>
    </row>
    <row r="51">
      <c r="A51" t="inlineStr">
        <is>
          <t>Иванов</t>
        </is>
      </c>
      <c r="B51" t="n">
        <v>5</v>
      </c>
      <c r="C51" s="18">
        <f>'Календарь'!A48</f>
        <v/>
      </c>
      <c r="D51">
        <f>MONTH(C51)</f>
        <v/>
      </c>
      <c r="E51">
        <f>'Календарь'!D48</f>
        <v/>
      </c>
      <c r="F51">
        <f>INT((C51-Нед_Начало)/7)+1</f>
        <v/>
      </c>
      <c r="G51">
        <f>IF(E51=0,0,INDEX('Планы менеджеров'!$B$5:$M$16,B51,D51)/INDEX(Мес_Раб,D51))</f>
        <v/>
      </c>
    </row>
    <row r="52">
      <c r="A52" t="inlineStr">
        <is>
          <t>Иванов</t>
        </is>
      </c>
      <c r="B52" t="n">
        <v>5</v>
      </c>
      <c r="C52" s="18">
        <f>'Календарь'!A49</f>
        <v/>
      </c>
      <c r="D52">
        <f>MONTH(C52)</f>
        <v/>
      </c>
      <c r="E52">
        <f>'Календарь'!D49</f>
        <v/>
      </c>
      <c r="F52">
        <f>INT((C52-Нед_Начало)/7)+1</f>
        <v/>
      </c>
      <c r="G52">
        <f>IF(E52=0,0,INDEX('Планы менеджеров'!$B$5:$M$16,B52,D52)/INDEX(Мес_Раб,D52))</f>
        <v/>
      </c>
    </row>
    <row r="53">
      <c r="A53" t="inlineStr">
        <is>
          <t>Иванов</t>
        </is>
      </c>
      <c r="B53" t="n">
        <v>5</v>
      </c>
      <c r="C53" s="18">
        <f>'Календарь'!A50</f>
        <v/>
      </c>
      <c r="D53">
        <f>MONTH(C53)</f>
        <v/>
      </c>
      <c r="E53">
        <f>'Календарь'!D50</f>
        <v/>
      </c>
      <c r="F53">
        <f>INT((C53-Нед_Начало)/7)+1</f>
        <v/>
      </c>
      <c r="G53">
        <f>IF(E53=0,0,INDEX('Планы менеджеров'!$B$5:$M$16,B53,D53)/INDEX(Мес_Раб,D53))</f>
        <v/>
      </c>
    </row>
    <row r="54">
      <c r="A54" t="inlineStr">
        <is>
          <t>Иванов</t>
        </is>
      </c>
      <c r="B54" t="n">
        <v>5</v>
      </c>
      <c r="C54" s="18">
        <f>'Календарь'!A51</f>
        <v/>
      </c>
      <c r="D54">
        <f>MONTH(C54)</f>
        <v/>
      </c>
      <c r="E54">
        <f>'Календарь'!D51</f>
        <v/>
      </c>
      <c r="F54">
        <f>INT((C54-Нед_Начало)/7)+1</f>
        <v/>
      </c>
      <c r="G54">
        <f>IF(E54=0,0,INDEX('Планы менеджеров'!$B$5:$M$16,B54,D54)/INDEX(Мес_Раб,D54))</f>
        <v/>
      </c>
    </row>
    <row r="55">
      <c r="A55" t="inlineStr">
        <is>
          <t>Иванов</t>
        </is>
      </c>
      <c r="B55" t="n">
        <v>5</v>
      </c>
      <c r="C55" s="18">
        <f>'Календарь'!A52</f>
        <v/>
      </c>
      <c r="D55">
        <f>MONTH(C55)</f>
        <v/>
      </c>
      <c r="E55">
        <f>'Календарь'!D52</f>
        <v/>
      </c>
      <c r="F55">
        <f>INT((C55-Нед_Начало)/7)+1</f>
        <v/>
      </c>
      <c r="G55">
        <f>IF(E55=0,0,INDEX('Планы менеджеров'!$B$5:$M$16,B55,D55)/INDEX(Мес_Раб,D55))</f>
        <v/>
      </c>
    </row>
    <row r="56">
      <c r="A56" t="inlineStr">
        <is>
          <t>Иванов</t>
        </is>
      </c>
      <c r="B56" t="n">
        <v>5</v>
      </c>
      <c r="C56" s="18">
        <f>'Календарь'!A53</f>
        <v/>
      </c>
      <c r="D56">
        <f>MONTH(C56)</f>
        <v/>
      </c>
      <c r="E56">
        <f>'Календарь'!D53</f>
        <v/>
      </c>
      <c r="F56">
        <f>INT((C56-Нед_Начало)/7)+1</f>
        <v/>
      </c>
      <c r="G56">
        <f>IF(E56=0,0,INDEX('Планы менеджеров'!$B$5:$M$16,B56,D56)/INDEX(Мес_Раб,D56))</f>
        <v/>
      </c>
    </row>
    <row r="57">
      <c r="A57" t="inlineStr">
        <is>
          <t>Иванов</t>
        </is>
      </c>
      <c r="B57" t="n">
        <v>5</v>
      </c>
      <c r="C57" s="18">
        <f>'Календарь'!A54</f>
        <v/>
      </c>
      <c r="D57">
        <f>MONTH(C57)</f>
        <v/>
      </c>
      <c r="E57">
        <f>'Календарь'!D54</f>
        <v/>
      </c>
      <c r="F57">
        <f>INT((C57-Нед_Начало)/7)+1</f>
        <v/>
      </c>
      <c r="G57">
        <f>IF(E57=0,0,INDEX('Планы менеджеров'!$B$5:$M$16,B57,D57)/INDEX(Мес_Раб,D57))</f>
        <v/>
      </c>
    </row>
    <row r="58">
      <c r="A58" t="inlineStr">
        <is>
          <t>Иванов</t>
        </is>
      </c>
      <c r="B58" t="n">
        <v>5</v>
      </c>
      <c r="C58" s="18">
        <f>'Календарь'!A55</f>
        <v/>
      </c>
      <c r="D58">
        <f>MONTH(C58)</f>
        <v/>
      </c>
      <c r="E58">
        <f>'Календарь'!D55</f>
        <v/>
      </c>
      <c r="F58">
        <f>INT((C58-Нед_Начало)/7)+1</f>
        <v/>
      </c>
      <c r="G58">
        <f>IF(E58=0,0,INDEX('Планы менеджеров'!$B$5:$M$16,B58,D58)/INDEX(Мес_Раб,D58))</f>
        <v/>
      </c>
    </row>
    <row r="59">
      <c r="A59" t="inlineStr">
        <is>
          <t>Иванов</t>
        </is>
      </c>
      <c r="B59" t="n">
        <v>5</v>
      </c>
      <c r="C59" s="18">
        <f>'Календарь'!A56</f>
        <v/>
      </c>
      <c r="D59">
        <f>MONTH(C59)</f>
        <v/>
      </c>
      <c r="E59">
        <f>'Календарь'!D56</f>
        <v/>
      </c>
      <c r="F59">
        <f>INT((C59-Нед_Начало)/7)+1</f>
        <v/>
      </c>
      <c r="G59">
        <f>IF(E59=0,0,INDEX('Планы менеджеров'!$B$5:$M$16,B59,D59)/INDEX(Мес_Раб,D59))</f>
        <v/>
      </c>
    </row>
    <row r="60">
      <c r="A60" t="inlineStr">
        <is>
          <t>Иванов</t>
        </is>
      </c>
      <c r="B60" t="n">
        <v>5</v>
      </c>
      <c r="C60" s="18">
        <f>'Календарь'!A57</f>
        <v/>
      </c>
      <c r="D60">
        <f>MONTH(C60)</f>
        <v/>
      </c>
      <c r="E60">
        <f>'Календарь'!D57</f>
        <v/>
      </c>
      <c r="F60">
        <f>INT((C60-Нед_Начало)/7)+1</f>
        <v/>
      </c>
      <c r="G60">
        <f>IF(E60=0,0,INDEX('Планы менеджеров'!$B$5:$M$16,B60,D60)/INDEX(Мес_Раб,D60))</f>
        <v/>
      </c>
    </row>
    <row r="61">
      <c r="A61" t="inlineStr">
        <is>
          <t>Иванов</t>
        </is>
      </c>
      <c r="B61" t="n">
        <v>5</v>
      </c>
      <c r="C61" s="18">
        <f>'Календарь'!A58</f>
        <v/>
      </c>
      <c r="D61">
        <f>MONTH(C61)</f>
        <v/>
      </c>
      <c r="E61">
        <f>'Календарь'!D58</f>
        <v/>
      </c>
      <c r="F61">
        <f>INT((C61-Нед_Начало)/7)+1</f>
        <v/>
      </c>
      <c r="G61">
        <f>IF(E61=0,0,INDEX('Планы менеджеров'!$B$5:$M$16,B61,D61)/INDEX(Мес_Раб,D61))</f>
        <v/>
      </c>
    </row>
    <row r="62">
      <c r="A62" t="inlineStr">
        <is>
          <t>Иванов</t>
        </is>
      </c>
      <c r="B62" t="n">
        <v>5</v>
      </c>
      <c r="C62" s="18">
        <f>'Календарь'!A59</f>
        <v/>
      </c>
      <c r="D62">
        <f>MONTH(C62)</f>
        <v/>
      </c>
      <c r="E62">
        <f>'Календарь'!D59</f>
        <v/>
      </c>
      <c r="F62">
        <f>INT((C62-Нед_Начало)/7)+1</f>
        <v/>
      </c>
      <c r="G62">
        <f>IF(E62=0,0,INDEX('Планы менеджеров'!$B$5:$M$16,B62,D62)/INDEX(Мес_Раб,D62))</f>
        <v/>
      </c>
    </row>
    <row r="63">
      <c r="A63" t="inlineStr">
        <is>
          <t>Иванов</t>
        </is>
      </c>
      <c r="B63" t="n">
        <v>5</v>
      </c>
      <c r="C63" s="18">
        <f>'Календарь'!A60</f>
        <v/>
      </c>
      <c r="D63">
        <f>MONTH(C63)</f>
        <v/>
      </c>
      <c r="E63">
        <f>'Календарь'!D60</f>
        <v/>
      </c>
      <c r="F63">
        <f>INT((C63-Нед_Начало)/7)+1</f>
        <v/>
      </c>
      <c r="G63">
        <f>IF(E63=0,0,INDEX('Планы менеджеров'!$B$5:$M$16,B63,D63)/INDEX(Мес_Раб,D63))</f>
        <v/>
      </c>
    </row>
    <row r="64">
      <c r="A64" t="inlineStr">
        <is>
          <t>Иванов</t>
        </is>
      </c>
      <c r="B64" t="n">
        <v>5</v>
      </c>
      <c r="C64" s="18">
        <f>'Календарь'!A61</f>
        <v/>
      </c>
      <c r="D64">
        <f>MONTH(C64)</f>
        <v/>
      </c>
      <c r="E64">
        <f>'Календарь'!D61</f>
        <v/>
      </c>
      <c r="F64">
        <f>INT((C64-Нед_Начало)/7)+1</f>
        <v/>
      </c>
      <c r="G64">
        <f>IF(E64=0,0,INDEX('Планы менеджеров'!$B$5:$M$16,B64,D64)/INDEX(Мес_Раб,D64))</f>
        <v/>
      </c>
    </row>
    <row r="65">
      <c r="A65" t="inlineStr">
        <is>
          <t>Иванов</t>
        </is>
      </c>
      <c r="B65" t="n">
        <v>5</v>
      </c>
      <c r="C65" s="18">
        <f>'Календарь'!A62</f>
        <v/>
      </c>
      <c r="D65">
        <f>MONTH(C65)</f>
        <v/>
      </c>
      <c r="E65">
        <f>'Календарь'!D62</f>
        <v/>
      </c>
      <c r="F65">
        <f>INT((C65-Нед_Начало)/7)+1</f>
        <v/>
      </c>
      <c r="G65">
        <f>IF(E65=0,0,INDEX('Планы менеджеров'!$B$5:$M$16,B65,D65)/INDEX(Мес_Раб,D65))</f>
        <v/>
      </c>
    </row>
    <row r="66">
      <c r="A66" t="inlineStr">
        <is>
          <t>Иванов</t>
        </is>
      </c>
      <c r="B66" t="n">
        <v>5</v>
      </c>
      <c r="C66" s="18">
        <f>'Календарь'!A63</f>
        <v/>
      </c>
      <c r="D66">
        <f>MONTH(C66)</f>
        <v/>
      </c>
      <c r="E66">
        <f>'Календарь'!D63</f>
        <v/>
      </c>
      <c r="F66">
        <f>INT((C66-Нед_Начало)/7)+1</f>
        <v/>
      </c>
      <c r="G66">
        <f>IF(E66=0,0,INDEX('Планы менеджеров'!$B$5:$M$16,B66,D66)/INDEX(Мес_Раб,D66))</f>
        <v/>
      </c>
    </row>
    <row r="67">
      <c r="A67" t="inlineStr">
        <is>
          <t>Иванов</t>
        </is>
      </c>
      <c r="B67" t="n">
        <v>5</v>
      </c>
      <c r="C67" s="18">
        <f>'Календарь'!A64</f>
        <v/>
      </c>
      <c r="D67">
        <f>MONTH(C67)</f>
        <v/>
      </c>
      <c r="E67">
        <f>'Календарь'!D64</f>
        <v/>
      </c>
      <c r="F67">
        <f>INT((C67-Нед_Начало)/7)+1</f>
        <v/>
      </c>
      <c r="G67">
        <f>IF(E67=0,0,INDEX('Планы менеджеров'!$B$5:$M$16,B67,D67)/INDEX(Мес_Раб,D67))</f>
        <v/>
      </c>
    </row>
    <row r="68">
      <c r="A68" t="inlineStr">
        <is>
          <t>Иванов</t>
        </is>
      </c>
      <c r="B68" t="n">
        <v>5</v>
      </c>
      <c r="C68" s="18">
        <f>'Календарь'!A65</f>
        <v/>
      </c>
      <c r="D68">
        <f>MONTH(C68)</f>
        <v/>
      </c>
      <c r="E68">
        <f>'Календарь'!D65</f>
        <v/>
      </c>
      <c r="F68">
        <f>INT((C68-Нед_Начало)/7)+1</f>
        <v/>
      </c>
      <c r="G68">
        <f>IF(E68=0,0,INDEX('Планы менеджеров'!$B$5:$M$16,B68,D68)/INDEX(Мес_Раб,D68))</f>
        <v/>
      </c>
    </row>
    <row r="69">
      <c r="A69" t="inlineStr">
        <is>
          <t>Иванов</t>
        </is>
      </c>
      <c r="B69" t="n">
        <v>5</v>
      </c>
      <c r="C69" s="18">
        <f>'Календарь'!A66</f>
        <v/>
      </c>
      <c r="D69">
        <f>MONTH(C69)</f>
        <v/>
      </c>
      <c r="E69">
        <f>'Календарь'!D66</f>
        <v/>
      </c>
      <c r="F69">
        <f>INT((C69-Нед_Начало)/7)+1</f>
        <v/>
      </c>
      <c r="G69">
        <f>IF(E69=0,0,INDEX('Планы менеджеров'!$B$5:$M$16,B69,D69)/INDEX(Мес_Раб,D69))</f>
        <v/>
      </c>
    </row>
    <row r="70">
      <c r="A70" t="inlineStr">
        <is>
          <t>Иванов</t>
        </is>
      </c>
      <c r="B70" t="n">
        <v>5</v>
      </c>
      <c r="C70" s="18">
        <f>'Календарь'!A67</f>
        <v/>
      </c>
      <c r="D70">
        <f>MONTH(C70)</f>
        <v/>
      </c>
      <c r="E70">
        <f>'Календарь'!D67</f>
        <v/>
      </c>
      <c r="F70">
        <f>INT((C70-Нед_Начало)/7)+1</f>
        <v/>
      </c>
      <c r="G70">
        <f>IF(E70=0,0,INDEX('Планы менеджеров'!$B$5:$M$16,B70,D70)/INDEX(Мес_Раб,D70))</f>
        <v/>
      </c>
    </row>
    <row r="71">
      <c r="A71" t="inlineStr">
        <is>
          <t>Иванов</t>
        </is>
      </c>
      <c r="B71" t="n">
        <v>5</v>
      </c>
      <c r="C71" s="18">
        <f>'Календарь'!A68</f>
        <v/>
      </c>
      <c r="D71">
        <f>MONTH(C71)</f>
        <v/>
      </c>
      <c r="E71">
        <f>'Календарь'!D68</f>
        <v/>
      </c>
      <c r="F71">
        <f>INT((C71-Нед_Начало)/7)+1</f>
        <v/>
      </c>
      <c r="G71">
        <f>IF(E71=0,0,INDEX('Планы менеджеров'!$B$5:$M$16,B71,D71)/INDEX(Мес_Раб,D71))</f>
        <v/>
      </c>
    </row>
    <row r="72">
      <c r="A72" t="inlineStr">
        <is>
          <t>Иванов</t>
        </is>
      </c>
      <c r="B72" t="n">
        <v>5</v>
      </c>
      <c r="C72" s="18">
        <f>'Календарь'!A69</f>
        <v/>
      </c>
      <c r="D72">
        <f>MONTH(C72)</f>
        <v/>
      </c>
      <c r="E72">
        <f>'Календарь'!D69</f>
        <v/>
      </c>
      <c r="F72">
        <f>INT((C72-Нед_Начало)/7)+1</f>
        <v/>
      </c>
      <c r="G72">
        <f>IF(E72=0,0,INDEX('Планы менеджеров'!$B$5:$M$16,B72,D72)/INDEX(Мес_Раб,D72))</f>
        <v/>
      </c>
    </row>
    <row r="73">
      <c r="A73" t="inlineStr">
        <is>
          <t>Иванов</t>
        </is>
      </c>
      <c r="B73" t="n">
        <v>5</v>
      </c>
      <c r="C73" s="18">
        <f>'Календарь'!A70</f>
        <v/>
      </c>
      <c r="D73">
        <f>MONTH(C73)</f>
        <v/>
      </c>
      <c r="E73">
        <f>'Календарь'!D70</f>
        <v/>
      </c>
      <c r="F73">
        <f>INT((C73-Нед_Начало)/7)+1</f>
        <v/>
      </c>
      <c r="G73">
        <f>IF(E73=0,0,INDEX('Планы менеджеров'!$B$5:$M$16,B73,D73)/INDEX(Мес_Раб,D73))</f>
        <v/>
      </c>
    </row>
    <row r="74">
      <c r="A74" t="inlineStr">
        <is>
          <t>Иванов</t>
        </is>
      </c>
      <c r="B74" t="n">
        <v>5</v>
      </c>
      <c r="C74" s="18">
        <f>'Календарь'!A71</f>
        <v/>
      </c>
      <c r="D74">
        <f>MONTH(C74)</f>
        <v/>
      </c>
      <c r="E74">
        <f>'Календарь'!D71</f>
        <v/>
      </c>
      <c r="F74">
        <f>INT((C74-Нед_Начало)/7)+1</f>
        <v/>
      </c>
      <c r="G74">
        <f>IF(E74=0,0,INDEX('Планы менеджеров'!$B$5:$M$16,B74,D74)/INDEX(Мес_Раб,D74))</f>
        <v/>
      </c>
    </row>
    <row r="75">
      <c r="A75" t="inlineStr">
        <is>
          <t>Иванов</t>
        </is>
      </c>
      <c r="B75" t="n">
        <v>5</v>
      </c>
      <c r="C75" s="18">
        <f>'Календарь'!A72</f>
        <v/>
      </c>
      <c r="D75">
        <f>MONTH(C75)</f>
        <v/>
      </c>
      <c r="E75">
        <f>'Календарь'!D72</f>
        <v/>
      </c>
      <c r="F75">
        <f>INT((C75-Нед_Начало)/7)+1</f>
        <v/>
      </c>
      <c r="G75">
        <f>IF(E75=0,0,INDEX('Планы менеджеров'!$B$5:$M$16,B75,D75)/INDEX(Мес_Раб,D75))</f>
        <v/>
      </c>
    </row>
    <row r="76">
      <c r="A76" t="inlineStr">
        <is>
          <t>Иванов</t>
        </is>
      </c>
      <c r="B76" t="n">
        <v>5</v>
      </c>
      <c r="C76" s="18">
        <f>'Календарь'!A73</f>
        <v/>
      </c>
      <c r="D76">
        <f>MONTH(C76)</f>
        <v/>
      </c>
      <c r="E76">
        <f>'Календарь'!D73</f>
        <v/>
      </c>
      <c r="F76">
        <f>INT((C76-Нед_Начало)/7)+1</f>
        <v/>
      </c>
      <c r="G76">
        <f>IF(E76=0,0,INDEX('Планы менеджеров'!$B$5:$M$16,B76,D76)/INDEX(Мес_Раб,D76))</f>
        <v/>
      </c>
    </row>
    <row r="77">
      <c r="A77" t="inlineStr">
        <is>
          <t>Иванов</t>
        </is>
      </c>
      <c r="B77" t="n">
        <v>5</v>
      </c>
      <c r="C77" s="18">
        <f>'Календарь'!A74</f>
        <v/>
      </c>
      <c r="D77">
        <f>MONTH(C77)</f>
        <v/>
      </c>
      <c r="E77">
        <f>'Календарь'!D74</f>
        <v/>
      </c>
      <c r="F77">
        <f>INT((C77-Нед_Начало)/7)+1</f>
        <v/>
      </c>
      <c r="G77">
        <f>IF(E77=0,0,INDEX('Планы менеджеров'!$B$5:$M$16,B77,D77)/INDEX(Мес_Раб,D77))</f>
        <v/>
      </c>
    </row>
    <row r="78">
      <c r="A78" t="inlineStr">
        <is>
          <t>Иванов</t>
        </is>
      </c>
      <c r="B78" t="n">
        <v>5</v>
      </c>
      <c r="C78" s="18">
        <f>'Календарь'!A75</f>
        <v/>
      </c>
      <c r="D78">
        <f>MONTH(C78)</f>
        <v/>
      </c>
      <c r="E78">
        <f>'Календарь'!D75</f>
        <v/>
      </c>
      <c r="F78">
        <f>INT((C78-Нед_Начало)/7)+1</f>
        <v/>
      </c>
      <c r="G78">
        <f>IF(E78=0,0,INDEX('Планы менеджеров'!$B$5:$M$16,B78,D78)/INDEX(Мес_Раб,D78))</f>
        <v/>
      </c>
    </row>
    <row r="79">
      <c r="A79" t="inlineStr">
        <is>
          <t>Иванов</t>
        </is>
      </c>
      <c r="B79" t="n">
        <v>5</v>
      </c>
      <c r="C79" s="18">
        <f>'Календарь'!A76</f>
        <v/>
      </c>
      <c r="D79">
        <f>MONTH(C79)</f>
        <v/>
      </c>
      <c r="E79">
        <f>'Календарь'!D76</f>
        <v/>
      </c>
      <c r="F79">
        <f>INT((C79-Нед_Начало)/7)+1</f>
        <v/>
      </c>
      <c r="G79">
        <f>IF(E79=0,0,INDEX('Планы менеджеров'!$B$5:$M$16,B79,D79)/INDEX(Мес_Раб,D79))</f>
        <v/>
      </c>
    </row>
    <row r="80">
      <c r="A80" t="inlineStr">
        <is>
          <t>Иванов</t>
        </is>
      </c>
      <c r="B80" t="n">
        <v>5</v>
      </c>
      <c r="C80" s="18">
        <f>'Календарь'!A77</f>
        <v/>
      </c>
      <c r="D80">
        <f>MONTH(C80)</f>
        <v/>
      </c>
      <c r="E80">
        <f>'Календарь'!D77</f>
        <v/>
      </c>
      <c r="F80">
        <f>INT((C80-Нед_Начало)/7)+1</f>
        <v/>
      </c>
      <c r="G80">
        <f>IF(E80=0,0,INDEX('Планы менеджеров'!$B$5:$M$16,B80,D80)/INDEX(Мес_Раб,D80))</f>
        <v/>
      </c>
    </row>
    <row r="81">
      <c r="A81" t="inlineStr">
        <is>
          <t>Иванов</t>
        </is>
      </c>
      <c r="B81" t="n">
        <v>5</v>
      </c>
      <c r="C81" s="18">
        <f>'Календарь'!A78</f>
        <v/>
      </c>
      <c r="D81">
        <f>MONTH(C81)</f>
        <v/>
      </c>
      <c r="E81">
        <f>'Календарь'!D78</f>
        <v/>
      </c>
      <c r="F81">
        <f>INT((C81-Нед_Начало)/7)+1</f>
        <v/>
      </c>
      <c r="G81">
        <f>IF(E81=0,0,INDEX('Планы менеджеров'!$B$5:$M$16,B81,D81)/INDEX(Мес_Раб,D81))</f>
        <v/>
      </c>
    </row>
    <row r="82">
      <c r="A82" t="inlineStr">
        <is>
          <t>Иванов</t>
        </is>
      </c>
      <c r="B82" t="n">
        <v>5</v>
      </c>
      <c r="C82" s="18">
        <f>'Календарь'!A79</f>
        <v/>
      </c>
      <c r="D82">
        <f>MONTH(C82)</f>
        <v/>
      </c>
      <c r="E82">
        <f>'Календарь'!D79</f>
        <v/>
      </c>
      <c r="F82">
        <f>INT((C82-Нед_Начало)/7)+1</f>
        <v/>
      </c>
      <c r="G82">
        <f>IF(E82=0,0,INDEX('Планы менеджеров'!$B$5:$M$16,B82,D82)/INDEX(Мес_Раб,D82))</f>
        <v/>
      </c>
    </row>
    <row r="83">
      <c r="A83" t="inlineStr">
        <is>
          <t>Иванов</t>
        </is>
      </c>
      <c r="B83" t="n">
        <v>5</v>
      </c>
      <c r="C83" s="18">
        <f>'Календарь'!A80</f>
        <v/>
      </c>
      <c r="D83">
        <f>MONTH(C83)</f>
        <v/>
      </c>
      <c r="E83">
        <f>'Календарь'!D80</f>
        <v/>
      </c>
      <c r="F83">
        <f>INT((C83-Нед_Начало)/7)+1</f>
        <v/>
      </c>
      <c r="G83">
        <f>IF(E83=0,0,INDEX('Планы менеджеров'!$B$5:$M$16,B83,D83)/INDEX(Мес_Раб,D83))</f>
        <v/>
      </c>
    </row>
    <row r="84">
      <c r="A84" t="inlineStr">
        <is>
          <t>Иванов</t>
        </is>
      </c>
      <c r="B84" t="n">
        <v>5</v>
      </c>
      <c r="C84" s="18">
        <f>'Календарь'!A81</f>
        <v/>
      </c>
      <c r="D84">
        <f>MONTH(C84)</f>
        <v/>
      </c>
      <c r="E84">
        <f>'Календарь'!D81</f>
        <v/>
      </c>
      <c r="F84">
        <f>INT((C84-Нед_Начало)/7)+1</f>
        <v/>
      </c>
      <c r="G84">
        <f>IF(E84=0,0,INDEX('Планы менеджеров'!$B$5:$M$16,B84,D84)/INDEX(Мес_Раб,D84))</f>
        <v/>
      </c>
    </row>
    <row r="85">
      <c r="A85" t="inlineStr">
        <is>
          <t>Иванов</t>
        </is>
      </c>
      <c r="B85" t="n">
        <v>5</v>
      </c>
      <c r="C85" s="18">
        <f>'Календарь'!A82</f>
        <v/>
      </c>
      <c r="D85">
        <f>MONTH(C85)</f>
        <v/>
      </c>
      <c r="E85">
        <f>'Календарь'!D82</f>
        <v/>
      </c>
      <c r="F85">
        <f>INT((C85-Нед_Начало)/7)+1</f>
        <v/>
      </c>
      <c r="G85">
        <f>IF(E85=0,0,INDEX('Планы менеджеров'!$B$5:$M$16,B85,D85)/INDEX(Мес_Раб,D85))</f>
        <v/>
      </c>
    </row>
    <row r="86">
      <c r="A86" t="inlineStr">
        <is>
          <t>Иванов</t>
        </is>
      </c>
      <c r="B86" t="n">
        <v>5</v>
      </c>
      <c r="C86" s="18">
        <f>'Календарь'!A83</f>
        <v/>
      </c>
      <c r="D86">
        <f>MONTH(C86)</f>
        <v/>
      </c>
      <c r="E86">
        <f>'Календарь'!D83</f>
        <v/>
      </c>
      <c r="F86">
        <f>INT((C86-Нед_Начало)/7)+1</f>
        <v/>
      </c>
      <c r="G86">
        <f>IF(E86=0,0,INDEX('Планы менеджеров'!$B$5:$M$16,B86,D86)/INDEX(Мес_Раб,D86))</f>
        <v/>
      </c>
    </row>
    <row r="87">
      <c r="A87" t="inlineStr">
        <is>
          <t>Иванов</t>
        </is>
      </c>
      <c r="B87" t="n">
        <v>5</v>
      </c>
      <c r="C87" s="18">
        <f>'Календарь'!A84</f>
        <v/>
      </c>
      <c r="D87">
        <f>MONTH(C87)</f>
        <v/>
      </c>
      <c r="E87">
        <f>'Календарь'!D84</f>
        <v/>
      </c>
      <c r="F87">
        <f>INT((C87-Нед_Начало)/7)+1</f>
        <v/>
      </c>
      <c r="G87">
        <f>IF(E87=0,0,INDEX('Планы менеджеров'!$B$5:$M$16,B87,D87)/INDEX(Мес_Раб,D87))</f>
        <v/>
      </c>
    </row>
    <row r="88">
      <c r="A88" t="inlineStr">
        <is>
          <t>Иванов</t>
        </is>
      </c>
      <c r="B88" t="n">
        <v>5</v>
      </c>
      <c r="C88" s="18">
        <f>'Календарь'!A85</f>
        <v/>
      </c>
      <c r="D88">
        <f>MONTH(C88)</f>
        <v/>
      </c>
      <c r="E88">
        <f>'Календарь'!D85</f>
        <v/>
      </c>
      <c r="F88">
        <f>INT((C88-Нед_Начало)/7)+1</f>
        <v/>
      </c>
      <c r="G88">
        <f>IF(E88=0,0,INDEX('Планы менеджеров'!$B$5:$M$16,B88,D88)/INDEX(Мес_Раб,D88))</f>
        <v/>
      </c>
    </row>
    <row r="89">
      <c r="A89" t="inlineStr">
        <is>
          <t>Иванов</t>
        </is>
      </c>
      <c r="B89" t="n">
        <v>5</v>
      </c>
      <c r="C89" s="18">
        <f>'Календарь'!A86</f>
        <v/>
      </c>
      <c r="D89">
        <f>MONTH(C89)</f>
        <v/>
      </c>
      <c r="E89">
        <f>'Календарь'!D86</f>
        <v/>
      </c>
      <c r="F89">
        <f>INT((C89-Нед_Начало)/7)+1</f>
        <v/>
      </c>
      <c r="G89">
        <f>IF(E89=0,0,INDEX('Планы менеджеров'!$B$5:$M$16,B89,D89)/INDEX(Мес_Раб,D89))</f>
        <v/>
      </c>
    </row>
    <row r="90">
      <c r="A90" t="inlineStr">
        <is>
          <t>Иванов</t>
        </is>
      </c>
      <c r="B90" t="n">
        <v>5</v>
      </c>
      <c r="C90" s="18">
        <f>'Календарь'!A87</f>
        <v/>
      </c>
      <c r="D90">
        <f>MONTH(C90)</f>
        <v/>
      </c>
      <c r="E90">
        <f>'Календарь'!D87</f>
        <v/>
      </c>
      <c r="F90">
        <f>INT((C90-Нед_Начало)/7)+1</f>
        <v/>
      </c>
      <c r="G90">
        <f>IF(E90=0,0,INDEX('Планы менеджеров'!$B$5:$M$16,B90,D90)/INDEX(Мес_Раб,D90))</f>
        <v/>
      </c>
    </row>
    <row r="91">
      <c r="A91" t="inlineStr">
        <is>
          <t>Иванов</t>
        </is>
      </c>
      <c r="B91" t="n">
        <v>5</v>
      </c>
      <c r="C91" s="18">
        <f>'Календарь'!A88</f>
        <v/>
      </c>
      <c r="D91">
        <f>MONTH(C91)</f>
        <v/>
      </c>
      <c r="E91">
        <f>'Календарь'!D88</f>
        <v/>
      </c>
      <c r="F91">
        <f>INT((C91-Нед_Начало)/7)+1</f>
        <v/>
      </c>
      <c r="G91">
        <f>IF(E91=0,0,INDEX('Планы менеджеров'!$B$5:$M$16,B91,D91)/INDEX(Мес_Раб,D91))</f>
        <v/>
      </c>
    </row>
    <row r="92">
      <c r="A92" t="inlineStr">
        <is>
          <t>Иванов</t>
        </is>
      </c>
      <c r="B92" t="n">
        <v>5</v>
      </c>
      <c r="C92" s="18">
        <f>'Календарь'!A89</f>
        <v/>
      </c>
      <c r="D92">
        <f>MONTH(C92)</f>
        <v/>
      </c>
      <c r="E92">
        <f>'Календарь'!D89</f>
        <v/>
      </c>
      <c r="F92">
        <f>INT((C92-Нед_Начало)/7)+1</f>
        <v/>
      </c>
      <c r="G92">
        <f>IF(E92=0,0,INDEX('Планы менеджеров'!$B$5:$M$16,B92,D92)/INDEX(Мес_Раб,D92))</f>
        <v/>
      </c>
    </row>
    <row r="93">
      <c r="A93" t="inlineStr">
        <is>
          <t>Иванов</t>
        </is>
      </c>
      <c r="B93" t="n">
        <v>5</v>
      </c>
      <c r="C93" s="18">
        <f>'Календарь'!A90</f>
        <v/>
      </c>
      <c r="D93">
        <f>MONTH(C93)</f>
        <v/>
      </c>
      <c r="E93">
        <f>'Календарь'!D90</f>
        <v/>
      </c>
      <c r="F93">
        <f>INT((C93-Нед_Начало)/7)+1</f>
        <v/>
      </c>
      <c r="G93">
        <f>IF(E93=0,0,INDEX('Планы менеджеров'!$B$5:$M$16,B93,D93)/INDEX(Мес_Раб,D93))</f>
        <v/>
      </c>
    </row>
    <row r="94">
      <c r="A94" t="inlineStr">
        <is>
          <t>Иванов</t>
        </is>
      </c>
      <c r="B94" t="n">
        <v>5</v>
      </c>
      <c r="C94" s="18">
        <f>'Календарь'!A91</f>
        <v/>
      </c>
      <c r="D94">
        <f>MONTH(C94)</f>
        <v/>
      </c>
      <c r="E94">
        <f>'Календарь'!D91</f>
        <v/>
      </c>
      <c r="F94">
        <f>INT((C94-Нед_Начало)/7)+1</f>
        <v/>
      </c>
      <c r="G94">
        <f>IF(E94=0,0,INDEX('Планы менеджеров'!$B$5:$M$16,B94,D94)/INDEX(Мес_Раб,D94))</f>
        <v/>
      </c>
    </row>
    <row r="95">
      <c r="A95" t="inlineStr">
        <is>
          <t>Иванов</t>
        </is>
      </c>
      <c r="B95" t="n">
        <v>5</v>
      </c>
      <c r="C95" s="18">
        <f>'Календарь'!A92</f>
        <v/>
      </c>
      <c r="D95">
        <f>MONTH(C95)</f>
        <v/>
      </c>
      <c r="E95">
        <f>'Календарь'!D92</f>
        <v/>
      </c>
      <c r="F95">
        <f>INT((C95-Нед_Начало)/7)+1</f>
        <v/>
      </c>
      <c r="G95">
        <f>IF(E95=0,0,INDEX('Планы менеджеров'!$B$5:$M$16,B95,D95)/INDEX(Мес_Раб,D95))</f>
        <v/>
      </c>
    </row>
    <row r="96">
      <c r="A96" t="inlineStr">
        <is>
          <t>Иванов</t>
        </is>
      </c>
      <c r="B96" t="n">
        <v>5</v>
      </c>
      <c r="C96" s="18">
        <f>'Календарь'!A93</f>
        <v/>
      </c>
      <c r="D96">
        <f>MONTH(C96)</f>
        <v/>
      </c>
      <c r="E96">
        <f>'Календарь'!D93</f>
        <v/>
      </c>
      <c r="F96">
        <f>INT((C96-Нед_Начало)/7)+1</f>
        <v/>
      </c>
      <c r="G96">
        <f>IF(E96=0,0,INDEX('Планы менеджеров'!$B$5:$M$16,B96,D96)/INDEX(Мес_Раб,D96))</f>
        <v/>
      </c>
    </row>
    <row r="97">
      <c r="A97" t="inlineStr">
        <is>
          <t>Иванов</t>
        </is>
      </c>
      <c r="B97" t="n">
        <v>5</v>
      </c>
      <c r="C97" s="18">
        <f>'Календарь'!A94</f>
        <v/>
      </c>
      <c r="D97">
        <f>MONTH(C97)</f>
        <v/>
      </c>
      <c r="E97">
        <f>'Календарь'!D94</f>
        <v/>
      </c>
      <c r="F97">
        <f>INT((C97-Нед_Начало)/7)+1</f>
        <v/>
      </c>
      <c r="G97">
        <f>IF(E97=0,0,INDEX('Планы менеджеров'!$B$5:$M$16,B97,D97)/INDEX(Мес_Раб,D97))</f>
        <v/>
      </c>
    </row>
    <row r="98">
      <c r="A98" t="inlineStr">
        <is>
          <t>Иванов</t>
        </is>
      </c>
      <c r="B98" t="n">
        <v>5</v>
      </c>
      <c r="C98" s="18">
        <f>'Календарь'!A95</f>
        <v/>
      </c>
      <c r="D98">
        <f>MONTH(C98)</f>
        <v/>
      </c>
      <c r="E98">
        <f>'Календарь'!D95</f>
        <v/>
      </c>
      <c r="F98">
        <f>INT((C98-Нед_Начало)/7)+1</f>
        <v/>
      </c>
      <c r="G98">
        <f>IF(E98=0,0,INDEX('Планы менеджеров'!$B$5:$M$16,B98,D98)/INDEX(Мес_Раб,D98))</f>
        <v/>
      </c>
    </row>
    <row r="99">
      <c r="A99" t="inlineStr">
        <is>
          <t>Иванов</t>
        </is>
      </c>
      <c r="B99" t="n">
        <v>5</v>
      </c>
      <c r="C99" s="18">
        <f>'Календарь'!A96</f>
        <v/>
      </c>
      <c r="D99">
        <f>MONTH(C99)</f>
        <v/>
      </c>
      <c r="E99">
        <f>'Календарь'!D96</f>
        <v/>
      </c>
      <c r="F99">
        <f>INT((C99-Нед_Начало)/7)+1</f>
        <v/>
      </c>
      <c r="G99">
        <f>IF(E99=0,0,INDEX('Планы менеджеров'!$B$5:$M$16,B99,D99)/INDEX(Мес_Раб,D99))</f>
        <v/>
      </c>
    </row>
    <row r="100">
      <c r="A100" t="inlineStr">
        <is>
          <t>Иванов</t>
        </is>
      </c>
      <c r="B100" t="n">
        <v>5</v>
      </c>
      <c r="C100" s="18">
        <f>'Календарь'!A97</f>
        <v/>
      </c>
      <c r="D100">
        <f>MONTH(C100)</f>
        <v/>
      </c>
      <c r="E100">
        <f>'Календарь'!D97</f>
        <v/>
      </c>
      <c r="F100">
        <f>INT((C100-Нед_Начало)/7)+1</f>
        <v/>
      </c>
      <c r="G100">
        <f>IF(E100=0,0,INDEX('Планы менеджеров'!$B$5:$M$16,B100,D100)/INDEX(Мес_Раб,D100))</f>
        <v/>
      </c>
    </row>
    <row r="101">
      <c r="A101" t="inlineStr">
        <is>
          <t>Иванов</t>
        </is>
      </c>
      <c r="B101" t="n">
        <v>5</v>
      </c>
      <c r="C101" s="18">
        <f>'Календарь'!A98</f>
        <v/>
      </c>
      <c r="D101">
        <f>MONTH(C101)</f>
        <v/>
      </c>
      <c r="E101">
        <f>'Календарь'!D98</f>
        <v/>
      </c>
      <c r="F101">
        <f>INT((C101-Нед_Начало)/7)+1</f>
        <v/>
      </c>
      <c r="G101">
        <f>IF(E101=0,0,INDEX('Планы менеджеров'!$B$5:$M$16,B101,D101)/INDEX(Мес_Раб,D101))</f>
        <v/>
      </c>
    </row>
    <row r="102">
      <c r="A102" t="inlineStr">
        <is>
          <t>Иванов</t>
        </is>
      </c>
      <c r="B102" t="n">
        <v>5</v>
      </c>
      <c r="C102" s="18">
        <f>'Календарь'!A99</f>
        <v/>
      </c>
      <c r="D102">
        <f>MONTH(C102)</f>
        <v/>
      </c>
      <c r="E102">
        <f>'Календарь'!D99</f>
        <v/>
      </c>
      <c r="F102">
        <f>INT((C102-Нед_Начало)/7)+1</f>
        <v/>
      </c>
      <c r="G102">
        <f>IF(E102=0,0,INDEX('Планы менеджеров'!$B$5:$M$16,B102,D102)/INDEX(Мес_Раб,D102))</f>
        <v/>
      </c>
    </row>
    <row r="103">
      <c r="A103" t="inlineStr">
        <is>
          <t>Иванов</t>
        </is>
      </c>
      <c r="B103" t="n">
        <v>5</v>
      </c>
      <c r="C103" s="18">
        <f>'Календарь'!A100</f>
        <v/>
      </c>
      <c r="D103">
        <f>MONTH(C103)</f>
        <v/>
      </c>
      <c r="E103">
        <f>'Календарь'!D100</f>
        <v/>
      </c>
      <c r="F103">
        <f>INT((C103-Нед_Начало)/7)+1</f>
        <v/>
      </c>
      <c r="G103">
        <f>IF(E103=0,0,INDEX('Планы менеджеров'!$B$5:$M$16,B103,D103)/INDEX(Мес_Раб,D103))</f>
        <v/>
      </c>
    </row>
    <row r="104">
      <c r="A104" t="inlineStr">
        <is>
          <t>Иванов</t>
        </is>
      </c>
      <c r="B104" t="n">
        <v>5</v>
      </c>
      <c r="C104" s="18">
        <f>'Календарь'!A101</f>
        <v/>
      </c>
      <c r="D104">
        <f>MONTH(C104)</f>
        <v/>
      </c>
      <c r="E104">
        <f>'Календарь'!D101</f>
        <v/>
      </c>
      <c r="F104">
        <f>INT((C104-Нед_Начало)/7)+1</f>
        <v/>
      </c>
      <c r="G104">
        <f>IF(E104=0,0,INDEX('Планы менеджеров'!$B$5:$M$16,B104,D104)/INDEX(Мес_Раб,D104))</f>
        <v/>
      </c>
    </row>
    <row r="105">
      <c r="A105" t="inlineStr">
        <is>
          <t>Иванов</t>
        </is>
      </c>
      <c r="B105" t="n">
        <v>5</v>
      </c>
      <c r="C105" s="18">
        <f>'Календарь'!A102</f>
        <v/>
      </c>
      <c r="D105">
        <f>MONTH(C105)</f>
        <v/>
      </c>
      <c r="E105">
        <f>'Календарь'!D102</f>
        <v/>
      </c>
      <c r="F105">
        <f>INT((C105-Нед_Начало)/7)+1</f>
        <v/>
      </c>
      <c r="G105">
        <f>IF(E105=0,0,INDEX('Планы менеджеров'!$B$5:$M$16,B105,D105)/INDEX(Мес_Раб,D105))</f>
        <v/>
      </c>
    </row>
    <row r="106">
      <c r="A106" t="inlineStr">
        <is>
          <t>Иванов</t>
        </is>
      </c>
      <c r="B106" t="n">
        <v>5</v>
      </c>
      <c r="C106" s="18">
        <f>'Календарь'!A103</f>
        <v/>
      </c>
      <c r="D106">
        <f>MONTH(C106)</f>
        <v/>
      </c>
      <c r="E106">
        <f>'Календарь'!D103</f>
        <v/>
      </c>
      <c r="F106">
        <f>INT((C106-Нед_Начало)/7)+1</f>
        <v/>
      </c>
      <c r="G106">
        <f>IF(E106=0,0,INDEX('Планы менеджеров'!$B$5:$M$16,B106,D106)/INDEX(Мес_Раб,D106))</f>
        <v/>
      </c>
    </row>
    <row r="107">
      <c r="A107" t="inlineStr">
        <is>
          <t>Иванов</t>
        </is>
      </c>
      <c r="B107" t="n">
        <v>5</v>
      </c>
      <c r="C107" s="18">
        <f>'Календарь'!A104</f>
        <v/>
      </c>
      <c r="D107">
        <f>MONTH(C107)</f>
        <v/>
      </c>
      <c r="E107">
        <f>'Календарь'!D104</f>
        <v/>
      </c>
      <c r="F107">
        <f>INT((C107-Нед_Начало)/7)+1</f>
        <v/>
      </c>
      <c r="G107">
        <f>IF(E107=0,0,INDEX('Планы менеджеров'!$B$5:$M$16,B107,D107)/INDEX(Мес_Раб,D107))</f>
        <v/>
      </c>
    </row>
    <row r="108">
      <c r="A108" t="inlineStr">
        <is>
          <t>Иванов</t>
        </is>
      </c>
      <c r="B108" t="n">
        <v>5</v>
      </c>
      <c r="C108" s="18">
        <f>'Календарь'!A105</f>
        <v/>
      </c>
      <c r="D108">
        <f>MONTH(C108)</f>
        <v/>
      </c>
      <c r="E108">
        <f>'Календарь'!D105</f>
        <v/>
      </c>
      <c r="F108">
        <f>INT((C108-Нед_Начало)/7)+1</f>
        <v/>
      </c>
      <c r="G108">
        <f>IF(E108=0,0,INDEX('Планы менеджеров'!$B$5:$M$16,B108,D108)/INDEX(Мес_Раб,D108))</f>
        <v/>
      </c>
    </row>
    <row r="109">
      <c r="A109" t="inlineStr">
        <is>
          <t>Иванов</t>
        </is>
      </c>
      <c r="B109" t="n">
        <v>5</v>
      </c>
      <c r="C109" s="18">
        <f>'Календарь'!A106</f>
        <v/>
      </c>
      <c r="D109">
        <f>MONTH(C109)</f>
        <v/>
      </c>
      <c r="E109">
        <f>'Календарь'!D106</f>
        <v/>
      </c>
      <c r="F109">
        <f>INT((C109-Нед_Начало)/7)+1</f>
        <v/>
      </c>
      <c r="G109">
        <f>IF(E109=0,0,INDEX('Планы менеджеров'!$B$5:$M$16,B109,D109)/INDEX(Мес_Раб,D109))</f>
        <v/>
      </c>
    </row>
    <row r="110">
      <c r="A110" t="inlineStr">
        <is>
          <t>Иванов</t>
        </is>
      </c>
      <c r="B110" t="n">
        <v>5</v>
      </c>
      <c r="C110" s="18">
        <f>'Календарь'!A107</f>
        <v/>
      </c>
      <c r="D110">
        <f>MONTH(C110)</f>
        <v/>
      </c>
      <c r="E110">
        <f>'Календарь'!D107</f>
        <v/>
      </c>
      <c r="F110">
        <f>INT((C110-Нед_Начало)/7)+1</f>
        <v/>
      </c>
      <c r="G110">
        <f>IF(E110=0,0,INDEX('Планы менеджеров'!$B$5:$M$16,B110,D110)/INDEX(Мес_Раб,D110))</f>
        <v/>
      </c>
    </row>
    <row r="111">
      <c r="A111" t="inlineStr">
        <is>
          <t>Иванов</t>
        </is>
      </c>
      <c r="B111" t="n">
        <v>5</v>
      </c>
      <c r="C111" s="18">
        <f>'Календарь'!A108</f>
        <v/>
      </c>
      <c r="D111">
        <f>MONTH(C111)</f>
        <v/>
      </c>
      <c r="E111">
        <f>'Календарь'!D108</f>
        <v/>
      </c>
      <c r="F111">
        <f>INT((C111-Нед_Начало)/7)+1</f>
        <v/>
      </c>
      <c r="G111">
        <f>IF(E111=0,0,INDEX('Планы менеджеров'!$B$5:$M$16,B111,D111)/INDEX(Мес_Раб,D111))</f>
        <v/>
      </c>
    </row>
    <row r="112">
      <c r="A112" t="inlineStr">
        <is>
          <t>Иванов</t>
        </is>
      </c>
      <c r="B112" t="n">
        <v>5</v>
      </c>
      <c r="C112" s="18">
        <f>'Календарь'!A109</f>
        <v/>
      </c>
      <c r="D112">
        <f>MONTH(C112)</f>
        <v/>
      </c>
      <c r="E112">
        <f>'Календарь'!D109</f>
        <v/>
      </c>
      <c r="F112">
        <f>INT((C112-Нед_Начало)/7)+1</f>
        <v/>
      </c>
      <c r="G112">
        <f>IF(E112=0,0,INDEX('Планы менеджеров'!$B$5:$M$16,B112,D112)/INDEX(Мес_Раб,D112))</f>
        <v/>
      </c>
    </row>
    <row r="113">
      <c r="A113" t="inlineStr">
        <is>
          <t>Иванов</t>
        </is>
      </c>
      <c r="B113" t="n">
        <v>5</v>
      </c>
      <c r="C113" s="18">
        <f>'Календарь'!A110</f>
        <v/>
      </c>
      <c r="D113">
        <f>MONTH(C113)</f>
        <v/>
      </c>
      <c r="E113">
        <f>'Календарь'!D110</f>
        <v/>
      </c>
      <c r="F113">
        <f>INT((C113-Нед_Начало)/7)+1</f>
        <v/>
      </c>
      <c r="G113">
        <f>IF(E113=0,0,INDEX('Планы менеджеров'!$B$5:$M$16,B113,D113)/INDEX(Мес_Раб,D113))</f>
        <v/>
      </c>
    </row>
    <row r="114">
      <c r="A114" t="inlineStr">
        <is>
          <t>Иванов</t>
        </is>
      </c>
      <c r="B114" t="n">
        <v>5</v>
      </c>
      <c r="C114" s="18">
        <f>'Календарь'!A111</f>
        <v/>
      </c>
      <c r="D114">
        <f>MONTH(C114)</f>
        <v/>
      </c>
      <c r="E114">
        <f>'Календарь'!D111</f>
        <v/>
      </c>
      <c r="F114">
        <f>INT((C114-Нед_Начало)/7)+1</f>
        <v/>
      </c>
      <c r="G114">
        <f>IF(E114=0,0,INDEX('Планы менеджеров'!$B$5:$M$16,B114,D114)/INDEX(Мес_Раб,D114))</f>
        <v/>
      </c>
    </row>
    <row r="115">
      <c r="A115" t="inlineStr">
        <is>
          <t>Иванов</t>
        </is>
      </c>
      <c r="B115" t="n">
        <v>5</v>
      </c>
      <c r="C115" s="18">
        <f>'Календарь'!A112</f>
        <v/>
      </c>
      <c r="D115">
        <f>MONTH(C115)</f>
        <v/>
      </c>
      <c r="E115">
        <f>'Календарь'!D112</f>
        <v/>
      </c>
      <c r="F115">
        <f>INT((C115-Нед_Начало)/7)+1</f>
        <v/>
      </c>
      <c r="G115">
        <f>IF(E115=0,0,INDEX('Планы менеджеров'!$B$5:$M$16,B115,D115)/INDEX(Мес_Раб,D115))</f>
        <v/>
      </c>
    </row>
    <row r="116">
      <c r="A116" t="inlineStr">
        <is>
          <t>Иванов</t>
        </is>
      </c>
      <c r="B116" t="n">
        <v>5</v>
      </c>
      <c r="C116" s="18">
        <f>'Календарь'!A113</f>
        <v/>
      </c>
      <c r="D116">
        <f>MONTH(C116)</f>
        <v/>
      </c>
      <c r="E116">
        <f>'Календарь'!D113</f>
        <v/>
      </c>
      <c r="F116">
        <f>INT((C116-Нед_Начало)/7)+1</f>
        <v/>
      </c>
      <c r="G116">
        <f>IF(E116=0,0,INDEX('Планы менеджеров'!$B$5:$M$16,B116,D116)/INDEX(Мес_Раб,D116))</f>
        <v/>
      </c>
    </row>
    <row r="117">
      <c r="A117" t="inlineStr">
        <is>
          <t>Иванов</t>
        </is>
      </c>
      <c r="B117" t="n">
        <v>5</v>
      </c>
      <c r="C117" s="18">
        <f>'Календарь'!A114</f>
        <v/>
      </c>
      <c r="D117">
        <f>MONTH(C117)</f>
        <v/>
      </c>
      <c r="E117">
        <f>'Календарь'!D114</f>
        <v/>
      </c>
      <c r="F117">
        <f>INT((C117-Нед_Начало)/7)+1</f>
        <v/>
      </c>
      <c r="G117">
        <f>IF(E117=0,0,INDEX('Планы менеджеров'!$B$5:$M$16,B117,D117)/INDEX(Мес_Раб,D117))</f>
        <v/>
      </c>
    </row>
    <row r="118">
      <c r="A118" t="inlineStr">
        <is>
          <t>Иванов</t>
        </is>
      </c>
      <c r="B118" t="n">
        <v>5</v>
      </c>
      <c r="C118" s="18">
        <f>'Календарь'!A115</f>
        <v/>
      </c>
      <c r="D118">
        <f>MONTH(C118)</f>
        <v/>
      </c>
      <c r="E118">
        <f>'Календарь'!D115</f>
        <v/>
      </c>
      <c r="F118">
        <f>INT((C118-Нед_Начало)/7)+1</f>
        <v/>
      </c>
      <c r="G118">
        <f>IF(E118=0,0,INDEX('Планы менеджеров'!$B$5:$M$16,B118,D118)/INDEX(Мес_Раб,D118))</f>
        <v/>
      </c>
    </row>
    <row r="119">
      <c r="A119" t="inlineStr">
        <is>
          <t>Иванов</t>
        </is>
      </c>
      <c r="B119" t="n">
        <v>5</v>
      </c>
      <c r="C119" s="18">
        <f>'Календарь'!A116</f>
        <v/>
      </c>
      <c r="D119">
        <f>MONTH(C119)</f>
        <v/>
      </c>
      <c r="E119">
        <f>'Календарь'!D116</f>
        <v/>
      </c>
      <c r="F119">
        <f>INT((C119-Нед_Начало)/7)+1</f>
        <v/>
      </c>
      <c r="G119">
        <f>IF(E119=0,0,INDEX('Планы менеджеров'!$B$5:$M$16,B119,D119)/INDEX(Мес_Раб,D119))</f>
        <v/>
      </c>
    </row>
    <row r="120">
      <c r="A120" t="inlineStr">
        <is>
          <t>Иванов</t>
        </is>
      </c>
      <c r="B120" t="n">
        <v>5</v>
      </c>
      <c r="C120" s="18">
        <f>'Календарь'!A117</f>
        <v/>
      </c>
      <c r="D120">
        <f>MONTH(C120)</f>
        <v/>
      </c>
      <c r="E120">
        <f>'Календарь'!D117</f>
        <v/>
      </c>
      <c r="F120">
        <f>INT((C120-Нед_Начало)/7)+1</f>
        <v/>
      </c>
      <c r="G120">
        <f>IF(E120=0,0,INDEX('Планы менеджеров'!$B$5:$M$16,B120,D120)/INDEX(Мес_Раб,D120))</f>
        <v/>
      </c>
    </row>
    <row r="121">
      <c r="A121" t="inlineStr">
        <is>
          <t>Иванов</t>
        </is>
      </c>
      <c r="B121" t="n">
        <v>5</v>
      </c>
      <c r="C121" s="18">
        <f>'Календарь'!A118</f>
        <v/>
      </c>
      <c r="D121">
        <f>MONTH(C121)</f>
        <v/>
      </c>
      <c r="E121">
        <f>'Календарь'!D118</f>
        <v/>
      </c>
      <c r="F121">
        <f>INT((C121-Нед_Начало)/7)+1</f>
        <v/>
      </c>
      <c r="G121">
        <f>IF(E121=0,0,INDEX('Планы менеджеров'!$B$5:$M$16,B121,D121)/INDEX(Мес_Раб,D121))</f>
        <v/>
      </c>
    </row>
    <row r="122">
      <c r="A122" t="inlineStr">
        <is>
          <t>Иванов</t>
        </is>
      </c>
      <c r="B122" t="n">
        <v>5</v>
      </c>
      <c r="C122" s="18">
        <f>'Календарь'!A119</f>
        <v/>
      </c>
      <c r="D122">
        <f>MONTH(C122)</f>
        <v/>
      </c>
      <c r="E122">
        <f>'Календарь'!D119</f>
        <v/>
      </c>
      <c r="F122">
        <f>INT((C122-Нед_Начало)/7)+1</f>
        <v/>
      </c>
      <c r="G122">
        <f>IF(E122=0,0,INDEX('Планы менеджеров'!$B$5:$M$16,B122,D122)/INDEX(Мес_Раб,D122))</f>
        <v/>
      </c>
    </row>
    <row r="123">
      <c r="A123" t="inlineStr">
        <is>
          <t>Иванов</t>
        </is>
      </c>
      <c r="B123" t="n">
        <v>5</v>
      </c>
      <c r="C123" s="18">
        <f>'Календарь'!A120</f>
        <v/>
      </c>
      <c r="D123">
        <f>MONTH(C123)</f>
        <v/>
      </c>
      <c r="E123">
        <f>'Календарь'!D120</f>
        <v/>
      </c>
      <c r="F123">
        <f>INT((C123-Нед_Начало)/7)+1</f>
        <v/>
      </c>
      <c r="G123">
        <f>IF(E123=0,0,INDEX('Планы менеджеров'!$B$5:$M$16,B123,D123)/INDEX(Мес_Раб,D123))</f>
        <v/>
      </c>
    </row>
    <row r="124">
      <c r="A124" t="inlineStr">
        <is>
          <t>Иванов</t>
        </is>
      </c>
      <c r="B124" t="n">
        <v>5</v>
      </c>
      <c r="C124" s="18">
        <f>'Календарь'!A121</f>
        <v/>
      </c>
      <c r="D124">
        <f>MONTH(C124)</f>
        <v/>
      </c>
      <c r="E124">
        <f>'Календарь'!D121</f>
        <v/>
      </c>
      <c r="F124">
        <f>INT((C124-Нед_Начало)/7)+1</f>
        <v/>
      </c>
      <c r="G124">
        <f>IF(E124=0,0,INDEX('Планы менеджеров'!$B$5:$M$16,B124,D124)/INDEX(Мес_Раб,D124))</f>
        <v/>
      </c>
    </row>
    <row r="125">
      <c r="A125" t="inlineStr">
        <is>
          <t>Иванов</t>
        </is>
      </c>
      <c r="B125" t="n">
        <v>5</v>
      </c>
      <c r="C125" s="18">
        <f>'Календарь'!A122</f>
        <v/>
      </c>
      <c r="D125">
        <f>MONTH(C125)</f>
        <v/>
      </c>
      <c r="E125">
        <f>'Календарь'!D122</f>
        <v/>
      </c>
      <c r="F125">
        <f>INT((C125-Нед_Начало)/7)+1</f>
        <v/>
      </c>
      <c r="G125">
        <f>IF(E125=0,0,INDEX('Планы менеджеров'!$B$5:$M$16,B125,D125)/INDEX(Мес_Раб,D125))</f>
        <v/>
      </c>
    </row>
    <row r="126">
      <c r="A126" t="inlineStr">
        <is>
          <t>Иванов</t>
        </is>
      </c>
      <c r="B126" t="n">
        <v>5</v>
      </c>
      <c r="C126" s="18">
        <f>'Календарь'!A123</f>
        <v/>
      </c>
      <c r="D126">
        <f>MONTH(C126)</f>
        <v/>
      </c>
      <c r="E126">
        <f>'Календарь'!D123</f>
        <v/>
      </c>
      <c r="F126">
        <f>INT((C126-Нед_Начало)/7)+1</f>
        <v/>
      </c>
      <c r="G126">
        <f>IF(E126=0,0,INDEX('Планы менеджеров'!$B$5:$M$16,B126,D126)/INDEX(Мес_Раб,D126))</f>
        <v/>
      </c>
    </row>
    <row r="127">
      <c r="A127" t="inlineStr">
        <is>
          <t>Иванов</t>
        </is>
      </c>
      <c r="B127" t="n">
        <v>5</v>
      </c>
      <c r="C127" s="18">
        <f>'Календарь'!A124</f>
        <v/>
      </c>
      <c r="D127">
        <f>MONTH(C127)</f>
        <v/>
      </c>
      <c r="E127">
        <f>'Календарь'!D124</f>
        <v/>
      </c>
      <c r="F127">
        <f>INT((C127-Нед_Начало)/7)+1</f>
        <v/>
      </c>
      <c r="G127">
        <f>IF(E127=0,0,INDEX('Планы менеджеров'!$B$5:$M$16,B127,D127)/INDEX(Мес_Раб,D127))</f>
        <v/>
      </c>
    </row>
    <row r="128">
      <c r="A128" t="inlineStr">
        <is>
          <t>Иванов</t>
        </is>
      </c>
      <c r="B128" t="n">
        <v>5</v>
      </c>
      <c r="C128" s="18">
        <f>'Календарь'!A125</f>
        <v/>
      </c>
      <c r="D128">
        <f>MONTH(C128)</f>
        <v/>
      </c>
      <c r="E128">
        <f>'Календарь'!D125</f>
        <v/>
      </c>
      <c r="F128">
        <f>INT((C128-Нед_Начало)/7)+1</f>
        <v/>
      </c>
      <c r="G128">
        <f>IF(E128=0,0,INDEX('Планы менеджеров'!$B$5:$M$16,B128,D128)/INDEX(Мес_Раб,D128))</f>
        <v/>
      </c>
    </row>
    <row r="129">
      <c r="A129" t="inlineStr">
        <is>
          <t>Иванов</t>
        </is>
      </c>
      <c r="B129" t="n">
        <v>5</v>
      </c>
      <c r="C129" s="18">
        <f>'Календарь'!A126</f>
        <v/>
      </c>
      <c r="D129">
        <f>MONTH(C129)</f>
        <v/>
      </c>
      <c r="E129">
        <f>'Календарь'!D126</f>
        <v/>
      </c>
      <c r="F129">
        <f>INT((C129-Нед_Начало)/7)+1</f>
        <v/>
      </c>
      <c r="G129">
        <f>IF(E129=0,0,INDEX('Планы менеджеров'!$B$5:$M$16,B129,D129)/INDEX(Мес_Раб,D129))</f>
        <v/>
      </c>
    </row>
    <row r="130">
      <c r="A130" t="inlineStr">
        <is>
          <t>Иванов</t>
        </is>
      </c>
      <c r="B130" t="n">
        <v>5</v>
      </c>
      <c r="C130" s="18">
        <f>'Календарь'!A127</f>
        <v/>
      </c>
      <c r="D130">
        <f>MONTH(C130)</f>
        <v/>
      </c>
      <c r="E130">
        <f>'Календарь'!D127</f>
        <v/>
      </c>
      <c r="F130">
        <f>INT((C130-Нед_Начало)/7)+1</f>
        <v/>
      </c>
      <c r="G130">
        <f>IF(E130=0,0,INDEX('Планы менеджеров'!$B$5:$M$16,B130,D130)/INDEX(Мес_Раб,D130))</f>
        <v/>
      </c>
    </row>
    <row r="131">
      <c r="A131" t="inlineStr">
        <is>
          <t>Иванов</t>
        </is>
      </c>
      <c r="B131" t="n">
        <v>5</v>
      </c>
      <c r="C131" s="18">
        <f>'Календарь'!A128</f>
        <v/>
      </c>
      <c r="D131">
        <f>MONTH(C131)</f>
        <v/>
      </c>
      <c r="E131">
        <f>'Календарь'!D128</f>
        <v/>
      </c>
      <c r="F131">
        <f>INT((C131-Нед_Начало)/7)+1</f>
        <v/>
      </c>
      <c r="G131">
        <f>IF(E131=0,0,INDEX('Планы менеджеров'!$B$5:$M$16,B131,D131)/INDEX(Мес_Раб,D131))</f>
        <v/>
      </c>
    </row>
    <row r="132">
      <c r="A132" t="inlineStr">
        <is>
          <t>Иванов</t>
        </is>
      </c>
      <c r="B132" t="n">
        <v>5</v>
      </c>
      <c r="C132" s="18">
        <f>'Календарь'!A129</f>
        <v/>
      </c>
      <c r="D132">
        <f>MONTH(C132)</f>
        <v/>
      </c>
      <c r="E132">
        <f>'Календарь'!D129</f>
        <v/>
      </c>
      <c r="F132">
        <f>INT((C132-Нед_Начало)/7)+1</f>
        <v/>
      </c>
      <c r="G132">
        <f>IF(E132=0,0,INDEX('Планы менеджеров'!$B$5:$M$16,B132,D132)/INDEX(Мес_Раб,D132))</f>
        <v/>
      </c>
    </row>
    <row r="133">
      <c r="A133" t="inlineStr">
        <is>
          <t>Иванов</t>
        </is>
      </c>
      <c r="B133" t="n">
        <v>5</v>
      </c>
      <c r="C133" s="18">
        <f>'Календарь'!A130</f>
        <v/>
      </c>
      <c r="D133">
        <f>MONTH(C133)</f>
        <v/>
      </c>
      <c r="E133">
        <f>'Календарь'!D130</f>
        <v/>
      </c>
      <c r="F133">
        <f>INT((C133-Нед_Начало)/7)+1</f>
        <v/>
      </c>
      <c r="G133">
        <f>IF(E133=0,0,INDEX('Планы менеджеров'!$B$5:$M$16,B133,D133)/INDEX(Мес_Раб,D133))</f>
        <v/>
      </c>
    </row>
    <row r="134">
      <c r="A134" t="inlineStr">
        <is>
          <t>Иванов</t>
        </is>
      </c>
      <c r="B134" t="n">
        <v>5</v>
      </c>
      <c r="C134" s="18">
        <f>'Календарь'!A131</f>
        <v/>
      </c>
      <c r="D134">
        <f>MONTH(C134)</f>
        <v/>
      </c>
      <c r="E134">
        <f>'Календарь'!D131</f>
        <v/>
      </c>
      <c r="F134">
        <f>INT((C134-Нед_Начало)/7)+1</f>
        <v/>
      </c>
      <c r="G134">
        <f>IF(E134=0,0,INDEX('Планы менеджеров'!$B$5:$M$16,B134,D134)/INDEX(Мес_Раб,D134))</f>
        <v/>
      </c>
    </row>
    <row r="135">
      <c r="A135" t="inlineStr">
        <is>
          <t>Иванов</t>
        </is>
      </c>
      <c r="B135" t="n">
        <v>5</v>
      </c>
      <c r="C135" s="18">
        <f>'Календарь'!A132</f>
        <v/>
      </c>
      <c r="D135">
        <f>MONTH(C135)</f>
        <v/>
      </c>
      <c r="E135">
        <f>'Календарь'!D132</f>
        <v/>
      </c>
      <c r="F135">
        <f>INT((C135-Нед_Начало)/7)+1</f>
        <v/>
      </c>
      <c r="G135">
        <f>IF(E135=0,0,INDEX('Планы менеджеров'!$B$5:$M$16,B135,D135)/INDEX(Мес_Раб,D135))</f>
        <v/>
      </c>
    </row>
    <row r="136">
      <c r="A136" t="inlineStr">
        <is>
          <t>Иванов</t>
        </is>
      </c>
      <c r="B136" t="n">
        <v>5</v>
      </c>
      <c r="C136" s="18">
        <f>'Календарь'!A133</f>
        <v/>
      </c>
      <c r="D136">
        <f>MONTH(C136)</f>
        <v/>
      </c>
      <c r="E136">
        <f>'Календарь'!D133</f>
        <v/>
      </c>
      <c r="F136">
        <f>INT((C136-Нед_Начало)/7)+1</f>
        <v/>
      </c>
      <c r="G136">
        <f>IF(E136=0,0,INDEX('Планы менеджеров'!$B$5:$M$16,B136,D136)/INDEX(Мес_Раб,D136))</f>
        <v/>
      </c>
    </row>
    <row r="137">
      <c r="A137" t="inlineStr">
        <is>
          <t>Иванов</t>
        </is>
      </c>
      <c r="B137" t="n">
        <v>5</v>
      </c>
      <c r="C137" s="18">
        <f>'Календарь'!A134</f>
        <v/>
      </c>
      <c r="D137">
        <f>MONTH(C137)</f>
        <v/>
      </c>
      <c r="E137">
        <f>'Календарь'!D134</f>
        <v/>
      </c>
      <c r="F137">
        <f>INT((C137-Нед_Начало)/7)+1</f>
        <v/>
      </c>
      <c r="G137">
        <f>IF(E137=0,0,INDEX('Планы менеджеров'!$B$5:$M$16,B137,D137)/INDEX(Мес_Раб,D137))</f>
        <v/>
      </c>
    </row>
    <row r="138">
      <c r="A138" t="inlineStr">
        <is>
          <t>Иванов</t>
        </is>
      </c>
      <c r="B138" t="n">
        <v>5</v>
      </c>
      <c r="C138" s="18">
        <f>'Календарь'!A135</f>
        <v/>
      </c>
      <c r="D138">
        <f>MONTH(C138)</f>
        <v/>
      </c>
      <c r="E138">
        <f>'Календарь'!D135</f>
        <v/>
      </c>
      <c r="F138">
        <f>INT((C138-Нед_Начало)/7)+1</f>
        <v/>
      </c>
      <c r="G138">
        <f>IF(E138=0,0,INDEX('Планы менеджеров'!$B$5:$M$16,B138,D138)/INDEX(Мес_Раб,D138))</f>
        <v/>
      </c>
    </row>
    <row r="139">
      <c r="A139" t="inlineStr">
        <is>
          <t>Иванов</t>
        </is>
      </c>
      <c r="B139" t="n">
        <v>5</v>
      </c>
      <c r="C139" s="18">
        <f>'Календарь'!A136</f>
        <v/>
      </c>
      <c r="D139">
        <f>MONTH(C139)</f>
        <v/>
      </c>
      <c r="E139">
        <f>'Календарь'!D136</f>
        <v/>
      </c>
      <c r="F139">
        <f>INT((C139-Нед_Начало)/7)+1</f>
        <v/>
      </c>
      <c r="G139">
        <f>IF(E139=0,0,INDEX('Планы менеджеров'!$B$5:$M$16,B139,D139)/INDEX(Мес_Раб,D139))</f>
        <v/>
      </c>
    </row>
    <row r="140">
      <c r="A140" t="inlineStr">
        <is>
          <t>Иванов</t>
        </is>
      </c>
      <c r="B140" t="n">
        <v>5</v>
      </c>
      <c r="C140" s="18">
        <f>'Календарь'!A137</f>
        <v/>
      </c>
      <c r="D140">
        <f>MONTH(C140)</f>
        <v/>
      </c>
      <c r="E140">
        <f>'Календарь'!D137</f>
        <v/>
      </c>
      <c r="F140">
        <f>INT((C140-Нед_Начало)/7)+1</f>
        <v/>
      </c>
      <c r="G140">
        <f>IF(E140=0,0,INDEX('Планы менеджеров'!$B$5:$M$16,B140,D140)/INDEX(Мес_Раб,D140))</f>
        <v/>
      </c>
    </row>
    <row r="141">
      <c r="A141" t="inlineStr">
        <is>
          <t>Иванов</t>
        </is>
      </c>
      <c r="B141" t="n">
        <v>5</v>
      </c>
      <c r="C141" s="18">
        <f>'Календарь'!A138</f>
        <v/>
      </c>
      <c r="D141">
        <f>MONTH(C141)</f>
        <v/>
      </c>
      <c r="E141">
        <f>'Календарь'!D138</f>
        <v/>
      </c>
      <c r="F141">
        <f>INT((C141-Нед_Начало)/7)+1</f>
        <v/>
      </c>
      <c r="G141">
        <f>IF(E141=0,0,INDEX('Планы менеджеров'!$B$5:$M$16,B141,D141)/INDEX(Мес_Раб,D141))</f>
        <v/>
      </c>
    </row>
    <row r="142">
      <c r="A142" t="inlineStr">
        <is>
          <t>Иванов</t>
        </is>
      </c>
      <c r="B142" t="n">
        <v>5</v>
      </c>
      <c r="C142" s="18">
        <f>'Календарь'!A139</f>
        <v/>
      </c>
      <c r="D142">
        <f>MONTH(C142)</f>
        <v/>
      </c>
      <c r="E142">
        <f>'Календарь'!D139</f>
        <v/>
      </c>
      <c r="F142">
        <f>INT((C142-Нед_Начало)/7)+1</f>
        <v/>
      </c>
      <c r="G142">
        <f>IF(E142=0,0,INDEX('Планы менеджеров'!$B$5:$M$16,B142,D142)/INDEX(Мес_Раб,D142))</f>
        <v/>
      </c>
    </row>
    <row r="143">
      <c r="A143" t="inlineStr">
        <is>
          <t>Иванов</t>
        </is>
      </c>
      <c r="B143" t="n">
        <v>5</v>
      </c>
      <c r="C143" s="18">
        <f>'Календарь'!A140</f>
        <v/>
      </c>
      <c r="D143">
        <f>MONTH(C143)</f>
        <v/>
      </c>
      <c r="E143">
        <f>'Календарь'!D140</f>
        <v/>
      </c>
      <c r="F143">
        <f>INT((C143-Нед_Начало)/7)+1</f>
        <v/>
      </c>
      <c r="G143">
        <f>IF(E143=0,0,INDEX('Планы менеджеров'!$B$5:$M$16,B143,D143)/INDEX(Мес_Раб,D143))</f>
        <v/>
      </c>
    </row>
    <row r="144">
      <c r="A144" t="inlineStr">
        <is>
          <t>Иванов</t>
        </is>
      </c>
      <c r="B144" t="n">
        <v>5</v>
      </c>
      <c r="C144" s="18">
        <f>'Календарь'!A141</f>
        <v/>
      </c>
      <c r="D144">
        <f>MONTH(C144)</f>
        <v/>
      </c>
      <c r="E144">
        <f>'Календарь'!D141</f>
        <v/>
      </c>
      <c r="F144">
        <f>INT((C144-Нед_Начало)/7)+1</f>
        <v/>
      </c>
      <c r="G144">
        <f>IF(E144=0,0,INDEX('Планы менеджеров'!$B$5:$M$16,B144,D144)/INDEX(Мес_Раб,D144))</f>
        <v/>
      </c>
    </row>
    <row r="145">
      <c r="A145" t="inlineStr">
        <is>
          <t>Иванов</t>
        </is>
      </c>
      <c r="B145" t="n">
        <v>5</v>
      </c>
      <c r="C145" s="18">
        <f>'Календарь'!A142</f>
        <v/>
      </c>
      <c r="D145">
        <f>MONTH(C145)</f>
        <v/>
      </c>
      <c r="E145">
        <f>'Календарь'!D142</f>
        <v/>
      </c>
      <c r="F145">
        <f>INT((C145-Нед_Начало)/7)+1</f>
        <v/>
      </c>
      <c r="G145">
        <f>IF(E145=0,0,INDEX('Планы менеджеров'!$B$5:$M$16,B145,D145)/INDEX(Мес_Раб,D145))</f>
        <v/>
      </c>
    </row>
    <row r="146">
      <c r="A146" t="inlineStr">
        <is>
          <t>Иванов</t>
        </is>
      </c>
      <c r="B146" t="n">
        <v>5</v>
      </c>
      <c r="C146" s="18">
        <f>'Календарь'!A143</f>
        <v/>
      </c>
      <c r="D146">
        <f>MONTH(C146)</f>
        <v/>
      </c>
      <c r="E146">
        <f>'Календарь'!D143</f>
        <v/>
      </c>
      <c r="F146">
        <f>INT((C146-Нед_Начало)/7)+1</f>
        <v/>
      </c>
      <c r="G146">
        <f>IF(E146=0,0,INDEX('Планы менеджеров'!$B$5:$M$16,B146,D146)/INDEX(Мес_Раб,D146))</f>
        <v/>
      </c>
    </row>
    <row r="147">
      <c r="A147" t="inlineStr">
        <is>
          <t>Иванов</t>
        </is>
      </c>
      <c r="B147" t="n">
        <v>5</v>
      </c>
      <c r="C147" s="18">
        <f>'Календарь'!A144</f>
        <v/>
      </c>
      <c r="D147">
        <f>MONTH(C147)</f>
        <v/>
      </c>
      <c r="E147">
        <f>'Календарь'!D144</f>
        <v/>
      </c>
      <c r="F147">
        <f>INT((C147-Нед_Начало)/7)+1</f>
        <v/>
      </c>
      <c r="G147">
        <f>IF(E147=0,0,INDEX('Планы менеджеров'!$B$5:$M$16,B147,D147)/INDEX(Мес_Раб,D147))</f>
        <v/>
      </c>
    </row>
    <row r="148">
      <c r="A148" t="inlineStr">
        <is>
          <t>Иванов</t>
        </is>
      </c>
      <c r="B148" t="n">
        <v>5</v>
      </c>
      <c r="C148" s="18">
        <f>'Календарь'!A145</f>
        <v/>
      </c>
      <c r="D148">
        <f>MONTH(C148)</f>
        <v/>
      </c>
      <c r="E148">
        <f>'Календарь'!D145</f>
        <v/>
      </c>
      <c r="F148">
        <f>INT((C148-Нед_Начало)/7)+1</f>
        <v/>
      </c>
      <c r="G148">
        <f>IF(E148=0,0,INDEX('Планы менеджеров'!$B$5:$M$16,B148,D148)/INDEX(Мес_Раб,D148))</f>
        <v/>
      </c>
    </row>
    <row r="149">
      <c r="A149" t="inlineStr">
        <is>
          <t>Иванов</t>
        </is>
      </c>
      <c r="B149" t="n">
        <v>5</v>
      </c>
      <c r="C149" s="18">
        <f>'Календарь'!A146</f>
        <v/>
      </c>
      <c r="D149">
        <f>MONTH(C149)</f>
        <v/>
      </c>
      <c r="E149">
        <f>'Календарь'!D146</f>
        <v/>
      </c>
      <c r="F149">
        <f>INT((C149-Нед_Начало)/7)+1</f>
        <v/>
      </c>
      <c r="G149">
        <f>IF(E149=0,0,INDEX('Планы менеджеров'!$B$5:$M$16,B149,D149)/INDEX(Мес_Раб,D149))</f>
        <v/>
      </c>
    </row>
    <row r="150">
      <c r="A150" t="inlineStr">
        <is>
          <t>Иванов</t>
        </is>
      </c>
      <c r="B150" t="n">
        <v>5</v>
      </c>
      <c r="C150" s="18">
        <f>'Календарь'!A147</f>
        <v/>
      </c>
      <c r="D150">
        <f>MONTH(C150)</f>
        <v/>
      </c>
      <c r="E150">
        <f>'Календарь'!D147</f>
        <v/>
      </c>
      <c r="F150">
        <f>INT((C150-Нед_Начало)/7)+1</f>
        <v/>
      </c>
      <c r="G150">
        <f>IF(E150=0,0,INDEX('Планы менеджеров'!$B$5:$M$16,B150,D150)/INDEX(Мес_Раб,D150))</f>
        <v/>
      </c>
    </row>
    <row r="151">
      <c r="A151" t="inlineStr">
        <is>
          <t>Иванов</t>
        </is>
      </c>
      <c r="B151" t="n">
        <v>5</v>
      </c>
      <c r="C151" s="18">
        <f>'Календарь'!A148</f>
        <v/>
      </c>
      <c r="D151">
        <f>MONTH(C151)</f>
        <v/>
      </c>
      <c r="E151">
        <f>'Календарь'!D148</f>
        <v/>
      </c>
      <c r="F151">
        <f>INT((C151-Нед_Начало)/7)+1</f>
        <v/>
      </c>
      <c r="G151">
        <f>IF(E151=0,0,INDEX('Планы менеджеров'!$B$5:$M$16,B151,D151)/INDEX(Мес_Раб,D151))</f>
        <v/>
      </c>
    </row>
    <row r="152">
      <c r="A152" t="inlineStr">
        <is>
          <t>Иванов</t>
        </is>
      </c>
      <c r="B152" t="n">
        <v>5</v>
      </c>
      <c r="C152" s="18">
        <f>'Календарь'!A149</f>
        <v/>
      </c>
      <c r="D152">
        <f>MONTH(C152)</f>
        <v/>
      </c>
      <c r="E152">
        <f>'Календарь'!D149</f>
        <v/>
      </c>
      <c r="F152">
        <f>INT((C152-Нед_Начало)/7)+1</f>
        <v/>
      </c>
      <c r="G152">
        <f>IF(E152=0,0,INDEX('Планы менеджеров'!$B$5:$M$16,B152,D152)/INDEX(Мес_Раб,D152))</f>
        <v/>
      </c>
    </row>
    <row r="153">
      <c r="A153" t="inlineStr">
        <is>
          <t>Иванов</t>
        </is>
      </c>
      <c r="B153" t="n">
        <v>5</v>
      </c>
      <c r="C153" s="18">
        <f>'Календарь'!A150</f>
        <v/>
      </c>
      <c r="D153">
        <f>MONTH(C153)</f>
        <v/>
      </c>
      <c r="E153">
        <f>'Календарь'!D150</f>
        <v/>
      </c>
      <c r="F153">
        <f>INT((C153-Нед_Начало)/7)+1</f>
        <v/>
      </c>
      <c r="G153">
        <f>IF(E153=0,0,INDEX('Планы менеджеров'!$B$5:$M$16,B153,D153)/INDEX(Мес_Раб,D153))</f>
        <v/>
      </c>
    </row>
    <row r="154">
      <c r="A154" t="inlineStr">
        <is>
          <t>Иванов</t>
        </is>
      </c>
      <c r="B154" t="n">
        <v>5</v>
      </c>
      <c r="C154" s="18">
        <f>'Календарь'!A151</f>
        <v/>
      </c>
      <c r="D154">
        <f>MONTH(C154)</f>
        <v/>
      </c>
      <c r="E154">
        <f>'Календарь'!D151</f>
        <v/>
      </c>
      <c r="F154">
        <f>INT((C154-Нед_Начало)/7)+1</f>
        <v/>
      </c>
      <c r="G154">
        <f>IF(E154=0,0,INDEX('Планы менеджеров'!$B$5:$M$16,B154,D154)/INDEX(Мес_Раб,D154))</f>
        <v/>
      </c>
    </row>
    <row r="155">
      <c r="A155" t="inlineStr">
        <is>
          <t>Иванов</t>
        </is>
      </c>
      <c r="B155" t="n">
        <v>5</v>
      </c>
      <c r="C155" s="18">
        <f>'Календарь'!A152</f>
        <v/>
      </c>
      <c r="D155">
        <f>MONTH(C155)</f>
        <v/>
      </c>
      <c r="E155">
        <f>'Календарь'!D152</f>
        <v/>
      </c>
      <c r="F155">
        <f>INT((C155-Нед_Начало)/7)+1</f>
        <v/>
      </c>
      <c r="G155">
        <f>IF(E155=0,0,INDEX('Планы менеджеров'!$B$5:$M$16,B155,D155)/INDEX(Мес_Раб,D155))</f>
        <v/>
      </c>
    </row>
    <row r="156">
      <c r="A156" t="inlineStr">
        <is>
          <t>Иванов</t>
        </is>
      </c>
      <c r="B156" t="n">
        <v>5</v>
      </c>
      <c r="C156" s="18">
        <f>'Календарь'!A153</f>
        <v/>
      </c>
      <c r="D156">
        <f>MONTH(C156)</f>
        <v/>
      </c>
      <c r="E156">
        <f>'Календарь'!D153</f>
        <v/>
      </c>
      <c r="F156">
        <f>INT((C156-Нед_Начало)/7)+1</f>
        <v/>
      </c>
      <c r="G156">
        <f>IF(E156=0,0,INDEX('Планы менеджеров'!$B$5:$M$16,B156,D156)/INDEX(Мес_Раб,D156))</f>
        <v/>
      </c>
    </row>
    <row r="157">
      <c r="A157" t="inlineStr">
        <is>
          <t>Иванов</t>
        </is>
      </c>
      <c r="B157" t="n">
        <v>5</v>
      </c>
      <c r="C157" s="18">
        <f>'Календарь'!A154</f>
        <v/>
      </c>
      <c r="D157">
        <f>MONTH(C157)</f>
        <v/>
      </c>
      <c r="E157">
        <f>'Календарь'!D154</f>
        <v/>
      </c>
      <c r="F157">
        <f>INT((C157-Нед_Начало)/7)+1</f>
        <v/>
      </c>
      <c r="G157">
        <f>IF(E157=0,0,INDEX('Планы менеджеров'!$B$5:$M$16,B157,D157)/INDEX(Мес_Раб,D157))</f>
        <v/>
      </c>
    </row>
    <row r="158">
      <c r="A158" t="inlineStr">
        <is>
          <t>Иванов</t>
        </is>
      </c>
      <c r="B158" t="n">
        <v>5</v>
      </c>
      <c r="C158" s="18">
        <f>'Календарь'!A155</f>
        <v/>
      </c>
      <c r="D158">
        <f>MONTH(C158)</f>
        <v/>
      </c>
      <c r="E158">
        <f>'Календарь'!D155</f>
        <v/>
      </c>
      <c r="F158">
        <f>INT((C158-Нед_Начало)/7)+1</f>
        <v/>
      </c>
      <c r="G158">
        <f>IF(E158=0,0,INDEX('Планы менеджеров'!$B$5:$M$16,B158,D158)/INDEX(Мес_Раб,D158))</f>
        <v/>
      </c>
    </row>
    <row r="159">
      <c r="A159" t="inlineStr">
        <is>
          <t>Иванов</t>
        </is>
      </c>
      <c r="B159" t="n">
        <v>5</v>
      </c>
      <c r="C159" s="18">
        <f>'Календарь'!A156</f>
        <v/>
      </c>
      <c r="D159">
        <f>MONTH(C159)</f>
        <v/>
      </c>
      <c r="E159">
        <f>'Календарь'!D156</f>
        <v/>
      </c>
      <c r="F159">
        <f>INT((C159-Нед_Начало)/7)+1</f>
        <v/>
      </c>
      <c r="G159">
        <f>IF(E159=0,0,INDEX('Планы менеджеров'!$B$5:$M$16,B159,D159)/INDEX(Мес_Раб,D159))</f>
        <v/>
      </c>
    </row>
    <row r="160">
      <c r="A160" t="inlineStr">
        <is>
          <t>Иванов</t>
        </is>
      </c>
      <c r="B160" t="n">
        <v>5</v>
      </c>
      <c r="C160" s="18">
        <f>'Календарь'!A157</f>
        <v/>
      </c>
      <c r="D160">
        <f>MONTH(C160)</f>
        <v/>
      </c>
      <c r="E160">
        <f>'Календарь'!D157</f>
        <v/>
      </c>
      <c r="F160">
        <f>INT((C160-Нед_Начало)/7)+1</f>
        <v/>
      </c>
      <c r="G160">
        <f>IF(E160=0,0,INDEX('Планы менеджеров'!$B$5:$M$16,B160,D160)/INDEX(Мес_Раб,D160))</f>
        <v/>
      </c>
    </row>
    <row r="161">
      <c r="A161" t="inlineStr">
        <is>
          <t>Иванов</t>
        </is>
      </c>
      <c r="B161" t="n">
        <v>5</v>
      </c>
      <c r="C161" s="18">
        <f>'Календарь'!A158</f>
        <v/>
      </c>
      <c r="D161">
        <f>MONTH(C161)</f>
        <v/>
      </c>
      <c r="E161">
        <f>'Календарь'!D158</f>
        <v/>
      </c>
      <c r="F161">
        <f>INT((C161-Нед_Начало)/7)+1</f>
        <v/>
      </c>
      <c r="G161">
        <f>IF(E161=0,0,INDEX('Планы менеджеров'!$B$5:$M$16,B161,D161)/INDEX(Мес_Раб,D161))</f>
        <v/>
      </c>
    </row>
    <row r="162">
      <c r="A162" t="inlineStr">
        <is>
          <t>Иванов</t>
        </is>
      </c>
      <c r="B162" t="n">
        <v>5</v>
      </c>
      <c r="C162" s="18">
        <f>'Календарь'!A159</f>
        <v/>
      </c>
      <c r="D162">
        <f>MONTH(C162)</f>
        <v/>
      </c>
      <c r="E162">
        <f>'Календарь'!D159</f>
        <v/>
      </c>
      <c r="F162">
        <f>INT((C162-Нед_Начало)/7)+1</f>
        <v/>
      </c>
      <c r="G162">
        <f>IF(E162=0,0,INDEX('Планы менеджеров'!$B$5:$M$16,B162,D162)/INDEX(Мес_Раб,D162))</f>
        <v/>
      </c>
    </row>
    <row r="163">
      <c r="A163" t="inlineStr">
        <is>
          <t>Иванов</t>
        </is>
      </c>
      <c r="B163" t="n">
        <v>5</v>
      </c>
      <c r="C163" s="18">
        <f>'Календарь'!A160</f>
        <v/>
      </c>
      <c r="D163">
        <f>MONTH(C163)</f>
        <v/>
      </c>
      <c r="E163">
        <f>'Календарь'!D160</f>
        <v/>
      </c>
      <c r="F163">
        <f>INT((C163-Нед_Начало)/7)+1</f>
        <v/>
      </c>
      <c r="G163">
        <f>IF(E163=0,0,INDEX('Планы менеджеров'!$B$5:$M$16,B163,D163)/INDEX(Мес_Раб,D163))</f>
        <v/>
      </c>
    </row>
    <row r="164">
      <c r="A164" t="inlineStr">
        <is>
          <t>Иванов</t>
        </is>
      </c>
      <c r="B164" t="n">
        <v>5</v>
      </c>
      <c r="C164" s="18">
        <f>'Календарь'!A161</f>
        <v/>
      </c>
      <c r="D164">
        <f>MONTH(C164)</f>
        <v/>
      </c>
      <c r="E164">
        <f>'Календарь'!D161</f>
        <v/>
      </c>
      <c r="F164">
        <f>INT((C164-Нед_Начало)/7)+1</f>
        <v/>
      </c>
      <c r="G164">
        <f>IF(E164=0,0,INDEX('Планы менеджеров'!$B$5:$M$16,B164,D164)/INDEX(Мес_Раб,D164))</f>
        <v/>
      </c>
    </row>
    <row r="165">
      <c r="A165" t="inlineStr">
        <is>
          <t>Иванов</t>
        </is>
      </c>
      <c r="B165" t="n">
        <v>5</v>
      </c>
      <c r="C165" s="18">
        <f>'Календарь'!A162</f>
        <v/>
      </c>
      <c r="D165">
        <f>MONTH(C165)</f>
        <v/>
      </c>
      <c r="E165">
        <f>'Календарь'!D162</f>
        <v/>
      </c>
      <c r="F165">
        <f>INT((C165-Нед_Начало)/7)+1</f>
        <v/>
      </c>
      <c r="G165">
        <f>IF(E165=0,0,INDEX('Планы менеджеров'!$B$5:$M$16,B165,D165)/INDEX(Мес_Раб,D165))</f>
        <v/>
      </c>
    </row>
    <row r="166">
      <c r="A166" t="inlineStr">
        <is>
          <t>Иванов</t>
        </is>
      </c>
      <c r="B166" t="n">
        <v>5</v>
      </c>
      <c r="C166" s="18">
        <f>'Календарь'!A163</f>
        <v/>
      </c>
      <c r="D166">
        <f>MONTH(C166)</f>
        <v/>
      </c>
      <c r="E166">
        <f>'Календарь'!D163</f>
        <v/>
      </c>
      <c r="F166">
        <f>INT((C166-Нед_Начало)/7)+1</f>
        <v/>
      </c>
      <c r="G166">
        <f>IF(E166=0,0,INDEX('Планы менеджеров'!$B$5:$M$16,B166,D166)/INDEX(Мес_Раб,D166))</f>
        <v/>
      </c>
    </row>
    <row r="167">
      <c r="A167" t="inlineStr">
        <is>
          <t>Иванов</t>
        </is>
      </c>
      <c r="B167" t="n">
        <v>5</v>
      </c>
      <c r="C167" s="18">
        <f>'Календарь'!A164</f>
        <v/>
      </c>
      <c r="D167">
        <f>MONTH(C167)</f>
        <v/>
      </c>
      <c r="E167">
        <f>'Календарь'!D164</f>
        <v/>
      </c>
      <c r="F167">
        <f>INT((C167-Нед_Начало)/7)+1</f>
        <v/>
      </c>
      <c r="G167">
        <f>IF(E167=0,0,INDEX('Планы менеджеров'!$B$5:$M$16,B167,D167)/INDEX(Мес_Раб,D167))</f>
        <v/>
      </c>
    </row>
    <row r="168">
      <c r="A168" t="inlineStr">
        <is>
          <t>Иванов</t>
        </is>
      </c>
      <c r="B168" t="n">
        <v>5</v>
      </c>
      <c r="C168" s="18">
        <f>'Календарь'!A165</f>
        <v/>
      </c>
      <c r="D168">
        <f>MONTH(C168)</f>
        <v/>
      </c>
      <c r="E168">
        <f>'Календарь'!D165</f>
        <v/>
      </c>
      <c r="F168">
        <f>INT((C168-Нед_Начало)/7)+1</f>
        <v/>
      </c>
      <c r="G168">
        <f>IF(E168=0,0,INDEX('Планы менеджеров'!$B$5:$M$16,B168,D168)/INDEX(Мес_Раб,D168))</f>
        <v/>
      </c>
    </row>
    <row r="169">
      <c r="A169" t="inlineStr">
        <is>
          <t>Иванов</t>
        </is>
      </c>
      <c r="B169" t="n">
        <v>5</v>
      </c>
      <c r="C169" s="18">
        <f>'Календарь'!A166</f>
        <v/>
      </c>
      <c r="D169">
        <f>MONTH(C169)</f>
        <v/>
      </c>
      <c r="E169">
        <f>'Календарь'!D166</f>
        <v/>
      </c>
      <c r="F169">
        <f>INT((C169-Нед_Начало)/7)+1</f>
        <v/>
      </c>
      <c r="G169">
        <f>IF(E169=0,0,INDEX('Планы менеджеров'!$B$5:$M$16,B169,D169)/INDEX(Мес_Раб,D169))</f>
        <v/>
      </c>
    </row>
    <row r="170">
      <c r="A170" t="inlineStr">
        <is>
          <t>Иванов</t>
        </is>
      </c>
      <c r="B170" t="n">
        <v>5</v>
      </c>
      <c r="C170" s="18">
        <f>'Календарь'!A167</f>
        <v/>
      </c>
      <c r="D170">
        <f>MONTH(C170)</f>
        <v/>
      </c>
      <c r="E170">
        <f>'Календарь'!D167</f>
        <v/>
      </c>
      <c r="F170">
        <f>INT((C170-Нед_Начало)/7)+1</f>
        <v/>
      </c>
      <c r="G170">
        <f>IF(E170=0,0,INDEX('Планы менеджеров'!$B$5:$M$16,B170,D170)/INDEX(Мес_Раб,D170))</f>
        <v/>
      </c>
    </row>
    <row r="171">
      <c r="A171" t="inlineStr">
        <is>
          <t>Иванов</t>
        </is>
      </c>
      <c r="B171" t="n">
        <v>5</v>
      </c>
      <c r="C171" s="18">
        <f>'Календарь'!A168</f>
        <v/>
      </c>
      <c r="D171">
        <f>MONTH(C171)</f>
        <v/>
      </c>
      <c r="E171">
        <f>'Календарь'!D168</f>
        <v/>
      </c>
      <c r="F171">
        <f>INT((C171-Нед_Начало)/7)+1</f>
        <v/>
      </c>
      <c r="G171">
        <f>IF(E171=0,0,INDEX('Планы менеджеров'!$B$5:$M$16,B171,D171)/INDEX(Мес_Раб,D171))</f>
        <v/>
      </c>
    </row>
    <row r="172">
      <c r="A172" t="inlineStr">
        <is>
          <t>Иванов</t>
        </is>
      </c>
      <c r="B172" t="n">
        <v>5</v>
      </c>
      <c r="C172" s="18">
        <f>'Календарь'!A169</f>
        <v/>
      </c>
      <c r="D172">
        <f>MONTH(C172)</f>
        <v/>
      </c>
      <c r="E172">
        <f>'Календарь'!D169</f>
        <v/>
      </c>
      <c r="F172">
        <f>INT((C172-Нед_Начало)/7)+1</f>
        <v/>
      </c>
      <c r="G172">
        <f>IF(E172=0,0,INDEX('Планы менеджеров'!$B$5:$M$16,B172,D172)/INDEX(Мес_Раб,D172))</f>
        <v/>
      </c>
    </row>
    <row r="173">
      <c r="A173" t="inlineStr">
        <is>
          <t>Иванов</t>
        </is>
      </c>
      <c r="B173" t="n">
        <v>5</v>
      </c>
      <c r="C173" s="18">
        <f>'Календарь'!A170</f>
        <v/>
      </c>
      <c r="D173">
        <f>MONTH(C173)</f>
        <v/>
      </c>
      <c r="E173">
        <f>'Календарь'!D170</f>
        <v/>
      </c>
      <c r="F173">
        <f>INT((C173-Нед_Начало)/7)+1</f>
        <v/>
      </c>
      <c r="G173">
        <f>IF(E173=0,0,INDEX('Планы менеджеров'!$B$5:$M$16,B173,D173)/INDEX(Мес_Раб,D173))</f>
        <v/>
      </c>
    </row>
    <row r="174">
      <c r="A174" t="inlineStr">
        <is>
          <t>Иванов</t>
        </is>
      </c>
      <c r="B174" t="n">
        <v>5</v>
      </c>
      <c r="C174" s="18">
        <f>'Календарь'!A171</f>
        <v/>
      </c>
      <c r="D174">
        <f>MONTH(C174)</f>
        <v/>
      </c>
      <c r="E174">
        <f>'Календарь'!D171</f>
        <v/>
      </c>
      <c r="F174">
        <f>INT((C174-Нед_Начало)/7)+1</f>
        <v/>
      </c>
      <c r="G174">
        <f>IF(E174=0,0,INDEX('Планы менеджеров'!$B$5:$M$16,B174,D174)/INDEX(Мес_Раб,D174))</f>
        <v/>
      </c>
    </row>
    <row r="175">
      <c r="A175" t="inlineStr">
        <is>
          <t>Иванов</t>
        </is>
      </c>
      <c r="B175" t="n">
        <v>5</v>
      </c>
      <c r="C175" s="18">
        <f>'Календарь'!A172</f>
        <v/>
      </c>
      <c r="D175">
        <f>MONTH(C175)</f>
        <v/>
      </c>
      <c r="E175">
        <f>'Календарь'!D172</f>
        <v/>
      </c>
      <c r="F175">
        <f>INT((C175-Нед_Начало)/7)+1</f>
        <v/>
      </c>
      <c r="G175">
        <f>IF(E175=0,0,INDEX('Планы менеджеров'!$B$5:$M$16,B175,D175)/INDEX(Мес_Раб,D175))</f>
        <v/>
      </c>
    </row>
    <row r="176">
      <c r="A176" t="inlineStr">
        <is>
          <t>Иванов</t>
        </is>
      </c>
      <c r="B176" t="n">
        <v>5</v>
      </c>
      <c r="C176" s="18">
        <f>'Календарь'!A173</f>
        <v/>
      </c>
      <c r="D176">
        <f>MONTH(C176)</f>
        <v/>
      </c>
      <c r="E176">
        <f>'Календарь'!D173</f>
        <v/>
      </c>
      <c r="F176">
        <f>INT((C176-Нед_Начало)/7)+1</f>
        <v/>
      </c>
      <c r="G176">
        <f>IF(E176=0,0,INDEX('Планы менеджеров'!$B$5:$M$16,B176,D176)/INDEX(Мес_Раб,D176))</f>
        <v/>
      </c>
    </row>
    <row r="177">
      <c r="A177" t="inlineStr">
        <is>
          <t>Иванов</t>
        </is>
      </c>
      <c r="B177" t="n">
        <v>5</v>
      </c>
      <c r="C177" s="18">
        <f>'Календарь'!A174</f>
        <v/>
      </c>
      <c r="D177">
        <f>MONTH(C177)</f>
        <v/>
      </c>
      <c r="E177">
        <f>'Календарь'!D174</f>
        <v/>
      </c>
      <c r="F177">
        <f>INT((C177-Нед_Начало)/7)+1</f>
        <v/>
      </c>
      <c r="G177">
        <f>IF(E177=0,0,INDEX('Планы менеджеров'!$B$5:$M$16,B177,D177)/INDEX(Мес_Раб,D177))</f>
        <v/>
      </c>
    </row>
    <row r="178">
      <c r="A178" t="inlineStr">
        <is>
          <t>Иванов</t>
        </is>
      </c>
      <c r="B178" t="n">
        <v>5</v>
      </c>
      <c r="C178" s="18">
        <f>'Календарь'!A175</f>
        <v/>
      </c>
      <c r="D178">
        <f>MONTH(C178)</f>
        <v/>
      </c>
      <c r="E178">
        <f>'Календарь'!D175</f>
        <v/>
      </c>
      <c r="F178">
        <f>INT((C178-Нед_Начало)/7)+1</f>
        <v/>
      </c>
      <c r="G178">
        <f>IF(E178=0,0,INDEX('Планы менеджеров'!$B$5:$M$16,B178,D178)/INDEX(Мес_Раб,D178))</f>
        <v/>
      </c>
    </row>
    <row r="179">
      <c r="A179" t="inlineStr">
        <is>
          <t>Иванов</t>
        </is>
      </c>
      <c r="B179" t="n">
        <v>5</v>
      </c>
      <c r="C179" s="18">
        <f>'Календарь'!A176</f>
        <v/>
      </c>
      <c r="D179">
        <f>MONTH(C179)</f>
        <v/>
      </c>
      <c r="E179">
        <f>'Календарь'!D176</f>
        <v/>
      </c>
      <c r="F179">
        <f>INT((C179-Нед_Начало)/7)+1</f>
        <v/>
      </c>
      <c r="G179">
        <f>IF(E179=0,0,INDEX('Планы менеджеров'!$B$5:$M$16,B179,D179)/INDEX(Мес_Раб,D179))</f>
        <v/>
      </c>
    </row>
    <row r="180">
      <c r="A180" t="inlineStr">
        <is>
          <t>Иванов</t>
        </is>
      </c>
      <c r="B180" t="n">
        <v>5</v>
      </c>
      <c r="C180" s="18">
        <f>'Календарь'!A177</f>
        <v/>
      </c>
      <c r="D180">
        <f>MONTH(C180)</f>
        <v/>
      </c>
      <c r="E180">
        <f>'Календарь'!D177</f>
        <v/>
      </c>
      <c r="F180">
        <f>INT((C180-Нед_Начало)/7)+1</f>
        <v/>
      </c>
      <c r="G180">
        <f>IF(E180=0,0,INDEX('Планы менеджеров'!$B$5:$M$16,B180,D180)/INDEX(Мес_Раб,D180))</f>
        <v/>
      </c>
    </row>
    <row r="181">
      <c r="A181" t="inlineStr">
        <is>
          <t>Иванов</t>
        </is>
      </c>
      <c r="B181" t="n">
        <v>5</v>
      </c>
      <c r="C181" s="18">
        <f>'Календарь'!A178</f>
        <v/>
      </c>
      <c r="D181">
        <f>MONTH(C181)</f>
        <v/>
      </c>
      <c r="E181">
        <f>'Календарь'!D178</f>
        <v/>
      </c>
      <c r="F181">
        <f>INT((C181-Нед_Начало)/7)+1</f>
        <v/>
      </c>
      <c r="G181">
        <f>IF(E181=0,0,INDEX('Планы менеджеров'!$B$5:$M$16,B181,D181)/INDEX(Мес_Раб,D181))</f>
        <v/>
      </c>
    </row>
    <row r="182">
      <c r="A182" t="inlineStr">
        <is>
          <t>Иванов</t>
        </is>
      </c>
      <c r="B182" t="n">
        <v>5</v>
      </c>
      <c r="C182" s="18">
        <f>'Календарь'!A179</f>
        <v/>
      </c>
      <c r="D182">
        <f>MONTH(C182)</f>
        <v/>
      </c>
      <c r="E182">
        <f>'Календарь'!D179</f>
        <v/>
      </c>
      <c r="F182">
        <f>INT((C182-Нед_Начало)/7)+1</f>
        <v/>
      </c>
      <c r="G182">
        <f>IF(E182=0,0,INDEX('Планы менеджеров'!$B$5:$M$16,B182,D182)/INDEX(Мес_Раб,D182))</f>
        <v/>
      </c>
    </row>
    <row r="183">
      <c r="A183" t="inlineStr">
        <is>
          <t>Иванов</t>
        </is>
      </c>
      <c r="B183" t="n">
        <v>5</v>
      </c>
      <c r="C183" s="18">
        <f>'Календарь'!A180</f>
        <v/>
      </c>
      <c r="D183">
        <f>MONTH(C183)</f>
        <v/>
      </c>
      <c r="E183">
        <f>'Календарь'!D180</f>
        <v/>
      </c>
      <c r="F183">
        <f>INT((C183-Нед_Начало)/7)+1</f>
        <v/>
      </c>
      <c r="G183">
        <f>IF(E183=0,0,INDEX('Планы менеджеров'!$B$5:$M$16,B183,D183)/INDEX(Мес_Раб,D183))</f>
        <v/>
      </c>
    </row>
    <row r="184">
      <c r="A184" t="inlineStr">
        <is>
          <t>Иванов</t>
        </is>
      </c>
      <c r="B184" t="n">
        <v>5</v>
      </c>
      <c r="C184" s="18">
        <f>'Календарь'!A181</f>
        <v/>
      </c>
      <c r="D184">
        <f>MONTH(C184)</f>
        <v/>
      </c>
      <c r="E184">
        <f>'Календарь'!D181</f>
        <v/>
      </c>
      <c r="F184">
        <f>INT((C184-Нед_Начало)/7)+1</f>
        <v/>
      </c>
      <c r="G184">
        <f>IF(E184=0,0,INDEX('Планы менеджеров'!$B$5:$M$16,B184,D184)/INDEX(Мес_Раб,D184))</f>
        <v/>
      </c>
    </row>
    <row r="185">
      <c r="A185" t="inlineStr">
        <is>
          <t>Иванов</t>
        </is>
      </c>
      <c r="B185" t="n">
        <v>5</v>
      </c>
      <c r="C185" s="18">
        <f>'Календарь'!A182</f>
        <v/>
      </c>
      <c r="D185">
        <f>MONTH(C185)</f>
        <v/>
      </c>
      <c r="E185">
        <f>'Календарь'!D182</f>
        <v/>
      </c>
      <c r="F185">
        <f>INT((C185-Нед_Начало)/7)+1</f>
        <v/>
      </c>
      <c r="G185">
        <f>IF(E185=0,0,INDEX('Планы менеджеров'!$B$5:$M$16,B185,D185)/INDEX(Мес_Раб,D185))</f>
        <v/>
      </c>
    </row>
    <row r="186">
      <c r="A186" t="inlineStr">
        <is>
          <t>Иванов</t>
        </is>
      </c>
      <c r="B186" t="n">
        <v>5</v>
      </c>
      <c r="C186" s="18">
        <f>'Календарь'!A183</f>
        <v/>
      </c>
      <c r="D186">
        <f>MONTH(C186)</f>
        <v/>
      </c>
      <c r="E186">
        <f>'Календарь'!D183</f>
        <v/>
      </c>
      <c r="F186">
        <f>INT((C186-Нед_Начало)/7)+1</f>
        <v/>
      </c>
      <c r="G186">
        <f>IF(E186=0,0,INDEX('Планы менеджеров'!$B$5:$M$16,B186,D186)/INDEX(Мес_Раб,D186))</f>
        <v/>
      </c>
    </row>
    <row r="187">
      <c r="A187" t="inlineStr">
        <is>
          <t>Иванов</t>
        </is>
      </c>
      <c r="B187" t="n">
        <v>5</v>
      </c>
      <c r="C187" s="18">
        <f>'Календарь'!A184</f>
        <v/>
      </c>
      <c r="D187">
        <f>MONTH(C187)</f>
        <v/>
      </c>
      <c r="E187">
        <f>'Календарь'!D184</f>
        <v/>
      </c>
      <c r="F187">
        <f>INT((C187-Нед_Начало)/7)+1</f>
        <v/>
      </c>
      <c r="G187">
        <f>IF(E187=0,0,INDEX('Планы менеджеров'!$B$5:$M$16,B187,D187)/INDEX(Мес_Раб,D187))</f>
        <v/>
      </c>
    </row>
    <row r="188">
      <c r="A188" t="inlineStr">
        <is>
          <t>Иванов</t>
        </is>
      </c>
      <c r="B188" t="n">
        <v>5</v>
      </c>
      <c r="C188" s="18">
        <f>'Календарь'!A185</f>
        <v/>
      </c>
      <c r="D188">
        <f>MONTH(C188)</f>
        <v/>
      </c>
      <c r="E188">
        <f>'Календарь'!D185</f>
        <v/>
      </c>
      <c r="F188">
        <f>INT((C188-Нед_Начало)/7)+1</f>
        <v/>
      </c>
      <c r="G188">
        <f>IF(E188=0,0,INDEX('Планы менеджеров'!$B$5:$M$16,B188,D188)/INDEX(Мес_Раб,D188))</f>
        <v/>
      </c>
    </row>
    <row r="189">
      <c r="A189" t="inlineStr">
        <is>
          <t>Иванов</t>
        </is>
      </c>
      <c r="B189" t="n">
        <v>5</v>
      </c>
      <c r="C189" s="18">
        <f>'Календарь'!A186</f>
        <v/>
      </c>
      <c r="D189">
        <f>MONTH(C189)</f>
        <v/>
      </c>
      <c r="E189">
        <f>'Календарь'!D186</f>
        <v/>
      </c>
      <c r="F189">
        <f>INT((C189-Нед_Начало)/7)+1</f>
        <v/>
      </c>
      <c r="G189">
        <f>IF(E189=0,0,INDEX('Планы менеджеров'!$B$5:$M$16,B189,D189)/INDEX(Мес_Раб,D189))</f>
        <v/>
      </c>
    </row>
    <row r="190">
      <c r="A190" t="inlineStr">
        <is>
          <t>Иванов</t>
        </is>
      </c>
      <c r="B190" t="n">
        <v>5</v>
      </c>
      <c r="C190" s="18">
        <f>'Календарь'!A187</f>
        <v/>
      </c>
      <c r="D190">
        <f>MONTH(C190)</f>
        <v/>
      </c>
      <c r="E190">
        <f>'Календарь'!D187</f>
        <v/>
      </c>
      <c r="F190">
        <f>INT((C190-Нед_Начало)/7)+1</f>
        <v/>
      </c>
      <c r="G190">
        <f>IF(E190=0,0,INDEX('Планы менеджеров'!$B$5:$M$16,B190,D190)/INDEX(Мес_Раб,D190))</f>
        <v/>
      </c>
    </row>
    <row r="191">
      <c r="A191" t="inlineStr">
        <is>
          <t>Иванов</t>
        </is>
      </c>
      <c r="B191" t="n">
        <v>5</v>
      </c>
      <c r="C191" s="18">
        <f>'Календарь'!A188</f>
        <v/>
      </c>
      <c r="D191">
        <f>MONTH(C191)</f>
        <v/>
      </c>
      <c r="E191">
        <f>'Календарь'!D188</f>
        <v/>
      </c>
      <c r="F191">
        <f>INT((C191-Нед_Начало)/7)+1</f>
        <v/>
      </c>
      <c r="G191">
        <f>IF(E191=0,0,INDEX('Планы менеджеров'!$B$5:$M$16,B191,D191)/INDEX(Мес_Раб,D191))</f>
        <v/>
      </c>
    </row>
    <row r="192">
      <c r="A192" t="inlineStr">
        <is>
          <t>Иванов</t>
        </is>
      </c>
      <c r="B192" t="n">
        <v>5</v>
      </c>
      <c r="C192" s="18">
        <f>'Календарь'!A189</f>
        <v/>
      </c>
      <c r="D192">
        <f>MONTH(C192)</f>
        <v/>
      </c>
      <c r="E192">
        <f>'Календарь'!D189</f>
        <v/>
      </c>
      <c r="F192">
        <f>INT((C192-Нед_Начало)/7)+1</f>
        <v/>
      </c>
      <c r="G192">
        <f>IF(E192=0,0,INDEX('Планы менеджеров'!$B$5:$M$16,B192,D192)/INDEX(Мес_Раб,D192))</f>
        <v/>
      </c>
    </row>
    <row r="193">
      <c r="A193" t="inlineStr">
        <is>
          <t>Иванов</t>
        </is>
      </c>
      <c r="B193" t="n">
        <v>5</v>
      </c>
      <c r="C193" s="18">
        <f>'Календарь'!A190</f>
        <v/>
      </c>
      <c r="D193">
        <f>MONTH(C193)</f>
        <v/>
      </c>
      <c r="E193">
        <f>'Календарь'!D190</f>
        <v/>
      </c>
      <c r="F193">
        <f>INT((C193-Нед_Начало)/7)+1</f>
        <v/>
      </c>
      <c r="G193">
        <f>IF(E193=0,0,INDEX('Планы менеджеров'!$B$5:$M$16,B193,D193)/INDEX(Мес_Раб,D193))</f>
        <v/>
      </c>
    </row>
    <row r="194">
      <c r="A194" t="inlineStr">
        <is>
          <t>Иванов</t>
        </is>
      </c>
      <c r="B194" t="n">
        <v>5</v>
      </c>
      <c r="C194" s="18">
        <f>'Календарь'!A191</f>
        <v/>
      </c>
      <c r="D194">
        <f>MONTH(C194)</f>
        <v/>
      </c>
      <c r="E194">
        <f>'Календарь'!D191</f>
        <v/>
      </c>
      <c r="F194">
        <f>INT((C194-Нед_Начало)/7)+1</f>
        <v/>
      </c>
      <c r="G194">
        <f>IF(E194=0,0,INDEX('Планы менеджеров'!$B$5:$M$16,B194,D194)/INDEX(Мес_Раб,D194))</f>
        <v/>
      </c>
    </row>
    <row r="195">
      <c r="A195" t="inlineStr">
        <is>
          <t>Иванов</t>
        </is>
      </c>
      <c r="B195" t="n">
        <v>5</v>
      </c>
      <c r="C195" s="18">
        <f>'Календарь'!A192</f>
        <v/>
      </c>
      <c r="D195">
        <f>MONTH(C195)</f>
        <v/>
      </c>
      <c r="E195">
        <f>'Календарь'!D192</f>
        <v/>
      </c>
      <c r="F195">
        <f>INT((C195-Нед_Начало)/7)+1</f>
        <v/>
      </c>
      <c r="G195">
        <f>IF(E195=0,0,INDEX('Планы менеджеров'!$B$5:$M$16,B195,D195)/INDEX(Мес_Раб,D195))</f>
        <v/>
      </c>
    </row>
    <row r="196">
      <c r="A196" t="inlineStr">
        <is>
          <t>Иванов</t>
        </is>
      </c>
      <c r="B196" t="n">
        <v>5</v>
      </c>
      <c r="C196" s="18">
        <f>'Календарь'!A193</f>
        <v/>
      </c>
      <c r="D196">
        <f>MONTH(C196)</f>
        <v/>
      </c>
      <c r="E196">
        <f>'Календарь'!D193</f>
        <v/>
      </c>
      <c r="F196">
        <f>INT((C196-Нед_Начало)/7)+1</f>
        <v/>
      </c>
      <c r="G196">
        <f>IF(E196=0,0,INDEX('Планы менеджеров'!$B$5:$M$16,B196,D196)/INDEX(Мес_Раб,D196))</f>
        <v/>
      </c>
    </row>
    <row r="197">
      <c r="A197" t="inlineStr">
        <is>
          <t>Иванов</t>
        </is>
      </c>
      <c r="B197" t="n">
        <v>5</v>
      </c>
      <c r="C197" s="18">
        <f>'Календарь'!A194</f>
        <v/>
      </c>
      <c r="D197">
        <f>MONTH(C197)</f>
        <v/>
      </c>
      <c r="E197">
        <f>'Календарь'!D194</f>
        <v/>
      </c>
      <c r="F197">
        <f>INT((C197-Нед_Начало)/7)+1</f>
        <v/>
      </c>
      <c r="G197">
        <f>IF(E197=0,0,INDEX('Планы менеджеров'!$B$5:$M$16,B197,D197)/INDEX(Мес_Раб,D197))</f>
        <v/>
      </c>
    </row>
    <row r="198">
      <c r="A198" t="inlineStr">
        <is>
          <t>Иванов</t>
        </is>
      </c>
      <c r="B198" t="n">
        <v>5</v>
      </c>
      <c r="C198" s="18">
        <f>'Календарь'!A195</f>
        <v/>
      </c>
      <c r="D198">
        <f>MONTH(C198)</f>
        <v/>
      </c>
      <c r="E198">
        <f>'Календарь'!D195</f>
        <v/>
      </c>
      <c r="F198">
        <f>INT((C198-Нед_Начало)/7)+1</f>
        <v/>
      </c>
      <c r="G198">
        <f>IF(E198=0,0,INDEX('Планы менеджеров'!$B$5:$M$16,B198,D198)/INDEX(Мес_Раб,D198))</f>
        <v/>
      </c>
    </row>
    <row r="199">
      <c r="A199" t="inlineStr">
        <is>
          <t>Иванов</t>
        </is>
      </c>
      <c r="B199" t="n">
        <v>5</v>
      </c>
      <c r="C199" s="18">
        <f>'Календарь'!A196</f>
        <v/>
      </c>
      <c r="D199">
        <f>MONTH(C199)</f>
        <v/>
      </c>
      <c r="E199">
        <f>'Календарь'!D196</f>
        <v/>
      </c>
      <c r="F199">
        <f>INT((C199-Нед_Начало)/7)+1</f>
        <v/>
      </c>
      <c r="G199">
        <f>IF(E199=0,0,INDEX('Планы менеджеров'!$B$5:$M$16,B199,D199)/INDEX(Мес_Раб,D199))</f>
        <v/>
      </c>
    </row>
    <row r="200">
      <c r="A200" t="inlineStr">
        <is>
          <t>Иванов</t>
        </is>
      </c>
      <c r="B200" t="n">
        <v>5</v>
      </c>
      <c r="C200" s="18">
        <f>'Календарь'!A197</f>
        <v/>
      </c>
      <c r="D200">
        <f>MONTH(C200)</f>
        <v/>
      </c>
      <c r="E200">
        <f>'Календарь'!D197</f>
        <v/>
      </c>
      <c r="F200">
        <f>INT((C200-Нед_Начало)/7)+1</f>
        <v/>
      </c>
      <c r="G200">
        <f>IF(E200=0,0,INDEX('Планы менеджеров'!$B$5:$M$16,B200,D200)/INDEX(Мес_Раб,D200))</f>
        <v/>
      </c>
    </row>
    <row r="201">
      <c r="A201" t="inlineStr">
        <is>
          <t>Иванов</t>
        </is>
      </c>
      <c r="B201" t="n">
        <v>5</v>
      </c>
      <c r="C201" s="18">
        <f>'Календарь'!A198</f>
        <v/>
      </c>
      <c r="D201">
        <f>MONTH(C201)</f>
        <v/>
      </c>
      <c r="E201">
        <f>'Календарь'!D198</f>
        <v/>
      </c>
      <c r="F201">
        <f>INT((C201-Нед_Начало)/7)+1</f>
        <v/>
      </c>
      <c r="G201">
        <f>IF(E201=0,0,INDEX('Планы менеджеров'!$B$5:$M$16,B201,D201)/INDEX(Мес_Раб,D201))</f>
        <v/>
      </c>
    </row>
    <row r="202">
      <c r="A202" t="inlineStr">
        <is>
          <t>Иванов</t>
        </is>
      </c>
      <c r="B202" t="n">
        <v>5</v>
      </c>
      <c r="C202" s="18">
        <f>'Календарь'!A199</f>
        <v/>
      </c>
      <c r="D202">
        <f>MONTH(C202)</f>
        <v/>
      </c>
      <c r="E202">
        <f>'Календарь'!D199</f>
        <v/>
      </c>
      <c r="F202">
        <f>INT((C202-Нед_Начало)/7)+1</f>
        <v/>
      </c>
      <c r="G202">
        <f>IF(E202=0,0,INDEX('Планы менеджеров'!$B$5:$M$16,B202,D202)/INDEX(Мес_Раб,D202))</f>
        <v/>
      </c>
    </row>
    <row r="203">
      <c r="A203" t="inlineStr">
        <is>
          <t>Иванов</t>
        </is>
      </c>
      <c r="B203" t="n">
        <v>5</v>
      </c>
      <c r="C203" s="18">
        <f>'Календарь'!A200</f>
        <v/>
      </c>
      <c r="D203">
        <f>MONTH(C203)</f>
        <v/>
      </c>
      <c r="E203">
        <f>'Календарь'!D200</f>
        <v/>
      </c>
      <c r="F203">
        <f>INT((C203-Нед_Начало)/7)+1</f>
        <v/>
      </c>
      <c r="G203">
        <f>IF(E203=0,0,INDEX('Планы менеджеров'!$B$5:$M$16,B203,D203)/INDEX(Мес_Раб,D203))</f>
        <v/>
      </c>
    </row>
    <row r="204">
      <c r="A204" t="inlineStr">
        <is>
          <t>Иванов</t>
        </is>
      </c>
      <c r="B204" t="n">
        <v>5</v>
      </c>
      <c r="C204" s="18">
        <f>'Календарь'!A201</f>
        <v/>
      </c>
      <c r="D204">
        <f>MONTH(C204)</f>
        <v/>
      </c>
      <c r="E204">
        <f>'Календарь'!D201</f>
        <v/>
      </c>
      <c r="F204">
        <f>INT((C204-Нед_Начало)/7)+1</f>
        <v/>
      </c>
      <c r="G204">
        <f>IF(E204=0,0,INDEX('Планы менеджеров'!$B$5:$M$16,B204,D204)/INDEX(Мес_Раб,D204))</f>
        <v/>
      </c>
    </row>
    <row r="205">
      <c r="A205" t="inlineStr">
        <is>
          <t>Иванов</t>
        </is>
      </c>
      <c r="B205" t="n">
        <v>5</v>
      </c>
      <c r="C205" s="18">
        <f>'Календарь'!A202</f>
        <v/>
      </c>
      <c r="D205">
        <f>MONTH(C205)</f>
        <v/>
      </c>
      <c r="E205">
        <f>'Календарь'!D202</f>
        <v/>
      </c>
      <c r="F205">
        <f>INT((C205-Нед_Начало)/7)+1</f>
        <v/>
      </c>
      <c r="G205">
        <f>IF(E205=0,0,INDEX('Планы менеджеров'!$B$5:$M$16,B205,D205)/INDEX(Мес_Раб,D205))</f>
        <v/>
      </c>
    </row>
    <row r="206">
      <c r="A206" t="inlineStr">
        <is>
          <t>Иванов</t>
        </is>
      </c>
      <c r="B206" t="n">
        <v>5</v>
      </c>
      <c r="C206" s="18">
        <f>'Календарь'!A203</f>
        <v/>
      </c>
      <c r="D206">
        <f>MONTH(C206)</f>
        <v/>
      </c>
      <c r="E206">
        <f>'Календарь'!D203</f>
        <v/>
      </c>
      <c r="F206">
        <f>INT((C206-Нед_Начало)/7)+1</f>
        <v/>
      </c>
      <c r="G206">
        <f>IF(E206=0,0,INDEX('Планы менеджеров'!$B$5:$M$16,B206,D206)/INDEX(Мес_Раб,D206))</f>
        <v/>
      </c>
    </row>
    <row r="207">
      <c r="A207" t="inlineStr">
        <is>
          <t>Иванов</t>
        </is>
      </c>
      <c r="B207" t="n">
        <v>5</v>
      </c>
      <c r="C207" s="18">
        <f>'Календарь'!A204</f>
        <v/>
      </c>
      <c r="D207">
        <f>MONTH(C207)</f>
        <v/>
      </c>
      <c r="E207">
        <f>'Календарь'!D204</f>
        <v/>
      </c>
      <c r="F207">
        <f>INT((C207-Нед_Начало)/7)+1</f>
        <v/>
      </c>
      <c r="G207">
        <f>IF(E207=0,0,INDEX('Планы менеджеров'!$B$5:$M$16,B207,D207)/INDEX(Мес_Раб,D207))</f>
        <v/>
      </c>
    </row>
    <row r="208">
      <c r="A208" t="inlineStr">
        <is>
          <t>Иванов</t>
        </is>
      </c>
      <c r="B208" t="n">
        <v>5</v>
      </c>
      <c r="C208" s="18">
        <f>'Календарь'!A205</f>
        <v/>
      </c>
      <c r="D208">
        <f>MONTH(C208)</f>
        <v/>
      </c>
      <c r="E208">
        <f>'Календарь'!D205</f>
        <v/>
      </c>
      <c r="F208">
        <f>INT((C208-Нед_Начало)/7)+1</f>
        <v/>
      </c>
      <c r="G208">
        <f>IF(E208=0,0,INDEX('Планы менеджеров'!$B$5:$M$16,B208,D208)/INDEX(Мес_Раб,D208))</f>
        <v/>
      </c>
    </row>
    <row r="209">
      <c r="A209" t="inlineStr">
        <is>
          <t>Иванов</t>
        </is>
      </c>
      <c r="B209" t="n">
        <v>5</v>
      </c>
      <c r="C209" s="18">
        <f>'Календарь'!A206</f>
        <v/>
      </c>
      <c r="D209">
        <f>MONTH(C209)</f>
        <v/>
      </c>
      <c r="E209">
        <f>'Календарь'!D206</f>
        <v/>
      </c>
      <c r="F209">
        <f>INT((C209-Нед_Начало)/7)+1</f>
        <v/>
      </c>
      <c r="G209">
        <f>IF(E209=0,0,INDEX('Планы менеджеров'!$B$5:$M$16,B209,D209)/INDEX(Мес_Раб,D209))</f>
        <v/>
      </c>
    </row>
    <row r="210">
      <c r="A210" t="inlineStr">
        <is>
          <t>Иванов</t>
        </is>
      </c>
      <c r="B210" t="n">
        <v>5</v>
      </c>
      <c r="C210" s="18">
        <f>'Календарь'!A207</f>
        <v/>
      </c>
      <c r="D210">
        <f>MONTH(C210)</f>
        <v/>
      </c>
      <c r="E210">
        <f>'Календарь'!D207</f>
        <v/>
      </c>
      <c r="F210">
        <f>INT((C210-Нед_Начало)/7)+1</f>
        <v/>
      </c>
      <c r="G210">
        <f>IF(E210=0,0,INDEX('Планы менеджеров'!$B$5:$M$16,B210,D210)/INDEX(Мес_Раб,D210))</f>
        <v/>
      </c>
    </row>
    <row r="211">
      <c r="A211" t="inlineStr">
        <is>
          <t>Иванов</t>
        </is>
      </c>
      <c r="B211" t="n">
        <v>5</v>
      </c>
      <c r="C211" s="18">
        <f>'Календарь'!A208</f>
        <v/>
      </c>
      <c r="D211">
        <f>MONTH(C211)</f>
        <v/>
      </c>
      <c r="E211">
        <f>'Календарь'!D208</f>
        <v/>
      </c>
      <c r="F211">
        <f>INT((C211-Нед_Начало)/7)+1</f>
        <v/>
      </c>
      <c r="G211">
        <f>IF(E211=0,0,INDEX('Планы менеджеров'!$B$5:$M$16,B211,D211)/INDEX(Мес_Раб,D211))</f>
        <v/>
      </c>
    </row>
    <row r="212">
      <c r="A212" t="inlineStr">
        <is>
          <t>Иванов</t>
        </is>
      </c>
      <c r="B212" t="n">
        <v>5</v>
      </c>
      <c r="C212" s="18">
        <f>'Календарь'!A209</f>
        <v/>
      </c>
      <c r="D212">
        <f>MONTH(C212)</f>
        <v/>
      </c>
      <c r="E212">
        <f>'Календарь'!D209</f>
        <v/>
      </c>
      <c r="F212">
        <f>INT((C212-Нед_Начало)/7)+1</f>
        <v/>
      </c>
      <c r="G212">
        <f>IF(E212=0,0,INDEX('Планы менеджеров'!$B$5:$M$16,B212,D212)/INDEX(Мес_Раб,D212))</f>
        <v/>
      </c>
    </row>
    <row r="213">
      <c r="A213" t="inlineStr">
        <is>
          <t>Иванов</t>
        </is>
      </c>
      <c r="B213" t="n">
        <v>5</v>
      </c>
      <c r="C213" s="18">
        <f>'Календарь'!A210</f>
        <v/>
      </c>
      <c r="D213">
        <f>MONTH(C213)</f>
        <v/>
      </c>
      <c r="E213">
        <f>'Календарь'!D210</f>
        <v/>
      </c>
      <c r="F213">
        <f>INT((C213-Нед_Начало)/7)+1</f>
        <v/>
      </c>
      <c r="G213">
        <f>IF(E213=0,0,INDEX('Планы менеджеров'!$B$5:$M$16,B213,D213)/INDEX(Мес_Раб,D213))</f>
        <v/>
      </c>
    </row>
    <row r="214">
      <c r="A214" t="inlineStr">
        <is>
          <t>Иванов</t>
        </is>
      </c>
      <c r="B214" t="n">
        <v>5</v>
      </c>
      <c r="C214" s="18">
        <f>'Календарь'!A211</f>
        <v/>
      </c>
      <c r="D214">
        <f>MONTH(C214)</f>
        <v/>
      </c>
      <c r="E214">
        <f>'Календарь'!D211</f>
        <v/>
      </c>
      <c r="F214">
        <f>INT((C214-Нед_Начало)/7)+1</f>
        <v/>
      </c>
      <c r="G214">
        <f>IF(E214=0,0,INDEX('Планы менеджеров'!$B$5:$M$16,B214,D214)/INDEX(Мес_Раб,D214))</f>
        <v/>
      </c>
    </row>
    <row r="215">
      <c r="A215" t="inlineStr">
        <is>
          <t>Иванов</t>
        </is>
      </c>
      <c r="B215" t="n">
        <v>5</v>
      </c>
      <c r="C215" s="18">
        <f>'Календарь'!A212</f>
        <v/>
      </c>
      <c r="D215">
        <f>MONTH(C215)</f>
        <v/>
      </c>
      <c r="E215">
        <f>'Календарь'!D212</f>
        <v/>
      </c>
      <c r="F215">
        <f>INT((C215-Нед_Начало)/7)+1</f>
        <v/>
      </c>
      <c r="G215">
        <f>IF(E215=0,0,INDEX('Планы менеджеров'!$B$5:$M$16,B215,D215)/INDEX(Мес_Раб,D215))</f>
        <v/>
      </c>
    </row>
    <row r="216">
      <c r="A216" t="inlineStr">
        <is>
          <t>Иванов</t>
        </is>
      </c>
      <c r="B216" t="n">
        <v>5</v>
      </c>
      <c r="C216" s="18">
        <f>'Календарь'!A213</f>
        <v/>
      </c>
      <c r="D216">
        <f>MONTH(C216)</f>
        <v/>
      </c>
      <c r="E216">
        <f>'Календарь'!D213</f>
        <v/>
      </c>
      <c r="F216">
        <f>INT((C216-Нед_Начало)/7)+1</f>
        <v/>
      </c>
      <c r="G216">
        <f>IF(E216=0,0,INDEX('Планы менеджеров'!$B$5:$M$16,B216,D216)/INDEX(Мес_Раб,D216))</f>
        <v/>
      </c>
    </row>
    <row r="217">
      <c r="A217" t="inlineStr">
        <is>
          <t>Иванов</t>
        </is>
      </c>
      <c r="B217" t="n">
        <v>5</v>
      </c>
      <c r="C217" s="18">
        <f>'Календарь'!A214</f>
        <v/>
      </c>
      <c r="D217">
        <f>MONTH(C217)</f>
        <v/>
      </c>
      <c r="E217">
        <f>'Календарь'!D214</f>
        <v/>
      </c>
      <c r="F217">
        <f>INT((C217-Нед_Начало)/7)+1</f>
        <v/>
      </c>
      <c r="G217">
        <f>IF(E217=0,0,INDEX('Планы менеджеров'!$B$5:$M$16,B217,D217)/INDEX(Мес_Раб,D217))</f>
        <v/>
      </c>
    </row>
    <row r="218">
      <c r="A218" t="inlineStr">
        <is>
          <t>Иванов</t>
        </is>
      </c>
      <c r="B218" t="n">
        <v>5</v>
      </c>
      <c r="C218" s="18">
        <f>'Календарь'!A215</f>
        <v/>
      </c>
      <c r="D218">
        <f>MONTH(C218)</f>
        <v/>
      </c>
      <c r="E218">
        <f>'Календарь'!D215</f>
        <v/>
      </c>
      <c r="F218">
        <f>INT((C218-Нед_Начало)/7)+1</f>
        <v/>
      </c>
      <c r="G218">
        <f>IF(E218=0,0,INDEX('Планы менеджеров'!$B$5:$M$16,B218,D218)/INDEX(Мес_Раб,D218))</f>
        <v/>
      </c>
    </row>
    <row r="219">
      <c r="A219" t="inlineStr">
        <is>
          <t>Иванов</t>
        </is>
      </c>
      <c r="B219" t="n">
        <v>5</v>
      </c>
      <c r="C219" s="18">
        <f>'Календарь'!A216</f>
        <v/>
      </c>
      <c r="D219">
        <f>MONTH(C219)</f>
        <v/>
      </c>
      <c r="E219">
        <f>'Календарь'!D216</f>
        <v/>
      </c>
      <c r="F219">
        <f>INT((C219-Нед_Начало)/7)+1</f>
        <v/>
      </c>
      <c r="G219">
        <f>IF(E219=0,0,INDEX('Планы менеджеров'!$B$5:$M$16,B219,D219)/INDEX(Мес_Раб,D219))</f>
        <v/>
      </c>
    </row>
    <row r="220">
      <c r="A220" t="inlineStr">
        <is>
          <t>Иванов</t>
        </is>
      </c>
      <c r="B220" t="n">
        <v>5</v>
      </c>
      <c r="C220" s="18">
        <f>'Календарь'!A217</f>
        <v/>
      </c>
      <c r="D220">
        <f>MONTH(C220)</f>
        <v/>
      </c>
      <c r="E220">
        <f>'Календарь'!D217</f>
        <v/>
      </c>
      <c r="F220">
        <f>INT((C220-Нед_Начало)/7)+1</f>
        <v/>
      </c>
      <c r="G220">
        <f>IF(E220=0,0,INDEX('Планы менеджеров'!$B$5:$M$16,B220,D220)/INDEX(Мес_Раб,D220))</f>
        <v/>
      </c>
    </row>
    <row r="221">
      <c r="A221" t="inlineStr">
        <is>
          <t>Иванов</t>
        </is>
      </c>
      <c r="B221" t="n">
        <v>5</v>
      </c>
      <c r="C221" s="18">
        <f>'Календарь'!A218</f>
        <v/>
      </c>
      <c r="D221">
        <f>MONTH(C221)</f>
        <v/>
      </c>
      <c r="E221">
        <f>'Календарь'!D218</f>
        <v/>
      </c>
      <c r="F221">
        <f>INT((C221-Нед_Начало)/7)+1</f>
        <v/>
      </c>
      <c r="G221">
        <f>IF(E221=0,0,INDEX('Планы менеджеров'!$B$5:$M$16,B221,D221)/INDEX(Мес_Раб,D221))</f>
        <v/>
      </c>
    </row>
    <row r="222">
      <c r="A222" t="inlineStr">
        <is>
          <t>Иванов</t>
        </is>
      </c>
      <c r="B222" t="n">
        <v>5</v>
      </c>
      <c r="C222" s="18">
        <f>'Календарь'!A219</f>
        <v/>
      </c>
      <c r="D222">
        <f>MONTH(C222)</f>
        <v/>
      </c>
      <c r="E222">
        <f>'Календарь'!D219</f>
        <v/>
      </c>
      <c r="F222">
        <f>INT((C222-Нед_Начало)/7)+1</f>
        <v/>
      </c>
      <c r="G222">
        <f>IF(E222=0,0,INDEX('Планы менеджеров'!$B$5:$M$16,B222,D222)/INDEX(Мес_Раб,D222))</f>
        <v/>
      </c>
    </row>
    <row r="223">
      <c r="A223" t="inlineStr">
        <is>
          <t>Иванов</t>
        </is>
      </c>
      <c r="B223" t="n">
        <v>5</v>
      </c>
      <c r="C223" s="18">
        <f>'Календарь'!A220</f>
        <v/>
      </c>
      <c r="D223">
        <f>MONTH(C223)</f>
        <v/>
      </c>
      <c r="E223">
        <f>'Календарь'!D220</f>
        <v/>
      </c>
      <c r="F223">
        <f>INT((C223-Нед_Начало)/7)+1</f>
        <v/>
      </c>
      <c r="G223">
        <f>IF(E223=0,0,INDEX('Планы менеджеров'!$B$5:$M$16,B223,D223)/INDEX(Мес_Раб,D223))</f>
        <v/>
      </c>
    </row>
    <row r="224">
      <c r="A224" t="inlineStr">
        <is>
          <t>Иванов</t>
        </is>
      </c>
      <c r="B224" t="n">
        <v>5</v>
      </c>
      <c r="C224" s="18">
        <f>'Календарь'!A221</f>
        <v/>
      </c>
      <c r="D224">
        <f>MONTH(C224)</f>
        <v/>
      </c>
      <c r="E224">
        <f>'Календарь'!D221</f>
        <v/>
      </c>
      <c r="F224">
        <f>INT((C224-Нед_Начало)/7)+1</f>
        <v/>
      </c>
      <c r="G224">
        <f>IF(E224=0,0,INDEX('Планы менеджеров'!$B$5:$M$16,B224,D224)/INDEX(Мес_Раб,D224))</f>
        <v/>
      </c>
    </row>
    <row r="225">
      <c r="A225" t="inlineStr">
        <is>
          <t>Иванов</t>
        </is>
      </c>
      <c r="B225" t="n">
        <v>5</v>
      </c>
      <c r="C225" s="18">
        <f>'Календарь'!A222</f>
        <v/>
      </c>
      <c r="D225">
        <f>MONTH(C225)</f>
        <v/>
      </c>
      <c r="E225">
        <f>'Календарь'!D222</f>
        <v/>
      </c>
      <c r="F225">
        <f>INT((C225-Нед_Начало)/7)+1</f>
        <v/>
      </c>
      <c r="G225">
        <f>IF(E225=0,0,INDEX('Планы менеджеров'!$B$5:$M$16,B225,D225)/INDEX(Мес_Раб,D225))</f>
        <v/>
      </c>
    </row>
    <row r="226">
      <c r="A226" t="inlineStr">
        <is>
          <t>Иванов</t>
        </is>
      </c>
      <c r="B226" t="n">
        <v>5</v>
      </c>
      <c r="C226" s="18">
        <f>'Календарь'!A223</f>
        <v/>
      </c>
      <c r="D226">
        <f>MONTH(C226)</f>
        <v/>
      </c>
      <c r="E226">
        <f>'Календарь'!D223</f>
        <v/>
      </c>
      <c r="F226">
        <f>INT((C226-Нед_Начало)/7)+1</f>
        <v/>
      </c>
      <c r="G226">
        <f>IF(E226=0,0,INDEX('Планы менеджеров'!$B$5:$M$16,B226,D226)/INDEX(Мес_Раб,D226))</f>
        <v/>
      </c>
    </row>
    <row r="227">
      <c r="A227" t="inlineStr">
        <is>
          <t>Иванов</t>
        </is>
      </c>
      <c r="B227" t="n">
        <v>5</v>
      </c>
      <c r="C227" s="18">
        <f>'Календарь'!A224</f>
        <v/>
      </c>
      <c r="D227">
        <f>MONTH(C227)</f>
        <v/>
      </c>
      <c r="E227">
        <f>'Календарь'!D224</f>
        <v/>
      </c>
      <c r="F227">
        <f>INT((C227-Нед_Начало)/7)+1</f>
        <v/>
      </c>
      <c r="G227">
        <f>IF(E227=0,0,INDEX('Планы менеджеров'!$B$5:$M$16,B227,D227)/INDEX(Мес_Раб,D227))</f>
        <v/>
      </c>
    </row>
    <row r="228">
      <c r="A228" t="inlineStr">
        <is>
          <t>Иванов</t>
        </is>
      </c>
      <c r="B228" t="n">
        <v>5</v>
      </c>
      <c r="C228" s="18">
        <f>'Календарь'!A225</f>
        <v/>
      </c>
      <c r="D228">
        <f>MONTH(C228)</f>
        <v/>
      </c>
      <c r="E228">
        <f>'Календарь'!D225</f>
        <v/>
      </c>
      <c r="F228">
        <f>INT((C228-Нед_Начало)/7)+1</f>
        <v/>
      </c>
      <c r="G228">
        <f>IF(E228=0,0,INDEX('Планы менеджеров'!$B$5:$M$16,B228,D228)/INDEX(Мес_Раб,D228))</f>
        <v/>
      </c>
    </row>
    <row r="229">
      <c r="A229" t="inlineStr">
        <is>
          <t>Иванов</t>
        </is>
      </c>
      <c r="B229" t="n">
        <v>5</v>
      </c>
      <c r="C229" s="18">
        <f>'Календарь'!A226</f>
        <v/>
      </c>
      <c r="D229">
        <f>MONTH(C229)</f>
        <v/>
      </c>
      <c r="E229">
        <f>'Календарь'!D226</f>
        <v/>
      </c>
      <c r="F229">
        <f>INT((C229-Нед_Начало)/7)+1</f>
        <v/>
      </c>
      <c r="G229">
        <f>IF(E229=0,0,INDEX('Планы менеджеров'!$B$5:$M$16,B229,D229)/INDEX(Мес_Раб,D229))</f>
        <v/>
      </c>
    </row>
    <row r="230">
      <c r="A230" t="inlineStr">
        <is>
          <t>Иванов</t>
        </is>
      </c>
      <c r="B230" t="n">
        <v>5</v>
      </c>
      <c r="C230" s="18">
        <f>'Календарь'!A227</f>
        <v/>
      </c>
      <c r="D230">
        <f>MONTH(C230)</f>
        <v/>
      </c>
      <c r="E230">
        <f>'Календарь'!D227</f>
        <v/>
      </c>
      <c r="F230">
        <f>INT((C230-Нед_Начало)/7)+1</f>
        <v/>
      </c>
      <c r="G230">
        <f>IF(E230=0,0,INDEX('Планы менеджеров'!$B$5:$M$16,B230,D230)/INDEX(Мес_Раб,D230))</f>
        <v/>
      </c>
    </row>
    <row r="231">
      <c r="A231" t="inlineStr">
        <is>
          <t>Иванов</t>
        </is>
      </c>
      <c r="B231" t="n">
        <v>5</v>
      </c>
      <c r="C231" s="18">
        <f>'Календарь'!A228</f>
        <v/>
      </c>
      <c r="D231">
        <f>MONTH(C231)</f>
        <v/>
      </c>
      <c r="E231">
        <f>'Календарь'!D228</f>
        <v/>
      </c>
      <c r="F231">
        <f>INT((C231-Нед_Начало)/7)+1</f>
        <v/>
      </c>
      <c r="G231">
        <f>IF(E231=0,0,INDEX('Планы менеджеров'!$B$5:$M$16,B231,D231)/INDEX(Мес_Раб,D231))</f>
        <v/>
      </c>
    </row>
    <row r="232">
      <c r="A232" t="inlineStr">
        <is>
          <t>Иванов</t>
        </is>
      </c>
      <c r="B232" t="n">
        <v>5</v>
      </c>
      <c r="C232" s="18">
        <f>'Календарь'!A229</f>
        <v/>
      </c>
      <c r="D232">
        <f>MONTH(C232)</f>
        <v/>
      </c>
      <c r="E232">
        <f>'Календарь'!D229</f>
        <v/>
      </c>
      <c r="F232">
        <f>INT((C232-Нед_Начало)/7)+1</f>
        <v/>
      </c>
      <c r="G232">
        <f>IF(E232=0,0,INDEX('Планы менеджеров'!$B$5:$M$16,B232,D232)/INDEX(Мес_Раб,D232))</f>
        <v/>
      </c>
    </row>
    <row r="233">
      <c r="A233" t="inlineStr">
        <is>
          <t>Иванов</t>
        </is>
      </c>
      <c r="B233" t="n">
        <v>5</v>
      </c>
      <c r="C233" s="18">
        <f>'Календарь'!A230</f>
        <v/>
      </c>
      <c r="D233">
        <f>MONTH(C233)</f>
        <v/>
      </c>
      <c r="E233">
        <f>'Календарь'!D230</f>
        <v/>
      </c>
      <c r="F233">
        <f>INT((C233-Нед_Начало)/7)+1</f>
        <v/>
      </c>
      <c r="G233">
        <f>IF(E233=0,0,INDEX('Планы менеджеров'!$B$5:$M$16,B233,D233)/INDEX(Мес_Раб,D233))</f>
        <v/>
      </c>
    </row>
    <row r="234">
      <c r="A234" t="inlineStr">
        <is>
          <t>Иванов</t>
        </is>
      </c>
      <c r="B234" t="n">
        <v>5</v>
      </c>
      <c r="C234" s="18">
        <f>'Календарь'!A231</f>
        <v/>
      </c>
      <c r="D234">
        <f>MONTH(C234)</f>
        <v/>
      </c>
      <c r="E234">
        <f>'Календарь'!D231</f>
        <v/>
      </c>
      <c r="F234">
        <f>INT((C234-Нед_Начало)/7)+1</f>
        <v/>
      </c>
      <c r="G234">
        <f>IF(E234=0,0,INDEX('Планы менеджеров'!$B$5:$M$16,B234,D234)/INDEX(Мес_Раб,D234))</f>
        <v/>
      </c>
    </row>
    <row r="235">
      <c r="A235" t="inlineStr">
        <is>
          <t>Иванов</t>
        </is>
      </c>
      <c r="B235" t="n">
        <v>5</v>
      </c>
      <c r="C235" s="18">
        <f>'Календарь'!A232</f>
        <v/>
      </c>
      <c r="D235">
        <f>MONTH(C235)</f>
        <v/>
      </c>
      <c r="E235">
        <f>'Календарь'!D232</f>
        <v/>
      </c>
      <c r="F235">
        <f>INT((C235-Нед_Начало)/7)+1</f>
        <v/>
      </c>
      <c r="G235">
        <f>IF(E235=0,0,INDEX('Планы менеджеров'!$B$5:$M$16,B235,D235)/INDEX(Мес_Раб,D235))</f>
        <v/>
      </c>
    </row>
    <row r="236">
      <c r="A236" t="inlineStr">
        <is>
          <t>Иванов</t>
        </is>
      </c>
      <c r="B236" t="n">
        <v>5</v>
      </c>
      <c r="C236" s="18">
        <f>'Календарь'!A233</f>
        <v/>
      </c>
      <c r="D236">
        <f>MONTH(C236)</f>
        <v/>
      </c>
      <c r="E236">
        <f>'Календарь'!D233</f>
        <v/>
      </c>
      <c r="F236">
        <f>INT((C236-Нед_Начало)/7)+1</f>
        <v/>
      </c>
      <c r="G236">
        <f>IF(E236=0,0,INDEX('Планы менеджеров'!$B$5:$M$16,B236,D236)/INDEX(Мес_Раб,D236))</f>
        <v/>
      </c>
    </row>
    <row r="237">
      <c r="A237" t="inlineStr">
        <is>
          <t>Иванов</t>
        </is>
      </c>
      <c r="B237" t="n">
        <v>5</v>
      </c>
      <c r="C237" s="18">
        <f>'Календарь'!A234</f>
        <v/>
      </c>
      <c r="D237">
        <f>MONTH(C237)</f>
        <v/>
      </c>
      <c r="E237">
        <f>'Календарь'!D234</f>
        <v/>
      </c>
      <c r="F237">
        <f>INT((C237-Нед_Начало)/7)+1</f>
        <v/>
      </c>
      <c r="G237">
        <f>IF(E237=0,0,INDEX('Планы менеджеров'!$B$5:$M$16,B237,D237)/INDEX(Мес_Раб,D237))</f>
        <v/>
      </c>
    </row>
    <row r="238">
      <c r="A238" t="inlineStr">
        <is>
          <t>Иванов</t>
        </is>
      </c>
      <c r="B238" t="n">
        <v>5</v>
      </c>
      <c r="C238" s="18">
        <f>'Календарь'!A235</f>
        <v/>
      </c>
      <c r="D238">
        <f>MONTH(C238)</f>
        <v/>
      </c>
      <c r="E238">
        <f>'Календарь'!D235</f>
        <v/>
      </c>
      <c r="F238">
        <f>INT((C238-Нед_Начало)/7)+1</f>
        <v/>
      </c>
      <c r="G238">
        <f>IF(E238=0,0,INDEX('Планы менеджеров'!$B$5:$M$16,B238,D238)/INDEX(Мес_Раб,D238))</f>
        <v/>
      </c>
    </row>
    <row r="239">
      <c r="A239" t="inlineStr">
        <is>
          <t>Иванов</t>
        </is>
      </c>
      <c r="B239" t="n">
        <v>5</v>
      </c>
      <c r="C239" s="18">
        <f>'Календарь'!A236</f>
        <v/>
      </c>
      <c r="D239">
        <f>MONTH(C239)</f>
        <v/>
      </c>
      <c r="E239">
        <f>'Календарь'!D236</f>
        <v/>
      </c>
      <c r="F239">
        <f>INT((C239-Нед_Начало)/7)+1</f>
        <v/>
      </c>
      <c r="G239">
        <f>IF(E239=0,0,INDEX('Планы менеджеров'!$B$5:$M$16,B239,D239)/INDEX(Мес_Раб,D239))</f>
        <v/>
      </c>
    </row>
    <row r="240">
      <c r="A240" t="inlineStr">
        <is>
          <t>Иванов</t>
        </is>
      </c>
      <c r="B240" t="n">
        <v>5</v>
      </c>
      <c r="C240" s="18">
        <f>'Календарь'!A237</f>
        <v/>
      </c>
      <c r="D240">
        <f>MONTH(C240)</f>
        <v/>
      </c>
      <c r="E240">
        <f>'Календарь'!D237</f>
        <v/>
      </c>
      <c r="F240">
        <f>INT((C240-Нед_Начало)/7)+1</f>
        <v/>
      </c>
      <c r="G240">
        <f>IF(E240=0,0,INDEX('Планы менеджеров'!$B$5:$M$16,B240,D240)/INDEX(Мес_Раб,D240))</f>
        <v/>
      </c>
    </row>
    <row r="241">
      <c r="A241" t="inlineStr">
        <is>
          <t>Иванов</t>
        </is>
      </c>
      <c r="B241" t="n">
        <v>5</v>
      </c>
      <c r="C241" s="18">
        <f>'Календарь'!A238</f>
        <v/>
      </c>
      <c r="D241">
        <f>MONTH(C241)</f>
        <v/>
      </c>
      <c r="E241">
        <f>'Календарь'!D238</f>
        <v/>
      </c>
      <c r="F241">
        <f>INT((C241-Нед_Начало)/7)+1</f>
        <v/>
      </c>
      <c r="G241">
        <f>IF(E241=0,0,INDEX('Планы менеджеров'!$B$5:$M$16,B241,D241)/INDEX(Мес_Раб,D241))</f>
        <v/>
      </c>
    </row>
    <row r="242">
      <c r="A242" t="inlineStr">
        <is>
          <t>Иванов</t>
        </is>
      </c>
      <c r="B242" t="n">
        <v>5</v>
      </c>
      <c r="C242" s="18">
        <f>'Календарь'!A239</f>
        <v/>
      </c>
      <c r="D242">
        <f>MONTH(C242)</f>
        <v/>
      </c>
      <c r="E242">
        <f>'Календарь'!D239</f>
        <v/>
      </c>
      <c r="F242">
        <f>INT((C242-Нед_Начало)/7)+1</f>
        <v/>
      </c>
      <c r="G242">
        <f>IF(E242=0,0,INDEX('Планы менеджеров'!$B$5:$M$16,B242,D242)/INDEX(Мес_Раб,D242))</f>
        <v/>
      </c>
    </row>
    <row r="243">
      <c r="A243" t="inlineStr">
        <is>
          <t>Иванов</t>
        </is>
      </c>
      <c r="B243" t="n">
        <v>5</v>
      </c>
      <c r="C243" s="18">
        <f>'Календарь'!A240</f>
        <v/>
      </c>
      <c r="D243">
        <f>MONTH(C243)</f>
        <v/>
      </c>
      <c r="E243">
        <f>'Календарь'!D240</f>
        <v/>
      </c>
      <c r="F243">
        <f>INT((C243-Нед_Начало)/7)+1</f>
        <v/>
      </c>
      <c r="G243">
        <f>IF(E243=0,0,INDEX('Планы менеджеров'!$B$5:$M$16,B243,D243)/INDEX(Мес_Раб,D243))</f>
        <v/>
      </c>
    </row>
    <row r="244">
      <c r="A244" t="inlineStr">
        <is>
          <t>Иванов</t>
        </is>
      </c>
      <c r="B244" t="n">
        <v>5</v>
      </c>
      <c r="C244" s="18">
        <f>'Календарь'!A241</f>
        <v/>
      </c>
      <c r="D244">
        <f>MONTH(C244)</f>
        <v/>
      </c>
      <c r="E244">
        <f>'Календарь'!D241</f>
        <v/>
      </c>
      <c r="F244">
        <f>INT((C244-Нед_Начало)/7)+1</f>
        <v/>
      </c>
      <c r="G244">
        <f>IF(E244=0,0,INDEX('Планы менеджеров'!$B$5:$M$16,B244,D244)/INDEX(Мес_Раб,D244))</f>
        <v/>
      </c>
    </row>
    <row r="245">
      <c r="A245" t="inlineStr">
        <is>
          <t>Иванов</t>
        </is>
      </c>
      <c r="B245" t="n">
        <v>5</v>
      </c>
      <c r="C245" s="18">
        <f>'Календарь'!A242</f>
        <v/>
      </c>
      <c r="D245">
        <f>MONTH(C245)</f>
        <v/>
      </c>
      <c r="E245">
        <f>'Календарь'!D242</f>
        <v/>
      </c>
      <c r="F245">
        <f>INT((C245-Нед_Начало)/7)+1</f>
        <v/>
      </c>
      <c r="G245">
        <f>IF(E245=0,0,INDEX('Планы менеджеров'!$B$5:$M$16,B245,D245)/INDEX(Мес_Раб,D245))</f>
        <v/>
      </c>
    </row>
    <row r="246">
      <c r="A246" t="inlineStr">
        <is>
          <t>Иванов</t>
        </is>
      </c>
      <c r="B246" t="n">
        <v>5</v>
      </c>
      <c r="C246" s="18">
        <f>'Календарь'!A243</f>
        <v/>
      </c>
      <c r="D246">
        <f>MONTH(C246)</f>
        <v/>
      </c>
      <c r="E246">
        <f>'Календарь'!D243</f>
        <v/>
      </c>
      <c r="F246">
        <f>INT((C246-Нед_Начало)/7)+1</f>
        <v/>
      </c>
      <c r="G246">
        <f>IF(E246=0,0,INDEX('Планы менеджеров'!$B$5:$M$16,B246,D246)/INDEX(Мес_Раб,D246))</f>
        <v/>
      </c>
    </row>
    <row r="247">
      <c r="A247" t="inlineStr">
        <is>
          <t>Иванов</t>
        </is>
      </c>
      <c r="B247" t="n">
        <v>5</v>
      </c>
      <c r="C247" s="18">
        <f>'Календарь'!A244</f>
        <v/>
      </c>
      <c r="D247">
        <f>MONTH(C247)</f>
        <v/>
      </c>
      <c r="E247">
        <f>'Календарь'!D244</f>
        <v/>
      </c>
      <c r="F247">
        <f>INT((C247-Нед_Начало)/7)+1</f>
        <v/>
      </c>
      <c r="G247">
        <f>IF(E247=0,0,INDEX('Планы менеджеров'!$B$5:$M$16,B247,D247)/INDEX(Мес_Раб,D247))</f>
        <v/>
      </c>
    </row>
    <row r="248">
      <c r="A248" t="inlineStr">
        <is>
          <t>Иванов</t>
        </is>
      </c>
      <c r="B248" t="n">
        <v>5</v>
      </c>
      <c r="C248" s="18">
        <f>'Календарь'!A245</f>
        <v/>
      </c>
      <c r="D248">
        <f>MONTH(C248)</f>
        <v/>
      </c>
      <c r="E248">
        <f>'Календарь'!D245</f>
        <v/>
      </c>
      <c r="F248">
        <f>INT((C248-Нед_Начало)/7)+1</f>
        <v/>
      </c>
      <c r="G248">
        <f>IF(E248=0,0,INDEX('Планы менеджеров'!$B$5:$M$16,B248,D248)/INDEX(Мес_Раб,D248))</f>
        <v/>
      </c>
    </row>
    <row r="249">
      <c r="A249" t="inlineStr">
        <is>
          <t>Иванов</t>
        </is>
      </c>
      <c r="B249" t="n">
        <v>5</v>
      </c>
      <c r="C249" s="18">
        <f>'Календарь'!A246</f>
        <v/>
      </c>
      <c r="D249">
        <f>MONTH(C249)</f>
        <v/>
      </c>
      <c r="E249">
        <f>'Календарь'!D246</f>
        <v/>
      </c>
      <c r="F249">
        <f>INT((C249-Нед_Начало)/7)+1</f>
        <v/>
      </c>
      <c r="G249">
        <f>IF(E249=0,0,INDEX('Планы менеджеров'!$B$5:$M$16,B249,D249)/INDEX(Мес_Раб,D249))</f>
        <v/>
      </c>
    </row>
    <row r="250">
      <c r="A250" t="inlineStr">
        <is>
          <t>Иванов</t>
        </is>
      </c>
      <c r="B250" t="n">
        <v>5</v>
      </c>
      <c r="C250" s="18">
        <f>'Календарь'!A247</f>
        <v/>
      </c>
      <c r="D250">
        <f>MONTH(C250)</f>
        <v/>
      </c>
      <c r="E250">
        <f>'Календарь'!D247</f>
        <v/>
      </c>
      <c r="F250">
        <f>INT((C250-Нед_Начало)/7)+1</f>
        <v/>
      </c>
      <c r="G250">
        <f>IF(E250=0,0,INDEX('Планы менеджеров'!$B$5:$M$16,B250,D250)/INDEX(Мес_Раб,D250))</f>
        <v/>
      </c>
    </row>
    <row r="251">
      <c r="A251" t="inlineStr">
        <is>
          <t>Иванов</t>
        </is>
      </c>
      <c r="B251" t="n">
        <v>5</v>
      </c>
      <c r="C251" s="18">
        <f>'Календарь'!A248</f>
        <v/>
      </c>
      <c r="D251">
        <f>MONTH(C251)</f>
        <v/>
      </c>
      <c r="E251">
        <f>'Календарь'!D248</f>
        <v/>
      </c>
      <c r="F251">
        <f>INT((C251-Нед_Начало)/7)+1</f>
        <v/>
      </c>
      <c r="G251">
        <f>IF(E251=0,0,INDEX('Планы менеджеров'!$B$5:$M$16,B251,D251)/INDEX(Мес_Раб,D251))</f>
        <v/>
      </c>
    </row>
    <row r="252">
      <c r="A252" t="inlineStr">
        <is>
          <t>Иванов</t>
        </is>
      </c>
      <c r="B252" t="n">
        <v>5</v>
      </c>
      <c r="C252" s="18">
        <f>'Календарь'!A249</f>
        <v/>
      </c>
      <c r="D252">
        <f>MONTH(C252)</f>
        <v/>
      </c>
      <c r="E252">
        <f>'Календарь'!D249</f>
        <v/>
      </c>
      <c r="F252">
        <f>INT((C252-Нед_Начало)/7)+1</f>
        <v/>
      </c>
      <c r="G252">
        <f>IF(E252=0,0,INDEX('Планы менеджеров'!$B$5:$M$16,B252,D252)/INDEX(Мес_Раб,D252))</f>
        <v/>
      </c>
    </row>
    <row r="253">
      <c r="A253" t="inlineStr">
        <is>
          <t>Иванов</t>
        </is>
      </c>
      <c r="B253" t="n">
        <v>5</v>
      </c>
      <c r="C253" s="18">
        <f>'Календарь'!A250</f>
        <v/>
      </c>
      <c r="D253">
        <f>MONTH(C253)</f>
        <v/>
      </c>
      <c r="E253">
        <f>'Календарь'!D250</f>
        <v/>
      </c>
      <c r="F253">
        <f>INT((C253-Нед_Начало)/7)+1</f>
        <v/>
      </c>
      <c r="G253">
        <f>IF(E253=0,0,INDEX('Планы менеджеров'!$B$5:$M$16,B253,D253)/INDEX(Мес_Раб,D253))</f>
        <v/>
      </c>
    </row>
    <row r="254">
      <c r="A254" t="inlineStr">
        <is>
          <t>Иванов</t>
        </is>
      </c>
      <c r="B254" t="n">
        <v>5</v>
      </c>
      <c r="C254" s="18">
        <f>'Календарь'!A251</f>
        <v/>
      </c>
      <c r="D254">
        <f>MONTH(C254)</f>
        <v/>
      </c>
      <c r="E254">
        <f>'Календарь'!D251</f>
        <v/>
      </c>
      <c r="F254">
        <f>INT((C254-Нед_Начало)/7)+1</f>
        <v/>
      </c>
      <c r="G254">
        <f>IF(E254=0,0,INDEX('Планы менеджеров'!$B$5:$M$16,B254,D254)/INDEX(Мес_Раб,D254))</f>
        <v/>
      </c>
    </row>
    <row r="255">
      <c r="A255" t="inlineStr">
        <is>
          <t>Иванов</t>
        </is>
      </c>
      <c r="B255" t="n">
        <v>5</v>
      </c>
      <c r="C255" s="18">
        <f>'Календарь'!A252</f>
        <v/>
      </c>
      <c r="D255">
        <f>MONTH(C255)</f>
        <v/>
      </c>
      <c r="E255">
        <f>'Календарь'!D252</f>
        <v/>
      </c>
      <c r="F255">
        <f>INT((C255-Нед_Начало)/7)+1</f>
        <v/>
      </c>
      <c r="G255">
        <f>IF(E255=0,0,INDEX('Планы менеджеров'!$B$5:$M$16,B255,D255)/INDEX(Мес_Раб,D255))</f>
        <v/>
      </c>
    </row>
    <row r="256">
      <c r="A256" t="inlineStr">
        <is>
          <t>Иванов</t>
        </is>
      </c>
      <c r="B256" t="n">
        <v>5</v>
      </c>
      <c r="C256" s="18">
        <f>'Календарь'!A253</f>
        <v/>
      </c>
      <c r="D256">
        <f>MONTH(C256)</f>
        <v/>
      </c>
      <c r="E256">
        <f>'Календарь'!D253</f>
        <v/>
      </c>
      <c r="F256">
        <f>INT((C256-Нед_Начало)/7)+1</f>
        <v/>
      </c>
      <c r="G256">
        <f>IF(E256=0,0,INDEX('Планы менеджеров'!$B$5:$M$16,B256,D256)/INDEX(Мес_Раб,D256))</f>
        <v/>
      </c>
    </row>
    <row r="257">
      <c r="A257" t="inlineStr">
        <is>
          <t>Иванов</t>
        </is>
      </c>
      <c r="B257" t="n">
        <v>5</v>
      </c>
      <c r="C257" s="18">
        <f>'Календарь'!A254</f>
        <v/>
      </c>
      <c r="D257">
        <f>MONTH(C257)</f>
        <v/>
      </c>
      <c r="E257">
        <f>'Календарь'!D254</f>
        <v/>
      </c>
      <c r="F257">
        <f>INT((C257-Нед_Начало)/7)+1</f>
        <v/>
      </c>
      <c r="G257">
        <f>IF(E257=0,0,INDEX('Планы менеджеров'!$B$5:$M$16,B257,D257)/INDEX(Мес_Раб,D257))</f>
        <v/>
      </c>
    </row>
    <row r="258">
      <c r="A258" t="inlineStr">
        <is>
          <t>Иванов</t>
        </is>
      </c>
      <c r="B258" t="n">
        <v>5</v>
      </c>
      <c r="C258" s="18">
        <f>'Календарь'!A255</f>
        <v/>
      </c>
      <c r="D258">
        <f>MONTH(C258)</f>
        <v/>
      </c>
      <c r="E258">
        <f>'Календарь'!D255</f>
        <v/>
      </c>
      <c r="F258">
        <f>INT((C258-Нед_Начало)/7)+1</f>
        <v/>
      </c>
      <c r="G258">
        <f>IF(E258=0,0,INDEX('Планы менеджеров'!$B$5:$M$16,B258,D258)/INDEX(Мес_Раб,D258))</f>
        <v/>
      </c>
    </row>
    <row r="259">
      <c r="A259" t="inlineStr">
        <is>
          <t>Иванов</t>
        </is>
      </c>
      <c r="B259" t="n">
        <v>5</v>
      </c>
      <c r="C259" s="18">
        <f>'Календарь'!A256</f>
        <v/>
      </c>
      <c r="D259">
        <f>MONTH(C259)</f>
        <v/>
      </c>
      <c r="E259">
        <f>'Календарь'!D256</f>
        <v/>
      </c>
      <c r="F259">
        <f>INT((C259-Нед_Начало)/7)+1</f>
        <v/>
      </c>
      <c r="G259">
        <f>IF(E259=0,0,INDEX('Планы менеджеров'!$B$5:$M$16,B259,D259)/INDEX(Мес_Раб,D259))</f>
        <v/>
      </c>
    </row>
    <row r="260">
      <c r="A260" t="inlineStr">
        <is>
          <t>Иванов</t>
        </is>
      </c>
      <c r="B260" t="n">
        <v>5</v>
      </c>
      <c r="C260" s="18">
        <f>'Календарь'!A257</f>
        <v/>
      </c>
      <c r="D260">
        <f>MONTH(C260)</f>
        <v/>
      </c>
      <c r="E260">
        <f>'Календарь'!D257</f>
        <v/>
      </c>
      <c r="F260">
        <f>INT((C260-Нед_Начало)/7)+1</f>
        <v/>
      </c>
      <c r="G260">
        <f>IF(E260=0,0,INDEX('Планы менеджеров'!$B$5:$M$16,B260,D260)/INDEX(Мес_Раб,D260))</f>
        <v/>
      </c>
    </row>
    <row r="261">
      <c r="A261" t="inlineStr">
        <is>
          <t>Иванов</t>
        </is>
      </c>
      <c r="B261" t="n">
        <v>5</v>
      </c>
      <c r="C261" s="18">
        <f>'Календарь'!A258</f>
        <v/>
      </c>
      <c r="D261">
        <f>MONTH(C261)</f>
        <v/>
      </c>
      <c r="E261">
        <f>'Календарь'!D258</f>
        <v/>
      </c>
      <c r="F261">
        <f>INT((C261-Нед_Начало)/7)+1</f>
        <v/>
      </c>
      <c r="G261">
        <f>IF(E261=0,0,INDEX('Планы менеджеров'!$B$5:$M$16,B261,D261)/INDEX(Мес_Раб,D261))</f>
        <v/>
      </c>
    </row>
    <row r="262">
      <c r="A262" t="inlineStr">
        <is>
          <t>Иванов</t>
        </is>
      </c>
      <c r="B262" t="n">
        <v>5</v>
      </c>
      <c r="C262" s="18">
        <f>'Календарь'!A259</f>
        <v/>
      </c>
      <c r="D262">
        <f>MONTH(C262)</f>
        <v/>
      </c>
      <c r="E262">
        <f>'Календарь'!D259</f>
        <v/>
      </c>
      <c r="F262">
        <f>INT((C262-Нед_Начало)/7)+1</f>
        <v/>
      </c>
      <c r="G262">
        <f>IF(E262=0,0,INDEX('Планы менеджеров'!$B$5:$M$16,B262,D262)/INDEX(Мес_Раб,D262))</f>
        <v/>
      </c>
    </row>
    <row r="263">
      <c r="A263" t="inlineStr">
        <is>
          <t>Иванов</t>
        </is>
      </c>
      <c r="B263" t="n">
        <v>5</v>
      </c>
      <c r="C263" s="18">
        <f>'Календарь'!A260</f>
        <v/>
      </c>
      <c r="D263">
        <f>MONTH(C263)</f>
        <v/>
      </c>
      <c r="E263">
        <f>'Календарь'!D260</f>
        <v/>
      </c>
      <c r="F263">
        <f>INT((C263-Нед_Начало)/7)+1</f>
        <v/>
      </c>
      <c r="G263">
        <f>IF(E263=0,0,INDEX('Планы менеджеров'!$B$5:$M$16,B263,D263)/INDEX(Мес_Раб,D263))</f>
        <v/>
      </c>
    </row>
    <row r="264">
      <c r="A264" t="inlineStr">
        <is>
          <t>Иванов</t>
        </is>
      </c>
      <c r="B264" t="n">
        <v>5</v>
      </c>
      <c r="C264" s="18">
        <f>'Календарь'!A261</f>
        <v/>
      </c>
      <c r="D264">
        <f>MONTH(C264)</f>
        <v/>
      </c>
      <c r="E264">
        <f>'Календарь'!D261</f>
        <v/>
      </c>
      <c r="F264">
        <f>INT((C264-Нед_Начало)/7)+1</f>
        <v/>
      </c>
      <c r="G264">
        <f>IF(E264=0,0,INDEX('Планы менеджеров'!$B$5:$M$16,B264,D264)/INDEX(Мес_Раб,D264))</f>
        <v/>
      </c>
    </row>
    <row r="265">
      <c r="A265" t="inlineStr">
        <is>
          <t>Иванов</t>
        </is>
      </c>
      <c r="B265" t="n">
        <v>5</v>
      </c>
      <c r="C265" s="18">
        <f>'Календарь'!A262</f>
        <v/>
      </c>
      <c r="D265">
        <f>MONTH(C265)</f>
        <v/>
      </c>
      <c r="E265">
        <f>'Календарь'!D262</f>
        <v/>
      </c>
      <c r="F265">
        <f>INT((C265-Нед_Начало)/7)+1</f>
        <v/>
      </c>
      <c r="G265">
        <f>IF(E265=0,0,INDEX('Планы менеджеров'!$B$5:$M$16,B265,D265)/INDEX(Мес_Раб,D265))</f>
        <v/>
      </c>
    </row>
    <row r="266">
      <c r="A266" t="inlineStr">
        <is>
          <t>Иванов</t>
        </is>
      </c>
      <c r="B266" t="n">
        <v>5</v>
      </c>
      <c r="C266" s="18">
        <f>'Календарь'!A263</f>
        <v/>
      </c>
      <c r="D266">
        <f>MONTH(C266)</f>
        <v/>
      </c>
      <c r="E266">
        <f>'Календарь'!D263</f>
        <v/>
      </c>
      <c r="F266">
        <f>INT((C266-Нед_Начало)/7)+1</f>
        <v/>
      </c>
      <c r="G266">
        <f>IF(E266=0,0,INDEX('Планы менеджеров'!$B$5:$M$16,B266,D266)/INDEX(Мес_Раб,D266))</f>
        <v/>
      </c>
    </row>
    <row r="267">
      <c r="A267" t="inlineStr">
        <is>
          <t>Иванов</t>
        </is>
      </c>
      <c r="B267" t="n">
        <v>5</v>
      </c>
      <c r="C267" s="18">
        <f>'Календарь'!A264</f>
        <v/>
      </c>
      <c r="D267">
        <f>MONTH(C267)</f>
        <v/>
      </c>
      <c r="E267">
        <f>'Календарь'!D264</f>
        <v/>
      </c>
      <c r="F267">
        <f>INT((C267-Нед_Начало)/7)+1</f>
        <v/>
      </c>
      <c r="G267">
        <f>IF(E267=0,0,INDEX('Планы менеджеров'!$B$5:$M$16,B267,D267)/INDEX(Мес_Раб,D267))</f>
        <v/>
      </c>
    </row>
    <row r="268">
      <c r="A268" t="inlineStr">
        <is>
          <t>Иванов</t>
        </is>
      </c>
      <c r="B268" t="n">
        <v>5</v>
      </c>
      <c r="C268" s="18">
        <f>'Календарь'!A265</f>
        <v/>
      </c>
      <c r="D268">
        <f>MONTH(C268)</f>
        <v/>
      </c>
      <c r="E268">
        <f>'Календарь'!D265</f>
        <v/>
      </c>
      <c r="F268">
        <f>INT((C268-Нед_Начало)/7)+1</f>
        <v/>
      </c>
      <c r="G268">
        <f>IF(E268=0,0,INDEX('Планы менеджеров'!$B$5:$M$16,B268,D268)/INDEX(Мес_Раб,D268))</f>
        <v/>
      </c>
    </row>
    <row r="269">
      <c r="A269" t="inlineStr">
        <is>
          <t>Иванов</t>
        </is>
      </c>
      <c r="B269" t="n">
        <v>5</v>
      </c>
      <c r="C269" s="18">
        <f>'Календарь'!A266</f>
        <v/>
      </c>
      <c r="D269">
        <f>MONTH(C269)</f>
        <v/>
      </c>
      <c r="E269">
        <f>'Календарь'!D266</f>
        <v/>
      </c>
      <c r="F269">
        <f>INT((C269-Нед_Начало)/7)+1</f>
        <v/>
      </c>
      <c r="G269">
        <f>IF(E269=0,0,INDEX('Планы менеджеров'!$B$5:$M$16,B269,D269)/INDEX(Мес_Раб,D269))</f>
        <v/>
      </c>
    </row>
    <row r="270">
      <c r="A270" t="inlineStr">
        <is>
          <t>Иванов</t>
        </is>
      </c>
      <c r="B270" t="n">
        <v>5</v>
      </c>
      <c r="C270" s="18">
        <f>'Календарь'!A267</f>
        <v/>
      </c>
      <c r="D270">
        <f>MONTH(C270)</f>
        <v/>
      </c>
      <c r="E270">
        <f>'Календарь'!D267</f>
        <v/>
      </c>
      <c r="F270">
        <f>INT((C270-Нед_Начало)/7)+1</f>
        <v/>
      </c>
      <c r="G270">
        <f>IF(E270=0,0,INDEX('Планы менеджеров'!$B$5:$M$16,B270,D270)/INDEX(Мес_Раб,D270))</f>
        <v/>
      </c>
    </row>
    <row r="271">
      <c r="A271" t="inlineStr">
        <is>
          <t>Иванов</t>
        </is>
      </c>
      <c r="B271" t="n">
        <v>5</v>
      </c>
      <c r="C271" s="18">
        <f>'Календарь'!A268</f>
        <v/>
      </c>
      <c r="D271">
        <f>MONTH(C271)</f>
        <v/>
      </c>
      <c r="E271">
        <f>'Календарь'!D268</f>
        <v/>
      </c>
      <c r="F271">
        <f>INT((C271-Нед_Начало)/7)+1</f>
        <v/>
      </c>
      <c r="G271">
        <f>IF(E271=0,0,INDEX('Планы менеджеров'!$B$5:$M$16,B271,D271)/INDEX(Мес_Раб,D271))</f>
        <v/>
      </c>
    </row>
    <row r="272">
      <c r="A272" t="inlineStr">
        <is>
          <t>Иванов</t>
        </is>
      </c>
      <c r="B272" t="n">
        <v>5</v>
      </c>
      <c r="C272" s="18">
        <f>'Календарь'!A269</f>
        <v/>
      </c>
      <c r="D272">
        <f>MONTH(C272)</f>
        <v/>
      </c>
      <c r="E272">
        <f>'Календарь'!D269</f>
        <v/>
      </c>
      <c r="F272">
        <f>INT((C272-Нед_Начало)/7)+1</f>
        <v/>
      </c>
      <c r="G272">
        <f>IF(E272=0,0,INDEX('Планы менеджеров'!$B$5:$M$16,B272,D272)/INDEX(Мес_Раб,D272))</f>
        <v/>
      </c>
    </row>
    <row r="273">
      <c r="A273" t="inlineStr">
        <is>
          <t>Иванов</t>
        </is>
      </c>
      <c r="B273" t="n">
        <v>5</v>
      </c>
      <c r="C273" s="18">
        <f>'Календарь'!A270</f>
        <v/>
      </c>
      <c r="D273">
        <f>MONTH(C273)</f>
        <v/>
      </c>
      <c r="E273">
        <f>'Календарь'!D270</f>
        <v/>
      </c>
      <c r="F273">
        <f>INT((C273-Нед_Начало)/7)+1</f>
        <v/>
      </c>
      <c r="G273">
        <f>IF(E273=0,0,INDEX('Планы менеджеров'!$B$5:$M$16,B273,D273)/INDEX(Мес_Раб,D273))</f>
        <v/>
      </c>
    </row>
    <row r="274">
      <c r="A274" t="inlineStr">
        <is>
          <t>Иванов</t>
        </is>
      </c>
      <c r="B274" t="n">
        <v>5</v>
      </c>
      <c r="C274" s="18">
        <f>'Календарь'!A271</f>
        <v/>
      </c>
      <c r="D274">
        <f>MONTH(C274)</f>
        <v/>
      </c>
      <c r="E274">
        <f>'Календарь'!D271</f>
        <v/>
      </c>
      <c r="F274">
        <f>INT((C274-Нед_Начало)/7)+1</f>
        <v/>
      </c>
      <c r="G274">
        <f>IF(E274=0,0,INDEX('Планы менеджеров'!$B$5:$M$16,B274,D274)/INDEX(Мес_Раб,D274))</f>
        <v/>
      </c>
    </row>
    <row r="275">
      <c r="A275" t="inlineStr">
        <is>
          <t>Иванов</t>
        </is>
      </c>
      <c r="B275" t="n">
        <v>5</v>
      </c>
      <c r="C275" s="18">
        <f>'Календарь'!A272</f>
        <v/>
      </c>
      <c r="D275">
        <f>MONTH(C275)</f>
        <v/>
      </c>
      <c r="E275">
        <f>'Календарь'!D272</f>
        <v/>
      </c>
      <c r="F275">
        <f>INT((C275-Нед_Начало)/7)+1</f>
        <v/>
      </c>
      <c r="G275">
        <f>IF(E275=0,0,INDEX('Планы менеджеров'!$B$5:$M$16,B275,D275)/INDEX(Мес_Раб,D275))</f>
        <v/>
      </c>
    </row>
    <row r="276">
      <c r="A276" t="inlineStr">
        <is>
          <t>Иванов</t>
        </is>
      </c>
      <c r="B276" t="n">
        <v>5</v>
      </c>
      <c r="C276" s="18">
        <f>'Календарь'!A273</f>
        <v/>
      </c>
      <c r="D276">
        <f>MONTH(C276)</f>
        <v/>
      </c>
      <c r="E276">
        <f>'Календарь'!D273</f>
        <v/>
      </c>
      <c r="F276">
        <f>INT((C276-Нед_Начало)/7)+1</f>
        <v/>
      </c>
      <c r="G276">
        <f>IF(E276=0,0,INDEX('Планы менеджеров'!$B$5:$M$16,B276,D276)/INDEX(Мес_Раб,D276))</f>
        <v/>
      </c>
    </row>
    <row r="277">
      <c r="A277" t="inlineStr">
        <is>
          <t>Иванов</t>
        </is>
      </c>
      <c r="B277" t="n">
        <v>5</v>
      </c>
      <c r="C277" s="18">
        <f>'Календарь'!A274</f>
        <v/>
      </c>
      <c r="D277">
        <f>MONTH(C277)</f>
        <v/>
      </c>
      <c r="E277">
        <f>'Календарь'!D274</f>
        <v/>
      </c>
      <c r="F277">
        <f>INT((C277-Нед_Начало)/7)+1</f>
        <v/>
      </c>
      <c r="G277">
        <f>IF(E277=0,0,INDEX('Планы менеджеров'!$B$5:$M$16,B277,D277)/INDEX(Мес_Раб,D277))</f>
        <v/>
      </c>
    </row>
    <row r="278">
      <c r="A278" t="inlineStr">
        <is>
          <t>Иванов</t>
        </is>
      </c>
      <c r="B278" t="n">
        <v>5</v>
      </c>
      <c r="C278" s="18">
        <f>'Календарь'!A275</f>
        <v/>
      </c>
      <c r="D278">
        <f>MONTH(C278)</f>
        <v/>
      </c>
      <c r="E278">
        <f>'Календарь'!D275</f>
        <v/>
      </c>
      <c r="F278">
        <f>INT((C278-Нед_Начало)/7)+1</f>
        <v/>
      </c>
      <c r="G278">
        <f>IF(E278=0,0,INDEX('Планы менеджеров'!$B$5:$M$16,B278,D278)/INDEX(Мес_Раб,D278))</f>
        <v/>
      </c>
    </row>
    <row r="279">
      <c r="A279" t="inlineStr">
        <is>
          <t>Иванов</t>
        </is>
      </c>
      <c r="B279" t="n">
        <v>5</v>
      </c>
      <c r="C279" s="18">
        <f>'Календарь'!A276</f>
        <v/>
      </c>
      <c r="D279">
        <f>MONTH(C279)</f>
        <v/>
      </c>
      <c r="E279">
        <f>'Календарь'!D276</f>
        <v/>
      </c>
      <c r="F279">
        <f>INT((C279-Нед_Начало)/7)+1</f>
        <v/>
      </c>
      <c r="G279">
        <f>IF(E279=0,0,INDEX('Планы менеджеров'!$B$5:$M$16,B279,D279)/INDEX(Мес_Раб,D279))</f>
        <v/>
      </c>
    </row>
    <row r="280">
      <c r="A280" t="inlineStr">
        <is>
          <t>Иванов</t>
        </is>
      </c>
      <c r="B280" t="n">
        <v>5</v>
      </c>
      <c r="C280" s="18">
        <f>'Календарь'!A277</f>
        <v/>
      </c>
      <c r="D280">
        <f>MONTH(C280)</f>
        <v/>
      </c>
      <c r="E280">
        <f>'Календарь'!D277</f>
        <v/>
      </c>
      <c r="F280">
        <f>INT((C280-Нед_Начало)/7)+1</f>
        <v/>
      </c>
      <c r="G280">
        <f>IF(E280=0,0,INDEX('Планы менеджеров'!$B$5:$M$16,B280,D280)/INDEX(Мес_Раб,D280))</f>
        <v/>
      </c>
    </row>
    <row r="281">
      <c r="A281" t="inlineStr">
        <is>
          <t>Иванов</t>
        </is>
      </c>
      <c r="B281" t="n">
        <v>5</v>
      </c>
      <c r="C281" s="18">
        <f>'Календарь'!A278</f>
        <v/>
      </c>
      <c r="D281">
        <f>MONTH(C281)</f>
        <v/>
      </c>
      <c r="E281">
        <f>'Календарь'!D278</f>
        <v/>
      </c>
      <c r="F281">
        <f>INT((C281-Нед_Начало)/7)+1</f>
        <v/>
      </c>
      <c r="G281">
        <f>IF(E281=0,0,INDEX('Планы менеджеров'!$B$5:$M$16,B281,D281)/INDEX(Мес_Раб,D281))</f>
        <v/>
      </c>
    </row>
    <row r="282">
      <c r="A282" t="inlineStr">
        <is>
          <t>Иванов</t>
        </is>
      </c>
      <c r="B282" t="n">
        <v>5</v>
      </c>
      <c r="C282" s="18">
        <f>'Календарь'!A279</f>
        <v/>
      </c>
      <c r="D282">
        <f>MONTH(C282)</f>
        <v/>
      </c>
      <c r="E282">
        <f>'Календарь'!D279</f>
        <v/>
      </c>
      <c r="F282">
        <f>INT((C282-Нед_Начало)/7)+1</f>
        <v/>
      </c>
      <c r="G282">
        <f>IF(E282=0,0,INDEX('Планы менеджеров'!$B$5:$M$16,B282,D282)/INDEX(Мес_Раб,D282))</f>
        <v/>
      </c>
    </row>
    <row r="283">
      <c r="A283" t="inlineStr">
        <is>
          <t>Иванов</t>
        </is>
      </c>
      <c r="B283" t="n">
        <v>5</v>
      </c>
      <c r="C283" s="18">
        <f>'Календарь'!A280</f>
        <v/>
      </c>
      <c r="D283">
        <f>MONTH(C283)</f>
        <v/>
      </c>
      <c r="E283">
        <f>'Календарь'!D280</f>
        <v/>
      </c>
      <c r="F283">
        <f>INT((C283-Нед_Начало)/7)+1</f>
        <v/>
      </c>
      <c r="G283">
        <f>IF(E283=0,0,INDEX('Планы менеджеров'!$B$5:$M$16,B283,D283)/INDEX(Мес_Раб,D283))</f>
        <v/>
      </c>
    </row>
    <row r="284">
      <c r="A284" t="inlineStr">
        <is>
          <t>Иванов</t>
        </is>
      </c>
      <c r="B284" t="n">
        <v>5</v>
      </c>
      <c r="C284" s="18">
        <f>'Календарь'!A281</f>
        <v/>
      </c>
      <c r="D284">
        <f>MONTH(C284)</f>
        <v/>
      </c>
      <c r="E284">
        <f>'Календарь'!D281</f>
        <v/>
      </c>
      <c r="F284">
        <f>INT((C284-Нед_Начало)/7)+1</f>
        <v/>
      </c>
      <c r="G284">
        <f>IF(E284=0,0,INDEX('Планы менеджеров'!$B$5:$M$16,B284,D284)/INDEX(Мес_Раб,D284))</f>
        <v/>
      </c>
    </row>
    <row r="285">
      <c r="A285" t="inlineStr">
        <is>
          <t>Иванов</t>
        </is>
      </c>
      <c r="B285" t="n">
        <v>5</v>
      </c>
      <c r="C285" s="18">
        <f>'Календарь'!A282</f>
        <v/>
      </c>
      <c r="D285">
        <f>MONTH(C285)</f>
        <v/>
      </c>
      <c r="E285">
        <f>'Календарь'!D282</f>
        <v/>
      </c>
      <c r="F285">
        <f>INT((C285-Нед_Начало)/7)+1</f>
        <v/>
      </c>
      <c r="G285">
        <f>IF(E285=0,0,INDEX('Планы менеджеров'!$B$5:$M$16,B285,D285)/INDEX(Мес_Раб,D285))</f>
        <v/>
      </c>
    </row>
    <row r="286">
      <c r="A286" t="inlineStr">
        <is>
          <t>Иванов</t>
        </is>
      </c>
      <c r="B286" t="n">
        <v>5</v>
      </c>
      <c r="C286" s="18">
        <f>'Календарь'!A283</f>
        <v/>
      </c>
      <c r="D286">
        <f>MONTH(C286)</f>
        <v/>
      </c>
      <c r="E286">
        <f>'Календарь'!D283</f>
        <v/>
      </c>
      <c r="F286">
        <f>INT((C286-Нед_Начало)/7)+1</f>
        <v/>
      </c>
      <c r="G286">
        <f>IF(E286=0,0,INDEX('Планы менеджеров'!$B$5:$M$16,B286,D286)/INDEX(Мес_Раб,D286))</f>
        <v/>
      </c>
    </row>
    <row r="287">
      <c r="A287" t="inlineStr">
        <is>
          <t>Иванов</t>
        </is>
      </c>
      <c r="B287" t="n">
        <v>5</v>
      </c>
      <c r="C287" s="18">
        <f>'Календарь'!A284</f>
        <v/>
      </c>
      <c r="D287">
        <f>MONTH(C287)</f>
        <v/>
      </c>
      <c r="E287">
        <f>'Календарь'!D284</f>
        <v/>
      </c>
      <c r="F287">
        <f>INT((C287-Нед_Начало)/7)+1</f>
        <v/>
      </c>
      <c r="G287">
        <f>IF(E287=0,0,INDEX('Планы менеджеров'!$B$5:$M$16,B287,D287)/INDEX(Мес_Раб,D287))</f>
        <v/>
      </c>
    </row>
    <row r="288">
      <c r="A288" t="inlineStr">
        <is>
          <t>Иванов</t>
        </is>
      </c>
      <c r="B288" t="n">
        <v>5</v>
      </c>
      <c r="C288" s="18">
        <f>'Календарь'!A285</f>
        <v/>
      </c>
      <c r="D288">
        <f>MONTH(C288)</f>
        <v/>
      </c>
      <c r="E288">
        <f>'Календарь'!D285</f>
        <v/>
      </c>
      <c r="F288">
        <f>INT((C288-Нед_Начало)/7)+1</f>
        <v/>
      </c>
      <c r="G288">
        <f>IF(E288=0,0,INDEX('Планы менеджеров'!$B$5:$M$16,B288,D288)/INDEX(Мес_Раб,D288))</f>
        <v/>
      </c>
    </row>
    <row r="289">
      <c r="A289" t="inlineStr">
        <is>
          <t>Иванов</t>
        </is>
      </c>
      <c r="B289" t="n">
        <v>5</v>
      </c>
      <c r="C289" s="18">
        <f>'Календарь'!A286</f>
        <v/>
      </c>
      <c r="D289">
        <f>MONTH(C289)</f>
        <v/>
      </c>
      <c r="E289">
        <f>'Календарь'!D286</f>
        <v/>
      </c>
      <c r="F289">
        <f>INT((C289-Нед_Начало)/7)+1</f>
        <v/>
      </c>
      <c r="G289">
        <f>IF(E289=0,0,INDEX('Планы менеджеров'!$B$5:$M$16,B289,D289)/INDEX(Мес_Раб,D289))</f>
        <v/>
      </c>
    </row>
    <row r="290">
      <c r="A290" t="inlineStr">
        <is>
          <t>Иванов</t>
        </is>
      </c>
      <c r="B290" t="n">
        <v>5</v>
      </c>
      <c r="C290" s="18">
        <f>'Календарь'!A287</f>
        <v/>
      </c>
      <c r="D290">
        <f>MONTH(C290)</f>
        <v/>
      </c>
      <c r="E290">
        <f>'Календарь'!D287</f>
        <v/>
      </c>
      <c r="F290">
        <f>INT((C290-Нед_Начало)/7)+1</f>
        <v/>
      </c>
      <c r="G290">
        <f>IF(E290=0,0,INDEX('Планы менеджеров'!$B$5:$M$16,B290,D290)/INDEX(Мес_Раб,D290))</f>
        <v/>
      </c>
    </row>
    <row r="291">
      <c r="A291" t="inlineStr">
        <is>
          <t>Иванов</t>
        </is>
      </c>
      <c r="B291" t="n">
        <v>5</v>
      </c>
      <c r="C291" s="18">
        <f>'Календарь'!A288</f>
        <v/>
      </c>
      <c r="D291">
        <f>MONTH(C291)</f>
        <v/>
      </c>
      <c r="E291">
        <f>'Календарь'!D288</f>
        <v/>
      </c>
      <c r="F291">
        <f>INT((C291-Нед_Начало)/7)+1</f>
        <v/>
      </c>
      <c r="G291">
        <f>IF(E291=0,0,INDEX('Планы менеджеров'!$B$5:$M$16,B291,D291)/INDEX(Мес_Раб,D291))</f>
        <v/>
      </c>
    </row>
    <row r="292">
      <c r="A292" t="inlineStr">
        <is>
          <t>Иванов</t>
        </is>
      </c>
      <c r="B292" t="n">
        <v>5</v>
      </c>
      <c r="C292" s="18">
        <f>'Календарь'!A289</f>
        <v/>
      </c>
      <c r="D292">
        <f>MONTH(C292)</f>
        <v/>
      </c>
      <c r="E292">
        <f>'Календарь'!D289</f>
        <v/>
      </c>
      <c r="F292">
        <f>INT((C292-Нед_Начало)/7)+1</f>
        <v/>
      </c>
      <c r="G292">
        <f>IF(E292=0,0,INDEX('Планы менеджеров'!$B$5:$M$16,B292,D292)/INDEX(Мес_Раб,D292))</f>
        <v/>
      </c>
    </row>
    <row r="293">
      <c r="A293" t="inlineStr">
        <is>
          <t>Иванов</t>
        </is>
      </c>
      <c r="B293" t="n">
        <v>5</v>
      </c>
      <c r="C293" s="18">
        <f>'Календарь'!A290</f>
        <v/>
      </c>
      <c r="D293">
        <f>MONTH(C293)</f>
        <v/>
      </c>
      <c r="E293">
        <f>'Календарь'!D290</f>
        <v/>
      </c>
      <c r="F293">
        <f>INT((C293-Нед_Начало)/7)+1</f>
        <v/>
      </c>
      <c r="G293">
        <f>IF(E293=0,0,INDEX('Планы менеджеров'!$B$5:$M$16,B293,D293)/INDEX(Мес_Раб,D293))</f>
        <v/>
      </c>
    </row>
    <row r="294">
      <c r="A294" t="inlineStr">
        <is>
          <t>Иванов</t>
        </is>
      </c>
      <c r="B294" t="n">
        <v>5</v>
      </c>
      <c r="C294" s="18">
        <f>'Календарь'!A291</f>
        <v/>
      </c>
      <c r="D294">
        <f>MONTH(C294)</f>
        <v/>
      </c>
      <c r="E294">
        <f>'Календарь'!D291</f>
        <v/>
      </c>
      <c r="F294">
        <f>INT((C294-Нед_Начало)/7)+1</f>
        <v/>
      </c>
      <c r="G294">
        <f>IF(E294=0,0,INDEX('Планы менеджеров'!$B$5:$M$16,B294,D294)/INDEX(Мес_Раб,D294))</f>
        <v/>
      </c>
    </row>
    <row r="295">
      <c r="A295" t="inlineStr">
        <is>
          <t>Иванов</t>
        </is>
      </c>
      <c r="B295" t="n">
        <v>5</v>
      </c>
      <c r="C295" s="18">
        <f>'Календарь'!A292</f>
        <v/>
      </c>
      <c r="D295">
        <f>MONTH(C295)</f>
        <v/>
      </c>
      <c r="E295">
        <f>'Календарь'!D292</f>
        <v/>
      </c>
      <c r="F295">
        <f>INT((C295-Нед_Начало)/7)+1</f>
        <v/>
      </c>
      <c r="G295">
        <f>IF(E295=0,0,INDEX('Планы менеджеров'!$B$5:$M$16,B295,D295)/INDEX(Мес_Раб,D295))</f>
        <v/>
      </c>
    </row>
    <row r="296">
      <c r="A296" t="inlineStr">
        <is>
          <t>Иванов</t>
        </is>
      </c>
      <c r="B296" t="n">
        <v>5</v>
      </c>
      <c r="C296" s="18">
        <f>'Календарь'!A293</f>
        <v/>
      </c>
      <c r="D296">
        <f>MONTH(C296)</f>
        <v/>
      </c>
      <c r="E296">
        <f>'Календарь'!D293</f>
        <v/>
      </c>
      <c r="F296">
        <f>INT((C296-Нед_Начало)/7)+1</f>
        <v/>
      </c>
      <c r="G296">
        <f>IF(E296=0,0,INDEX('Планы менеджеров'!$B$5:$M$16,B296,D296)/INDEX(Мес_Раб,D296))</f>
        <v/>
      </c>
    </row>
    <row r="297">
      <c r="A297" t="inlineStr">
        <is>
          <t>Иванов</t>
        </is>
      </c>
      <c r="B297" t="n">
        <v>5</v>
      </c>
      <c r="C297" s="18">
        <f>'Календарь'!A294</f>
        <v/>
      </c>
      <c r="D297">
        <f>MONTH(C297)</f>
        <v/>
      </c>
      <c r="E297">
        <f>'Календарь'!D294</f>
        <v/>
      </c>
      <c r="F297">
        <f>INT((C297-Нед_Начало)/7)+1</f>
        <v/>
      </c>
      <c r="G297">
        <f>IF(E297=0,0,INDEX('Планы менеджеров'!$B$5:$M$16,B297,D297)/INDEX(Мес_Раб,D297))</f>
        <v/>
      </c>
    </row>
    <row r="298">
      <c r="A298" t="inlineStr">
        <is>
          <t>Иванов</t>
        </is>
      </c>
      <c r="B298" t="n">
        <v>5</v>
      </c>
      <c r="C298" s="18">
        <f>'Календарь'!A295</f>
        <v/>
      </c>
      <c r="D298">
        <f>MONTH(C298)</f>
        <v/>
      </c>
      <c r="E298">
        <f>'Календарь'!D295</f>
        <v/>
      </c>
      <c r="F298">
        <f>INT((C298-Нед_Начало)/7)+1</f>
        <v/>
      </c>
      <c r="G298">
        <f>IF(E298=0,0,INDEX('Планы менеджеров'!$B$5:$M$16,B298,D298)/INDEX(Мес_Раб,D298))</f>
        <v/>
      </c>
    </row>
    <row r="299">
      <c r="A299" t="inlineStr">
        <is>
          <t>Иванов</t>
        </is>
      </c>
      <c r="B299" t="n">
        <v>5</v>
      </c>
      <c r="C299" s="18">
        <f>'Календарь'!A296</f>
        <v/>
      </c>
      <c r="D299">
        <f>MONTH(C299)</f>
        <v/>
      </c>
      <c r="E299">
        <f>'Календарь'!D296</f>
        <v/>
      </c>
      <c r="F299">
        <f>INT((C299-Нед_Начало)/7)+1</f>
        <v/>
      </c>
      <c r="G299">
        <f>IF(E299=0,0,INDEX('Планы менеджеров'!$B$5:$M$16,B299,D299)/INDEX(Мес_Раб,D299))</f>
        <v/>
      </c>
    </row>
    <row r="300">
      <c r="A300" t="inlineStr">
        <is>
          <t>Иванов</t>
        </is>
      </c>
      <c r="B300" t="n">
        <v>5</v>
      </c>
      <c r="C300" s="18">
        <f>'Календарь'!A297</f>
        <v/>
      </c>
      <c r="D300">
        <f>MONTH(C300)</f>
        <v/>
      </c>
      <c r="E300">
        <f>'Календарь'!D297</f>
        <v/>
      </c>
      <c r="F300">
        <f>INT((C300-Нед_Начало)/7)+1</f>
        <v/>
      </c>
      <c r="G300">
        <f>IF(E300=0,0,INDEX('Планы менеджеров'!$B$5:$M$16,B300,D300)/INDEX(Мес_Раб,D300))</f>
        <v/>
      </c>
    </row>
    <row r="301">
      <c r="A301" t="inlineStr">
        <is>
          <t>Иванов</t>
        </is>
      </c>
      <c r="B301" t="n">
        <v>5</v>
      </c>
      <c r="C301" s="18">
        <f>'Календарь'!A298</f>
        <v/>
      </c>
      <c r="D301">
        <f>MONTH(C301)</f>
        <v/>
      </c>
      <c r="E301">
        <f>'Календарь'!D298</f>
        <v/>
      </c>
      <c r="F301">
        <f>INT((C301-Нед_Начало)/7)+1</f>
        <v/>
      </c>
      <c r="G301">
        <f>IF(E301=0,0,INDEX('Планы менеджеров'!$B$5:$M$16,B301,D301)/INDEX(Мес_Раб,D301))</f>
        <v/>
      </c>
    </row>
    <row r="302">
      <c r="A302" t="inlineStr">
        <is>
          <t>Иванов</t>
        </is>
      </c>
      <c r="B302" t="n">
        <v>5</v>
      </c>
      <c r="C302" s="18">
        <f>'Календарь'!A299</f>
        <v/>
      </c>
      <c r="D302">
        <f>MONTH(C302)</f>
        <v/>
      </c>
      <c r="E302">
        <f>'Календарь'!D299</f>
        <v/>
      </c>
      <c r="F302">
        <f>INT((C302-Нед_Начало)/7)+1</f>
        <v/>
      </c>
      <c r="G302">
        <f>IF(E302=0,0,INDEX('Планы менеджеров'!$B$5:$M$16,B302,D302)/INDEX(Мес_Раб,D302))</f>
        <v/>
      </c>
    </row>
    <row r="303">
      <c r="A303" t="inlineStr">
        <is>
          <t>Иванов</t>
        </is>
      </c>
      <c r="B303" t="n">
        <v>5</v>
      </c>
      <c r="C303" s="18">
        <f>'Календарь'!A300</f>
        <v/>
      </c>
      <c r="D303">
        <f>MONTH(C303)</f>
        <v/>
      </c>
      <c r="E303">
        <f>'Календарь'!D300</f>
        <v/>
      </c>
      <c r="F303">
        <f>INT((C303-Нед_Начало)/7)+1</f>
        <v/>
      </c>
      <c r="G303">
        <f>IF(E303=0,0,INDEX('Планы менеджеров'!$B$5:$M$16,B303,D303)/INDEX(Мес_Раб,D303))</f>
        <v/>
      </c>
    </row>
    <row r="304">
      <c r="A304" t="inlineStr">
        <is>
          <t>Иванов</t>
        </is>
      </c>
      <c r="B304" t="n">
        <v>5</v>
      </c>
      <c r="C304" s="18">
        <f>'Календарь'!A301</f>
        <v/>
      </c>
      <c r="D304">
        <f>MONTH(C304)</f>
        <v/>
      </c>
      <c r="E304">
        <f>'Календарь'!D301</f>
        <v/>
      </c>
      <c r="F304">
        <f>INT((C304-Нед_Начало)/7)+1</f>
        <v/>
      </c>
      <c r="G304">
        <f>IF(E304=0,0,INDEX('Планы менеджеров'!$B$5:$M$16,B304,D304)/INDEX(Мес_Раб,D304))</f>
        <v/>
      </c>
    </row>
    <row r="305">
      <c r="A305" t="inlineStr">
        <is>
          <t>Иванов</t>
        </is>
      </c>
      <c r="B305" t="n">
        <v>5</v>
      </c>
      <c r="C305" s="18">
        <f>'Календарь'!A302</f>
        <v/>
      </c>
      <c r="D305">
        <f>MONTH(C305)</f>
        <v/>
      </c>
      <c r="E305">
        <f>'Календарь'!D302</f>
        <v/>
      </c>
      <c r="F305">
        <f>INT((C305-Нед_Начало)/7)+1</f>
        <v/>
      </c>
      <c r="G305">
        <f>IF(E305=0,0,INDEX('Планы менеджеров'!$B$5:$M$16,B305,D305)/INDEX(Мес_Раб,D305))</f>
        <v/>
      </c>
    </row>
    <row r="306">
      <c r="A306" t="inlineStr">
        <is>
          <t>Иванов</t>
        </is>
      </c>
      <c r="B306" t="n">
        <v>5</v>
      </c>
      <c r="C306" s="18">
        <f>'Календарь'!A303</f>
        <v/>
      </c>
      <c r="D306">
        <f>MONTH(C306)</f>
        <v/>
      </c>
      <c r="E306">
        <f>'Календарь'!D303</f>
        <v/>
      </c>
      <c r="F306">
        <f>INT((C306-Нед_Начало)/7)+1</f>
        <v/>
      </c>
      <c r="G306">
        <f>IF(E306=0,0,INDEX('Планы менеджеров'!$B$5:$M$16,B306,D306)/INDEX(Мес_Раб,D306))</f>
        <v/>
      </c>
    </row>
    <row r="307">
      <c r="A307" t="inlineStr">
        <is>
          <t>Иванов</t>
        </is>
      </c>
      <c r="B307" t="n">
        <v>5</v>
      </c>
      <c r="C307" s="18">
        <f>'Календарь'!A304</f>
        <v/>
      </c>
      <c r="D307">
        <f>MONTH(C307)</f>
        <v/>
      </c>
      <c r="E307">
        <f>'Календарь'!D304</f>
        <v/>
      </c>
      <c r="F307">
        <f>INT((C307-Нед_Начало)/7)+1</f>
        <v/>
      </c>
      <c r="G307">
        <f>IF(E307=0,0,INDEX('Планы менеджеров'!$B$5:$M$16,B307,D307)/INDEX(Мес_Раб,D307))</f>
        <v/>
      </c>
    </row>
    <row r="308">
      <c r="A308" t="inlineStr">
        <is>
          <t>Иванов</t>
        </is>
      </c>
      <c r="B308" t="n">
        <v>5</v>
      </c>
      <c r="C308" s="18">
        <f>'Календарь'!A305</f>
        <v/>
      </c>
      <c r="D308">
        <f>MONTH(C308)</f>
        <v/>
      </c>
      <c r="E308">
        <f>'Календарь'!D305</f>
        <v/>
      </c>
      <c r="F308">
        <f>INT((C308-Нед_Начало)/7)+1</f>
        <v/>
      </c>
      <c r="G308">
        <f>IF(E308=0,0,INDEX('Планы менеджеров'!$B$5:$M$16,B308,D308)/INDEX(Мес_Раб,D308))</f>
        <v/>
      </c>
    </row>
    <row r="309">
      <c r="A309" t="inlineStr">
        <is>
          <t>Иванов</t>
        </is>
      </c>
      <c r="B309" t="n">
        <v>5</v>
      </c>
      <c r="C309" s="18">
        <f>'Календарь'!A306</f>
        <v/>
      </c>
      <c r="D309">
        <f>MONTH(C309)</f>
        <v/>
      </c>
      <c r="E309">
        <f>'Календарь'!D306</f>
        <v/>
      </c>
      <c r="F309">
        <f>INT((C309-Нед_Начало)/7)+1</f>
        <v/>
      </c>
      <c r="G309">
        <f>IF(E309=0,0,INDEX('Планы менеджеров'!$B$5:$M$16,B309,D309)/INDEX(Мес_Раб,D309))</f>
        <v/>
      </c>
    </row>
    <row r="310">
      <c r="A310" t="inlineStr">
        <is>
          <t>Иванов</t>
        </is>
      </c>
      <c r="B310" t="n">
        <v>5</v>
      </c>
      <c r="C310" s="18">
        <f>'Календарь'!A307</f>
        <v/>
      </c>
      <c r="D310">
        <f>MONTH(C310)</f>
        <v/>
      </c>
      <c r="E310">
        <f>'Календарь'!D307</f>
        <v/>
      </c>
      <c r="F310">
        <f>INT((C310-Нед_Начало)/7)+1</f>
        <v/>
      </c>
      <c r="G310">
        <f>IF(E310=0,0,INDEX('Планы менеджеров'!$B$5:$M$16,B310,D310)/INDEX(Мес_Раб,D310))</f>
        <v/>
      </c>
    </row>
    <row r="311">
      <c r="A311" t="inlineStr">
        <is>
          <t>Иванов</t>
        </is>
      </c>
      <c r="B311" t="n">
        <v>5</v>
      </c>
      <c r="C311" s="18">
        <f>'Календарь'!A308</f>
        <v/>
      </c>
      <c r="D311">
        <f>MONTH(C311)</f>
        <v/>
      </c>
      <c r="E311">
        <f>'Календарь'!D308</f>
        <v/>
      </c>
      <c r="F311">
        <f>INT((C311-Нед_Начало)/7)+1</f>
        <v/>
      </c>
      <c r="G311">
        <f>IF(E311=0,0,INDEX('Планы менеджеров'!$B$5:$M$16,B311,D311)/INDEX(Мес_Раб,D311))</f>
        <v/>
      </c>
    </row>
    <row r="312">
      <c r="A312" t="inlineStr">
        <is>
          <t>Иванов</t>
        </is>
      </c>
      <c r="B312" t="n">
        <v>5</v>
      </c>
      <c r="C312" s="18">
        <f>'Календарь'!A309</f>
        <v/>
      </c>
      <c r="D312">
        <f>MONTH(C312)</f>
        <v/>
      </c>
      <c r="E312">
        <f>'Календарь'!D309</f>
        <v/>
      </c>
      <c r="F312">
        <f>INT((C312-Нед_Начало)/7)+1</f>
        <v/>
      </c>
      <c r="G312">
        <f>IF(E312=0,0,INDEX('Планы менеджеров'!$B$5:$M$16,B312,D312)/INDEX(Мес_Раб,D312))</f>
        <v/>
      </c>
    </row>
    <row r="313">
      <c r="A313" t="inlineStr">
        <is>
          <t>Иванов</t>
        </is>
      </c>
      <c r="B313" t="n">
        <v>5</v>
      </c>
      <c r="C313" s="18">
        <f>'Календарь'!A310</f>
        <v/>
      </c>
      <c r="D313">
        <f>MONTH(C313)</f>
        <v/>
      </c>
      <c r="E313">
        <f>'Календарь'!D310</f>
        <v/>
      </c>
      <c r="F313">
        <f>INT((C313-Нед_Начало)/7)+1</f>
        <v/>
      </c>
      <c r="G313">
        <f>IF(E313=0,0,INDEX('Планы менеджеров'!$B$5:$M$16,B313,D313)/INDEX(Мес_Раб,D313))</f>
        <v/>
      </c>
    </row>
    <row r="314">
      <c r="A314" t="inlineStr">
        <is>
          <t>Иванов</t>
        </is>
      </c>
      <c r="B314" t="n">
        <v>5</v>
      </c>
      <c r="C314" s="18">
        <f>'Календарь'!A311</f>
        <v/>
      </c>
      <c r="D314">
        <f>MONTH(C314)</f>
        <v/>
      </c>
      <c r="E314">
        <f>'Календарь'!D311</f>
        <v/>
      </c>
      <c r="F314">
        <f>INT((C314-Нед_Начало)/7)+1</f>
        <v/>
      </c>
      <c r="G314">
        <f>IF(E314=0,0,INDEX('Планы менеджеров'!$B$5:$M$16,B314,D314)/INDEX(Мес_Раб,D314))</f>
        <v/>
      </c>
    </row>
    <row r="315">
      <c r="A315" t="inlineStr">
        <is>
          <t>Иванов</t>
        </is>
      </c>
      <c r="B315" t="n">
        <v>5</v>
      </c>
      <c r="C315" s="18">
        <f>'Календарь'!A312</f>
        <v/>
      </c>
      <c r="D315">
        <f>MONTH(C315)</f>
        <v/>
      </c>
      <c r="E315">
        <f>'Календарь'!D312</f>
        <v/>
      </c>
      <c r="F315">
        <f>INT((C315-Нед_Начало)/7)+1</f>
        <v/>
      </c>
      <c r="G315">
        <f>IF(E315=0,0,INDEX('Планы менеджеров'!$B$5:$M$16,B315,D315)/INDEX(Мес_Раб,D315))</f>
        <v/>
      </c>
    </row>
    <row r="316">
      <c r="A316" t="inlineStr">
        <is>
          <t>Иванов</t>
        </is>
      </c>
      <c r="B316" t="n">
        <v>5</v>
      </c>
      <c r="C316" s="18">
        <f>'Календарь'!A313</f>
        <v/>
      </c>
      <c r="D316">
        <f>MONTH(C316)</f>
        <v/>
      </c>
      <c r="E316">
        <f>'Календарь'!D313</f>
        <v/>
      </c>
      <c r="F316">
        <f>INT((C316-Нед_Начало)/7)+1</f>
        <v/>
      </c>
      <c r="G316">
        <f>IF(E316=0,0,INDEX('Планы менеджеров'!$B$5:$M$16,B316,D316)/INDEX(Мес_Раб,D316))</f>
        <v/>
      </c>
    </row>
    <row r="317">
      <c r="A317" t="inlineStr">
        <is>
          <t>Иванов</t>
        </is>
      </c>
      <c r="B317" t="n">
        <v>5</v>
      </c>
      <c r="C317" s="18">
        <f>'Календарь'!A314</f>
        <v/>
      </c>
      <c r="D317">
        <f>MONTH(C317)</f>
        <v/>
      </c>
      <c r="E317">
        <f>'Календарь'!D314</f>
        <v/>
      </c>
      <c r="F317">
        <f>INT((C317-Нед_Начало)/7)+1</f>
        <v/>
      </c>
      <c r="G317">
        <f>IF(E317=0,0,INDEX('Планы менеджеров'!$B$5:$M$16,B317,D317)/INDEX(Мес_Раб,D317))</f>
        <v/>
      </c>
    </row>
    <row r="318">
      <c r="A318" t="inlineStr">
        <is>
          <t>Иванов</t>
        </is>
      </c>
      <c r="B318" t="n">
        <v>5</v>
      </c>
      <c r="C318" s="18">
        <f>'Календарь'!A315</f>
        <v/>
      </c>
      <c r="D318">
        <f>MONTH(C318)</f>
        <v/>
      </c>
      <c r="E318">
        <f>'Календарь'!D315</f>
        <v/>
      </c>
      <c r="F318">
        <f>INT((C318-Нед_Начало)/7)+1</f>
        <v/>
      </c>
      <c r="G318">
        <f>IF(E318=0,0,INDEX('Планы менеджеров'!$B$5:$M$16,B318,D318)/INDEX(Мес_Раб,D318))</f>
        <v/>
      </c>
    </row>
    <row r="319">
      <c r="A319" t="inlineStr">
        <is>
          <t>Иванов</t>
        </is>
      </c>
      <c r="B319" t="n">
        <v>5</v>
      </c>
      <c r="C319" s="18">
        <f>'Календарь'!A316</f>
        <v/>
      </c>
      <c r="D319">
        <f>MONTH(C319)</f>
        <v/>
      </c>
      <c r="E319">
        <f>'Календарь'!D316</f>
        <v/>
      </c>
      <c r="F319">
        <f>INT((C319-Нед_Начало)/7)+1</f>
        <v/>
      </c>
      <c r="G319">
        <f>IF(E319=0,0,INDEX('Планы менеджеров'!$B$5:$M$16,B319,D319)/INDEX(Мес_Раб,D319))</f>
        <v/>
      </c>
    </row>
    <row r="320">
      <c r="A320" t="inlineStr">
        <is>
          <t>Иванов</t>
        </is>
      </c>
      <c r="B320" t="n">
        <v>5</v>
      </c>
      <c r="C320" s="18">
        <f>'Календарь'!A317</f>
        <v/>
      </c>
      <c r="D320">
        <f>MONTH(C320)</f>
        <v/>
      </c>
      <c r="E320">
        <f>'Календарь'!D317</f>
        <v/>
      </c>
      <c r="F320">
        <f>INT((C320-Нед_Начало)/7)+1</f>
        <v/>
      </c>
      <c r="G320">
        <f>IF(E320=0,0,INDEX('Планы менеджеров'!$B$5:$M$16,B320,D320)/INDEX(Мес_Раб,D320))</f>
        <v/>
      </c>
    </row>
    <row r="321">
      <c r="A321" t="inlineStr">
        <is>
          <t>Иванов</t>
        </is>
      </c>
      <c r="B321" t="n">
        <v>5</v>
      </c>
      <c r="C321" s="18">
        <f>'Календарь'!A318</f>
        <v/>
      </c>
      <c r="D321">
        <f>MONTH(C321)</f>
        <v/>
      </c>
      <c r="E321">
        <f>'Календарь'!D318</f>
        <v/>
      </c>
      <c r="F321">
        <f>INT((C321-Нед_Начало)/7)+1</f>
        <v/>
      </c>
      <c r="G321">
        <f>IF(E321=0,0,INDEX('Планы менеджеров'!$B$5:$M$16,B321,D321)/INDEX(Мес_Раб,D321))</f>
        <v/>
      </c>
    </row>
    <row r="322">
      <c r="A322" t="inlineStr">
        <is>
          <t>Иванов</t>
        </is>
      </c>
      <c r="B322" t="n">
        <v>5</v>
      </c>
      <c r="C322" s="18">
        <f>'Календарь'!A319</f>
        <v/>
      </c>
      <c r="D322">
        <f>MONTH(C322)</f>
        <v/>
      </c>
      <c r="E322">
        <f>'Календарь'!D319</f>
        <v/>
      </c>
      <c r="F322">
        <f>INT((C322-Нед_Начало)/7)+1</f>
        <v/>
      </c>
      <c r="G322">
        <f>IF(E322=0,0,INDEX('Планы менеджеров'!$B$5:$M$16,B322,D322)/INDEX(Мес_Раб,D322))</f>
        <v/>
      </c>
    </row>
    <row r="323">
      <c r="A323" t="inlineStr">
        <is>
          <t>Иванов</t>
        </is>
      </c>
      <c r="B323" t="n">
        <v>5</v>
      </c>
      <c r="C323" s="18">
        <f>'Календарь'!A320</f>
        <v/>
      </c>
      <c r="D323">
        <f>MONTH(C323)</f>
        <v/>
      </c>
      <c r="E323">
        <f>'Календарь'!D320</f>
        <v/>
      </c>
      <c r="F323">
        <f>INT((C323-Нед_Начало)/7)+1</f>
        <v/>
      </c>
      <c r="G323">
        <f>IF(E323=0,0,INDEX('Планы менеджеров'!$B$5:$M$16,B323,D323)/INDEX(Мес_Раб,D323))</f>
        <v/>
      </c>
    </row>
    <row r="324">
      <c r="A324" t="inlineStr">
        <is>
          <t>Иванов</t>
        </is>
      </c>
      <c r="B324" t="n">
        <v>5</v>
      </c>
      <c r="C324" s="18">
        <f>'Календарь'!A321</f>
        <v/>
      </c>
      <c r="D324">
        <f>MONTH(C324)</f>
        <v/>
      </c>
      <c r="E324">
        <f>'Календарь'!D321</f>
        <v/>
      </c>
      <c r="F324">
        <f>INT((C324-Нед_Начало)/7)+1</f>
        <v/>
      </c>
      <c r="G324">
        <f>IF(E324=0,0,INDEX('Планы менеджеров'!$B$5:$M$16,B324,D324)/INDEX(Мес_Раб,D324))</f>
        <v/>
      </c>
    </row>
    <row r="325">
      <c r="A325" t="inlineStr">
        <is>
          <t>Иванов</t>
        </is>
      </c>
      <c r="B325" t="n">
        <v>5</v>
      </c>
      <c r="C325" s="18">
        <f>'Календарь'!A322</f>
        <v/>
      </c>
      <c r="D325">
        <f>MONTH(C325)</f>
        <v/>
      </c>
      <c r="E325">
        <f>'Календарь'!D322</f>
        <v/>
      </c>
      <c r="F325">
        <f>INT((C325-Нед_Начало)/7)+1</f>
        <v/>
      </c>
      <c r="G325">
        <f>IF(E325=0,0,INDEX('Планы менеджеров'!$B$5:$M$16,B325,D325)/INDEX(Мес_Раб,D325))</f>
        <v/>
      </c>
    </row>
    <row r="326">
      <c r="A326" t="inlineStr">
        <is>
          <t>Иванов</t>
        </is>
      </c>
      <c r="B326" t="n">
        <v>5</v>
      </c>
      <c r="C326" s="18">
        <f>'Календарь'!A323</f>
        <v/>
      </c>
      <c r="D326">
        <f>MONTH(C326)</f>
        <v/>
      </c>
      <c r="E326">
        <f>'Календарь'!D323</f>
        <v/>
      </c>
      <c r="F326">
        <f>INT((C326-Нед_Начало)/7)+1</f>
        <v/>
      </c>
      <c r="G326">
        <f>IF(E326=0,0,INDEX('Планы менеджеров'!$B$5:$M$16,B326,D326)/INDEX(Мес_Раб,D326))</f>
        <v/>
      </c>
    </row>
    <row r="327">
      <c r="A327" t="inlineStr">
        <is>
          <t>Иванов</t>
        </is>
      </c>
      <c r="B327" t="n">
        <v>5</v>
      </c>
      <c r="C327" s="18">
        <f>'Календарь'!A324</f>
        <v/>
      </c>
      <c r="D327">
        <f>MONTH(C327)</f>
        <v/>
      </c>
      <c r="E327">
        <f>'Календарь'!D324</f>
        <v/>
      </c>
      <c r="F327">
        <f>INT((C327-Нед_Начало)/7)+1</f>
        <v/>
      </c>
      <c r="G327">
        <f>IF(E327=0,0,INDEX('Планы менеджеров'!$B$5:$M$16,B327,D327)/INDEX(Мес_Раб,D327))</f>
        <v/>
      </c>
    </row>
    <row r="328">
      <c r="A328" t="inlineStr">
        <is>
          <t>Иванов</t>
        </is>
      </c>
      <c r="B328" t="n">
        <v>5</v>
      </c>
      <c r="C328" s="18">
        <f>'Календарь'!A325</f>
        <v/>
      </c>
      <c r="D328">
        <f>MONTH(C328)</f>
        <v/>
      </c>
      <c r="E328">
        <f>'Календарь'!D325</f>
        <v/>
      </c>
      <c r="F328">
        <f>INT((C328-Нед_Начало)/7)+1</f>
        <v/>
      </c>
      <c r="G328">
        <f>IF(E328=0,0,INDEX('Планы менеджеров'!$B$5:$M$16,B328,D328)/INDEX(Мес_Раб,D328))</f>
        <v/>
      </c>
    </row>
    <row r="329">
      <c r="A329" t="inlineStr">
        <is>
          <t>Иванов</t>
        </is>
      </c>
      <c r="B329" t="n">
        <v>5</v>
      </c>
      <c r="C329" s="18">
        <f>'Календарь'!A326</f>
        <v/>
      </c>
      <c r="D329">
        <f>MONTH(C329)</f>
        <v/>
      </c>
      <c r="E329">
        <f>'Календарь'!D326</f>
        <v/>
      </c>
      <c r="F329">
        <f>INT((C329-Нед_Начало)/7)+1</f>
        <v/>
      </c>
      <c r="G329">
        <f>IF(E329=0,0,INDEX('Планы менеджеров'!$B$5:$M$16,B329,D329)/INDEX(Мес_Раб,D329))</f>
        <v/>
      </c>
    </row>
    <row r="330">
      <c r="A330" t="inlineStr">
        <is>
          <t>Иванов</t>
        </is>
      </c>
      <c r="B330" t="n">
        <v>5</v>
      </c>
      <c r="C330" s="18">
        <f>'Календарь'!A327</f>
        <v/>
      </c>
      <c r="D330">
        <f>MONTH(C330)</f>
        <v/>
      </c>
      <c r="E330">
        <f>'Календарь'!D327</f>
        <v/>
      </c>
      <c r="F330">
        <f>INT((C330-Нед_Начало)/7)+1</f>
        <v/>
      </c>
      <c r="G330">
        <f>IF(E330=0,0,INDEX('Планы менеджеров'!$B$5:$M$16,B330,D330)/INDEX(Мес_Раб,D330))</f>
        <v/>
      </c>
    </row>
    <row r="331">
      <c r="A331" t="inlineStr">
        <is>
          <t>Иванов</t>
        </is>
      </c>
      <c r="B331" t="n">
        <v>5</v>
      </c>
      <c r="C331" s="18">
        <f>'Календарь'!A328</f>
        <v/>
      </c>
      <c r="D331">
        <f>MONTH(C331)</f>
        <v/>
      </c>
      <c r="E331">
        <f>'Календарь'!D328</f>
        <v/>
      </c>
      <c r="F331">
        <f>INT((C331-Нед_Начало)/7)+1</f>
        <v/>
      </c>
      <c r="G331">
        <f>IF(E331=0,0,INDEX('Планы менеджеров'!$B$5:$M$16,B331,D331)/INDEX(Мес_Раб,D331))</f>
        <v/>
      </c>
    </row>
    <row r="332">
      <c r="A332" t="inlineStr">
        <is>
          <t>Иванов</t>
        </is>
      </c>
      <c r="B332" t="n">
        <v>5</v>
      </c>
      <c r="C332" s="18">
        <f>'Календарь'!A329</f>
        <v/>
      </c>
      <c r="D332">
        <f>MONTH(C332)</f>
        <v/>
      </c>
      <c r="E332">
        <f>'Календарь'!D329</f>
        <v/>
      </c>
      <c r="F332">
        <f>INT((C332-Нед_Начало)/7)+1</f>
        <v/>
      </c>
      <c r="G332">
        <f>IF(E332=0,0,INDEX('Планы менеджеров'!$B$5:$M$16,B332,D332)/INDEX(Мес_Раб,D332))</f>
        <v/>
      </c>
    </row>
    <row r="333">
      <c r="A333" t="inlineStr">
        <is>
          <t>Иванов</t>
        </is>
      </c>
      <c r="B333" t="n">
        <v>5</v>
      </c>
      <c r="C333" s="18">
        <f>'Календарь'!A330</f>
        <v/>
      </c>
      <c r="D333">
        <f>MONTH(C333)</f>
        <v/>
      </c>
      <c r="E333">
        <f>'Календарь'!D330</f>
        <v/>
      </c>
      <c r="F333">
        <f>INT((C333-Нед_Начало)/7)+1</f>
        <v/>
      </c>
      <c r="G333">
        <f>IF(E333=0,0,INDEX('Планы менеджеров'!$B$5:$M$16,B333,D333)/INDEX(Мес_Раб,D333))</f>
        <v/>
      </c>
    </row>
    <row r="334">
      <c r="A334" t="inlineStr">
        <is>
          <t>Иванов</t>
        </is>
      </c>
      <c r="B334" t="n">
        <v>5</v>
      </c>
      <c r="C334" s="18">
        <f>'Календарь'!A331</f>
        <v/>
      </c>
      <c r="D334">
        <f>MONTH(C334)</f>
        <v/>
      </c>
      <c r="E334">
        <f>'Календарь'!D331</f>
        <v/>
      </c>
      <c r="F334">
        <f>INT((C334-Нед_Начало)/7)+1</f>
        <v/>
      </c>
      <c r="G334">
        <f>IF(E334=0,0,INDEX('Планы менеджеров'!$B$5:$M$16,B334,D334)/INDEX(Мес_Раб,D334))</f>
        <v/>
      </c>
    </row>
    <row r="335">
      <c r="A335" t="inlineStr">
        <is>
          <t>Иванов</t>
        </is>
      </c>
      <c r="B335" t="n">
        <v>5</v>
      </c>
      <c r="C335" s="18">
        <f>'Календарь'!A332</f>
        <v/>
      </c>
      <c r="D335">
        <f>MONTH(C335)</f>
        <v/>
      </c>
      <c r="E335">
        <f>'Календарь'!D332</f>
        <v/>
      </c>
      <c r="F335">
        <f>INT((C335-Нед_Начало)/7)+1</f>
        <v/>
      </c>
      <c r="G335">
        <f>IF(E335=0,0,INDEX('Планы менеджеров'!$B$5:$M$16,B335,D335)/INDEX(Мес_Раб,D335))</f>
        <v/>
      </c>
    </row>
    <row r="336">
      <c r="A336" t="inlineStr">
        <is>
          <t>Иванов</t>
        </is>
      </c>
      <c r="B336" t="n">
        <v>5</v>
      </c>
      <c r="C336" s="18">
        <f>'Календарь'!A333</f>
        <v/>
      </c>
      <c r="D336">
        <f>MONTH(C336)</f>
        <v/>
      </c>
      <c r="E336">
        <f>'Календарь'!D333</f>
        <v/>
      </c>
      <c r="F336">
        <f>INT((C336-Нед_Начало)/7)+1</f>
        <v/>
      </c>
      <c r="G336">
        <f>IF(E336=0,0,INDEX('Планы менеджеров'!$B$5:$M$16,B336,D336)/INDEX(Мес_Раб,D336))</f>
        <v/>
      </c>
    </row>
    <row r="337">
      <c r="A337" t="inlineStr">
        <is>
          <t>Иванов</t>
        </is>
      </c>
      <c r="B337" t="n">
        <v>5</v>
      </c>
      <c r="C337" s="18">
        <f>'Календарь'!A334</f>
        <v/>
      </c>
      <c r="D337">
        <f>MONTH(C337)</f>
        <v/>
      </c>
      <c r="E337">
        <f>'Календарь'!D334</f>
        <v/>
      </c>
      <c r="F337">
        <f>INT((C337-Нед_Начало)/7)+1</f>
        <v/>
      </c>
      <c r="G337">
        <f>IF(E337=0,0,INDEX('Планы менеджеров'!$B$5:$M$16,B337,D337)/INDEX(Мес_Раб,D337))</f>
        <v/>
      </c>
    </row>
    <row r="338">
      <c r="A338" t="inlineStr">
        <is>
          <t>Иванов</t>
        </is>
      </c>
      <c r="B338" t="n">
        <v>5</v>
      </c>
      <c r="C338" s="18">
        <f>'Календарь'!A335</f>
        <v/>
      </c>
      <c r="D338">
        <f>MONTH(C338)</f>
        <v/>
      </c>
      <c r="E338">
        <f>'Календарь'!D335</f>
        <v/>
      </c>
      <c r="F338">
        <f>INT((C338-Нед_Начало)/7)+1</f>
        <v/>
      </c>
      <c r="G338">
        <f>IF(E338=0,0,INDEX('Планы менеджеров'!$B$5:$M$16,B338,D338)/INDEX(Мес_Раб,D338))</f>
        <v/>
      </c>
    </row>
    <row r="339">
      <c r="A339" t="inlineStr">
        <is>
          <t>Иванов</t>
        </is>
      </c>
      <c r="B339" t="n">
        <v>5</v>
      </c>
      <c r="C339" s="18">
        <f>'Календарь'!A336</f>
        <v/>
      </c>
      <c r="D339">
        <f>MONTH(C339)</f>
        <v/>
      </c>
      <c r="E339">
        <f>'Календарь'!D336</f>
        <v/>
      </c>
      <c r="F339">
        <f>INT((C339-Нед_Начало)/7)+1</f>
        <v/>
      </c>
      <c r="G339">
        <f>IF(E339=0,0,INDEX('Планы менеджеров'!$B$5:$M$16,B339,D339)/INDEX(Мес_Раб,D339))</f>
        <v/>
      </c>
    </row>
    <row r="340">
      <c r="A340" t="inlineStr">
        <is>
          <t>Иванов</t>
        </is>
      </c>
      <c r="B340" t="n">
        <v>5</v>
      </c>
      <c r="C340" s="18">
        <f>'Календарь'!A337</f>
        <v/>
      </c>
      <c r="D340">
        <f>MONTH(C340)</f>
        <v/>
      </c>
      <c r="E340">
        <f>'Календарь'!D337</f>
        <v/>
      </c>
      <c r="F340">
        <f>INT((C340-Нед_Начало)/7)+1</f>
        <v/>
      </c>
      <c r="G340">
        <f>IF(E340=0,0,INDEX('Планы менеджеров'!$B$5:$M$16,B340,D340)/INDEX(Мес_Раб,D340))</f>
        <v/>
      </c>
    </row>
    <row r="341">
      <c r="A341" t="inlineStr">
        <is>
          <t>Иванов</t>
        </is>
      </c>
      <c r="B341" t="n">
        <v>5</v>
      </c>
      <c r="C341" s="18">
        <f>'Календарь'!A338</f>
        <v/>
      </c>
      <c r="D341">
        <f>MONTH(C341)</f>
        <v/>
      </c>
      <c r="E341">
        <f>'Календарь'!D338</f>
        <v/>
      </c>
      <c r="F341">
        <f>INT((C341-Нед_Начало)/7)+1</f>
        <v/>
      </c>
      <c r="G341">
        <f>IF(E341=0,0,INDEX('Планы менеджеров'!$B$5:$M$16,B341,D341)/INDEX(Мес_Раб,D341))</f>
        <v/>
      </c>
    </row>
    <row r="342">
      <c r="A342" t="inlineStr">
        <is>
          <t>Иванов</t>
        </is>
      </c>
      <c r="B342" t="n">
        <v>5</v>
      </c>
      <c r="C342" s="18">
        <f>'Календарь'!A339</f>
        <v/>
      </c>
      <c r="D342">
        <f>MONTH(C342)</f>
        <v/>
      </c>
      <c r="E342">
        <f>'Календарь'!D339</f>
        <v/>
      </c>
      <c r="F342">
        <f>INT((C342-Нед_Начало)/7)+1</f>
        <v/>
      </c>
      <c r="G342">
        <f>IF(E342=0,0,INDEX('Планы менеджеров'!$B$5:$M$16,B342,D342)/INDEX(Мес_Раб,D342))</f>
        <v/>
      </c>
    </row>
    <row r="343">
      <c r="A343" t="inlineStr">
        <is>
          <t>Иванов</t>
        </is>
      </c>
      <c r="B343" t="n">
        <v>5</v>
      </c>
      <c r="C343" s="18">
        <f>'Календарь'!A340</f>
        <v/>
      </c>
      <c r="D343">
        <f>MONTH(C343)</f>
        <v/>
      </c>
      <c r="E343">
        <f>'Календарь'!D340</f>
        <v/>
      </c>
      <c r="F343">
        <f>INT((C343-Нед_Начало)/7)+1</f>
        <v/>
      </c>
      <c r="G343">
        <f>IF(E343=0,0,INDEX('Планы менеджеров'!$B$5:$M$16,B343,D343)/INDEX(Мес_Раб,D343))</f>
        <v/>
      </c>
    </row>
    <row r="344">
      <c r="A344" t="inlineStr">
        <is>
          <t>Иванов</t>
        </is>
      </c>
      <c r="B344" t="n">
        <v>5</v>
      </c>
      <c r="C344" s="18">
        <f>'Календарь'!A341</f>
        <v/>
      </c>
      <c r="D344">
        <f>MONTH(C344)</f>
        <v/>
      </c>
      <c r="E344">
        <f>'Календарь'!D341</f>
        <v/>
      </c>
      <c r="F344">
        <f>INT((C344-Нед_Начало)/7)+1</f>
        <v/>
      </c>
      <c r="G344">
        <f>IF(E344=0,0,INDEX('Планы менеджеров'!$B$5:$M$16,B344,D344)/INDEX(Мес_Раб,D344))</f>
        <v/>
      </c>
    </row>
    <row r="345">
      <c r="A345" t="inlineStr">
        <is>
          <t>Иванов</t>
        </is>
      </c>
      <c r="B345" t="n">
        <v>5</v>
      </c>
      <c r="C345" s="18">
        <f>'Календарь'!A342</f>
        <v/>
      </c>
      <c r="D345">
        <f>MONTH(C345)</f>
        <v/>
      </c>
      <c r="E345">
        <f>'Календарь'!D342</f>
        <v/>
      </c>
      <c r="F345">
        <f>INT((C345-Нед_Начало)/7)+1</f>
        <v/>
      </c>
      <c r="G345">
        <f>IF(E345=0,0,INDEX('Планы менеджеров'!$B$5:$M$16,B345,D345)/INDEX(Мес_Раб,D345))</f>
        <v/>
      </c>
    </row>
    <row r="346">
      <c r="A346" t="inlineStr">
        <is>
          <t>Иванов</t>
        </is>
      </c>
      <c r="B346" t="n">
        <v>5</v>
      </c>
      <c r="C346" s="18">
        <f>'Календарь'!A343</f>
        <v/>
      </c>
      <c r="D346">
        <f>MONTH(C346)</f>
        <v/>
      </c>
      <c r="E346">
        <f>'Календарь'!D343</f>
        <v/>
      </c>
      <c r="F346">
        <f>INT((C346-Нед_Начало)/7)+1</f>
        <v/>
      </c>
      <c r="G346">
        <f>IF(E346=0,0,INDEX('Планы менеджеров'!$B$5:$M$16,B346,D346)/INDEX(Мес_Раб,D346))</f>
        <v/>
      </c>
    </row>
    <row r="347">
      <c r="A347" t="inlineStr">
        <is>
          <t>Иванов</t>
        </is>
      </c>
      <c r="B347" t="n">
        <v>5</v>
      </c>
      <c r="C347" s="18">
        <f>'Календарь'!A344</f>
        <v/>
      </c>
      <c r="D347">
        <f>MONTH(C347)</f>
        <v/>
      </c>
      <c r="E347">
        <f>'Календарь'!D344</f>
        <v/>
      </c>
      <c r="F347">
        <f>INT((C347-Нед_Начало)/7)+1</f>
        <v/>
      </c>
      <c r="G347">
        <f>IF(E347=0,0,INDEX('Планы менеджеров'!$B$5:$M$16,B347,D347)/INDEX(Мес_Раб,D347))</f>
        <v/>
      </c>
    </row>
    <row r="348">
      <c r="A348" t="inlineStr">
        <is>
          <t>Иванов</t>
        </is>
      </c>
      <c r="B348" t="n">
        <v>5</v>
      </c>
      <c r="C348" s="18">
        <f>'Календарь'!A345</f>
        <v/>
      </c>
      <c r="D348">
        <f>MONTH(C348)</f>
        <v/>
      </c>
      <c r="E348">
        <f>'Календарь'!D345</f>
        <v/>
      </c>
      <c r="F348">
        <f>INT((C348-Нед_Начало)/7)+1</f>
        <v/>
      </c>
      <c r="G348">
        <f>IF(E348=0,0,INDEX('Планы менеджеров'!$B$5:$M$16,B348,D348)/INDEX(Мес_Раб,D348))</f>
        <v/>
      </c>
    </row>
    <row r="349">
      <c r="A349" t="inlineStr">
        <is>
          <t>Иванов</t>
        </is>
      </c>
      <c r="B349" t="n">
        <v>5</v>
      </c>
      <c r="C349" s="18">
        <f>'Календарь'!A346</f>
        <v/>
      </c>
      <c r="D349">
        <f>MONTH(C349)</f>
        <v/>
      </c>
      <c r="E349">
        <f>'Календарь'!D346</f>
        <v/>
      </c>
      <c r="F349">
        <f>INT((C349-Нед_Начало)/7)+1</f>
        <v/>
      </c>
      <c r="G349">
        <f>IF(E349=0,0,INDEX('Планы менеджеров'!$B$5:$M$16,B349,D349)/INDEX(Мес_Раб,D349))</f>
        <v/>
      </c>
    </row>
    <row r="350">
      <c r="A350" t="inlineStr">
        <is>
          <t>Иванов</t>
        </is>
      </c>
      <c r="B350" t="n">
        <v>5</v>
      </c>
      <c r="C350" s="18">
        <f>'Календарь'!A347</f>
        <v/>
      </c>
      <c r="D350">
        <f>MONTH(C350)</f>
        <v/>
      </c>
      <c r="E350">
        <f>'Календарь'!D347</f>
        <v/>
      </c>
      <c r="F350">
        <f>INT((C350-Нед_Начало)/7)+1</f>
        <v/>
      </c>
      <c r="G350">
        <f>IF(E350=0,0,INDEX('Планы менеджеров'!$B$5:$M$16,B350,D350)/INDEX(Мес_Раб,D350))</f>
        <v/>
      </c>
    </row>
    <row r="351">
      <c r="A351" t="inlineStr">
        <is>
          <t>Иванов</t>
        </is>
      </c>
      <c r="B351" t="n">
        <v>5</v>
      </c>
      <c r="C351" s="18">
        <f>'Календарь'!A348</f>
        <v/>
      </c>
      <c r="D351">
        <f>MONTH(C351)</f>
        <v/>
      </c>
      <c r="E351">
        <f>'Календарь'!D348</f>
        <v/>
      </c>
      <c r="F351">
        <f>INT((C351-Нед_Начало)/7)+1</f>
        <v/>
      </c>
      <c r="G351">
        <f>IF(E351=0,0,INDEX('Планы менеджеров'!$B$5:$M$16,B351,D351)/INDEX(Мес_Раб,D351))</f>
        <v/>
      </c>
    </row>
    <row r="352">
      <c r="A352" t="inlineStr">
        <is>
          <t>Иванов</t>
        </is>
      </c>
      <c r="B352" t="n">
        <v>5</v>
      </c>
      <c r="C352" s="18">
        <f>'Календарь'!A349</f>
        <v/>
      </c>
      <c r="D352">
        <f>MONTH(C352)</f>
        <v/>
      </c>
      <c r="E352">
        <f>'Календарь'!D349</f>
        <v/>
      </c>
      <c r="F352">
        <f>INT((C352-Нед_Начало)/7)+1</f>
        <v/>
      </c>
      <c r="G352">
        <f>IF(E352=0,0,INDEX('Планы менеджеров'!$B$5:$M$16,B352,D352)/INDEX(Мес_Раб,D352))</f>
        <v/>
      </c>
    </row>
    <row r="353">
      <c r="A353" t="inlineStr">
        <is>
          <t>Иванов</t>
        </is>
      </c>
      <c r="B353" t="n">
        <v>5</v>
      </c>
      <c r="C353" s="18">
        <f>'Календарь'!A350</f>
        <v/>
      </c>
      <c r="D353">
        <f>MONTH(C353)</f>
        <v/>
      </c>
      <c r="E353">
        <f>'Календарь'!D350</f>
        <v/>
      </c>
      <c r="F353">
        <f>INT((C353-Нед_Начало)/7)+1</f>
        <v/>
      </c>
      <c r="G353">
        <f>IF(E353=0,0,INDEX('Планы менеджеров'!$B$5:$M$16,B353,D353)/INDEX(Мес_Раб,D353))</f>
        <v/>
      </c>
    </row>
    <row r="354">
      <c r="A354" t="inlineStr">
        <is>
          <t>Иванов</t>
        </is>
      </c>
      <c r="B354" t="n">
        <v>5</v>
      </c>
      <c r="C354" s="18">
        <f>'Календарь'!A351</f>
        <v/>
      </c>
      <c r="D354">
        <f>MONTH(C354)</f>
        <v/>
      </c>
      <c r="E354">
        <f>'Календарь'!D351</f>
        <v/>
      </c>
      <c r="F354">
        <f>INT((C354-Нед_Начало)/7)+1</f>
        <v/>
      </c>
      <c r="G354">
        <f>IF(E354=0,0,INDEX('Планы менеджеров'!$B$5:$M$16,B354,D354)/INDEX(Мес_Раб,D354))</f>
        <v/>
      </c>
    </row>
    <row r="355">
      <c r="A355" t="inlineStr">
        <is>
          <t>Иванов</t>
        </is>
      </c>
      <c r="B355" t="n">
        <v>5</v>
      </c>
      <c r="C355" s="18">
        <f>'Календарь'!A352</f>
        <v/>
      </c>
      <c r="D355">
        <f>MONTH(C355)</f>
        <v/>
      </c>
      <c r="E355">
        <f>'Календарь'!D352</f>
        <v/>
      </c>
      <c r="F355">
        <f>INT((C355-Нед_Начало)/7)+1</f>
        <v/>
      </c>
      <c r="G355">
        <f>IF(E355=0,0,INDEX('Планы менеджеров'!$B$5:$M$16,B355,D355)/INDEX(Мес_Раб,D355))</f>
        <v/>
      </c>
    </row>
    <row r="356">
      <c r="A356" t="inlineStr">
        <is>
          <t>Иванов</t>
        </is>
      </c>
      <c r="B356" t="n">
        <v>5</v>
      </c>
      <c r="C356" s="18">
        <f>'Календарь'!A353</f>
        <v/>
      </c>
      <c r="D356">
        <f>MONTH(C356)</f>
        <v/>
      </c>
      <c r="E356">
        <f>'Календарь'!D353</f>
        <v/>
      </c>
      <c r="F356">
        <f>INT((C356-Нед_Начало)/7)+1</f>
        <v/>
      </c>
      <c r="G356">
        <f>IF(E356=0,0,INDEX('Планы менеджеров'!$B$5:$M$16,B356,D356)/INDEX(Мес_Раб,D356))</f>
        <v/>
      </c>
    </row>
    <row r="357">
      <c r="A357" t="inlineStr">
        <is>
          <t>Иванов</t>
        </is>
      </c>
      <c r="B357" t="n">
        <v>5</v>
      </c>
      <c r="C357" s="18">
        <f>'Календарь'!A354</f>
        <v/>
      </c>
      <c r="D357">
        <f>MONTH(C357)</f>
        <v/>
      </c>
      <c r="E357">
        <f>'Календарь'!D354</f>
        <v/>
      </c>
      <c r="F357">
        <f>INT((C357-Нед_Начало)/7)+1</f>
        <v/>
      </c>
      <c r="G357">
        <f>IF(E357=0,0,INDEX('Планы менеджеров'!$B$5:$M$16,B357,D357)/INDEX(Мес_Раб,D357))</f>
        <v/>
      </c>
    </row>
    <row r="358">
      <c r="A358" t="inlineStr">
        <is>
          <t>Иванов</t>
        </is>
      </c>
      <c r="B358" t="n">
        <v>5</v>
      </c>
      <c r="C358" s="18">
        <f>'Календарь'!A355</f>
        <v/>
      </c>
      <c r="D358">
        <f>MONTH(C358)</f>
        <v/>
      </c>
      <c r="E358">
        <f>'Календарь'!D355</f>
        <v/>
      </c>
      <c r="F358">
        <f>INT((C358-Нед_Начало)/7)+1</f>
        <v/>
      </c>
      <c r="G358">
        <f>IF(E358=0,0,INDEX('Планы менеджеров'!$B$5:$M$16,B358,D358)/INDEX(Мес_Раб,D358))</f>
        <v/>
      </c>
    </row>
    <row r="359">
      <c r="A359" t="inlineStr">
        <is>
          <t>Иванов</t>
        </is>
      </c>
      <c r="B359" t="n">
        <v>5</v>
      </c>
      <c r="C359" s="18">
        <f>'Календарь'!A356</f>
        <v/>
      </c>
      <c r="D359">
        <f>MONTH(C359)</f>
        <v/>
      </c>
      <c r="E359">
        <f>'Календарь'!D356</f>
        <v/>
      </c>
      <c r="F359">
        <f>INT((C359-Нед_Начало)/7)+1</f>
        <v/>
      </c>
      <c r="G359">
        <f>IF(E359=0,0,INDEX('Планы менеджеров'!$B$5:$M$16,B359,D359)/INDEX(Мес_Раб,D359))</f>
        <v/>
      </c>
    </row>
    <row r="360">
      <c r="A360" t="inlineStr">
        <is>
          <t>Иванов</t>
        </is>
      </c>
      <c r="B360" t="n">
        <v>5</v>
      </c>
      <c r="C360" s="18">
        <f>'Календарь'!A357</f>
        <v/>
      </c>
      <c r="D360">
        <f>MONTH(C360)</f>
        <v/>
      </c>
      <c r="E360">
        <f>'Календарь'!D357</f>
        <v/>
      </c>
      <c r="F360">
        <f>INT((C360-Нед_Начало)/7)+1</f>
        <v/>
      </c>
      <c r="G360">
        <f>IF(E360=0,0,INDEX('Планы менеджеров'!$B$5:$M$16,B360,D360)/INDEX(Мес_Раб,D360))</f>
        <v/>
      </c>
    </row>
    <row r="361">
      <c r="A361" t="inlineStr">
        <is>
          <t>Иванов</t>
        </is>
      </c>
      <c r="B361" t="n">
        <v>5</v>
      </c>
      <c r="C361" s="18">
        <f>'Календарь'!A358</f>
        <v/>
      </c>
      <c r="D361">
        <f>MONTH(C361)</f>
        <v/>
      </c>
      <c r="E361">
        <f>'Календарь'!D358</f>
        <v/>
      </c>
      <c r="F361">
        <f>INT((C361-Нед_Начало)/7)+1</f>
        <v/>
      </c>
      <c r="G361">
        <f>IF(E361=0,0,INDEX('Планы менеджеров'!$B$5:$M$16,B361,D361)/INDEX(Мес_Раб,D361))</f>
        <v/>
      </c>
    </row>
    <row r="362">
      <c r="A362" t="inlineStr">
        <is>
          <t>Иванов</t>
        </is>
      </c>
      <c r="B362" t="n">
        <v>5</v>
      </c>
      <c r="C362" s="18">
        <f>'Календарь'!A359</f>
        <v/>
      </c>
      <c r="D362">
        <f>MONTH(C362)</f>
        <v/>
      </c>
      <c r="E362">
        <f>'Календарь'!D359</f>
        <v/>
      </c>
      <c r="F362">
        <f>INT((C362-Нед_Начало)/7)+1</f>
        <v/>
      </c>
      <c r="G362">
        <f>IF(E362=0,0,INDEX('Планы менеджеров'!$B$5:$M$16,B362,D362)/INDEX(Мес_Раб,D362))</f>
        <v/>
      </c>
    </row>
    <row r="363">
      <c r="A363" t="inlineStr">
        <is>
          <t>Иванов</t>
        </is>
      </c>
      <c r="B363" t="n">
        <v>5</v>
      </c>
      <c r="C363" s="18">
        <f>'Календарь'!A360</f>
        <v/>
      </c>
      <c r="D363">
        <f>MONTH(C363)</f>
        <v/>
      </c>
      <c r="E363">
        <f>'Календарь'!D360</f>
        <v/>
      </c>
      <c r="F363">
        <f>INT((C363-Нед_Начало)/7)+1</f>
        <v/>
      </c>
      <c r="G363">
        <f>IF(E363=0,0,INDEX('Планы менеджеров'!$B$5:$M$16,B363,D363)/INDEX(Мес_Раб,D363))</f>
        <v/>
      </c>
    </row>
    <row r="364">
      <c r="A364" t="inlineStr">
        <is>
          <t>Иванов</t>
        </is>
      </c>
      <c r="B364" t="n">
        <v>5</v>
      </c>
      <c r="C364" s="18">
        <f>'Календарь'!A361</f>
        <v/>
      </c>
      <c r="D364">
        <f>MONTH(C364)</f>
        <v/>
      </c>
      <c r="E364">
        <f>'Календарь'!D361</f>
        <v/>
      </c>
      <c r="F364">
        <f>INT((C364-Нед_Начало)/7)+1</f>
        <v/>
      </c>
      <c r="G364">
        <f>IF(E364=0,0,INDEX('Планы менеджеров'!$B$5:$M$16,B364,D364)/INDEX(Мес_Раб,D364))</f>
        <v/>
      </c>
    </row>
    <row r="365">
      <c r="A365" t="inlineStr">
        <is>
          <t>Иванов</t>
        </is>
      </c>
      <c r="B365" t="n">
        <v>5</v>
      </c>
      <c r="C365" s="18">
        <f>'Календарь'!A362</f>
        <v/>
      </c>
      <c r="D365">
        <f>MONTH(C365)</f>
        <v/>
      </c>
      <c r="E365">
        <f>'Календарь'!D362</f>
        <v/>
      </c>
      <c r="F365">
        <f>INT((C365-Нед_Начало)/7)+1</f>
        <v/>
      </c>
      <c r="G365">
        <f>IF(E365=0,0,INDEX('Планы менеджеров'!$B$5:$M$16,B365,D365)/INDEX(Мес_Раб,D365))</f>
        <v/>
      </c>
    </row>
    <row r="366">
      <c r="A366" t="inlineStr">
        <is>
          <t>Иванов</t>
        </is>
      </c>
      <c r="B366" t="n">
        <v>5</v>
      </c>
      <c r="C366" s="18">
        <f>'Календарь'!A363</f>
        <v/>
      </c>
      <c r="D366">
        <f>MONTH(C366)</f>
        <v/>
      </c>
      <c r="E366">
        <f>'Календарь'!D363</f>
        <v/>
      </c>
      <c r="F366">
        <f>INT((C366-Нед_Начало)/7)+1</f>
        <v/>
      </c>
      <c r="G366">
        <f>IF(E366=0,0,INDEX('Планы менеджеров'!$B$5:$M$16,B366,D366)/INDEX(Мес_Раб,D366))</f>
        <v/>
      </c>
    </row>
    <row r="367">
      <c r="A367" t="inlineStr">
        <is>
          <t>Иванов</t>
        </is>
      </c>
      <c r="B367" t="n">
        <v>5</v>
      </c>
      <c r="C367" s="18">
        <f>'Календарь'!A364</f>
        <v/>
      </c>
      <c r="D367">
        <f>MONTH(C367)</f>
        <v/>
      </c>
      <c r="E367">
        <f>'Календарь'!D364</f>
        <v/>
      </c>
      <c r="F367">
        <f>INT((C367-Нед_Начало)/7)+1</f>
        <v/>
      </c>
      <c r="G367">
        <f>IF(E367=0,0,INDEX('Планы менеджеров'!$B$5:$M$16,B367,D367)/INDEX(Мес_Раб,D367))</f>
        <v/>
      </c>
    </row>
    <row r="368">
      <c r="A368" t="inlineStr">
        <is>
          <t>Иванов</t>
        </is>
      </c>
      <c r="B368" t="n">
        <v>5</v>
      </c>
      <c r="C368" s="18">
        <f>'Календарь'!A365</f>
        <v/>
      </c>
      <c r="D368">
        <f>MONTH(C368)</f>
        <v/>
      </c>
      <c r="E368">
        <f>'Календарь'!D365</f>
        <v/>
      </c>
      <c r="F368">
        <f>INT((C368-Нед_Начало)/7)+1</f>
        <v/>
      </c>
      <c r="G368">
        <f>IF(E368=0,0,INDEX('Планы менеджеров'!$B$5:$M$16,B368,D368)/INDEX(Мес_Раб,D368))</f>
        <v/>
      </c>
    </row>
    <row r="369">
      <c r="A369" t="inlineStr">
        <is>
          <t>Иванов</t>
        </is>
      </c>
      <c r="B369" t="n">
        <v>5</v>
      </c>
      <c r="C369" s="18">
        <f>'Календарь'!A366</f>
        <v/>
      </c>
      <c r="D369">
        <f>MONTH(C369)</f>
        <v/>
      </c>
      <c r="E369">
        <f>'Календарь'!D366</f>
        <v/>
      </c>
      <c r="F369">
        <f>INT((C369-Нед_Начало)/7)+1</f>
        <v/>
      </c>
      <c r="G369">
        <f>IF(E369=0,0,INDEX('Планы менеджеров'!$B$5:$M$16,B369,D369)/INDEX(Мес_Раб,D369))</f>
        <v/>
      </c>
    </row>
    <row r="370">
      <c r="A370" t="inlineStr">
        <is>
          <t>Иванов</t>
        </is>
      </c>
      <c r="B370" t="n">
        <v>5</v>
      </c>
      <c r="C370" s="18">
        <f>'Календарь'!A367</f>
        <v/>
      </c>
      <c r="D370">
        <f>MONTH(C370)</f>
        <v/>
      </c>
      <c r="E370">
        <f>'Календарь'!D367</f>
        <v/>
      </c>
      <c r="F370">
        <f>INT((C370-Нед_Начало)/7)+1</f>
        <v/>
      </c>
      <c r="G370">
        <f>IF(E370=0,0,INDEX('Планы менеджеров'!$B$5:$M$16,B370,D370)/INDEX(Мес_Раб,D370))</f>
        <v/>
      </c>
    </row>
    <row r="371">
      <c r="A371" t="inlineStr">
        <is>
          <t>Иванов</t>
        </is>
      </c>
      <c r="B371" t="n">
        <v>5</v>
      </c>
      <c r="C371" s="18">
        <f>'Календарь'!A368</f>
        <v/>
      </c>
      <c r="D371">
        <f>MONTH(C371)</f>
        <v/>
      </c>
      <c r="E371">
        <f>'Календарь'!D368</f>
        <v/>
      </c>
      <c r="F371">
        <f>INT((C371-Нед_Начало)/7)+1</f>
        <v/>
      </c>
      <c r="G371">
        <f>IF(E371=0,0,INDEX('Планы менеджеров'!$B$5:$M$16,B371,D371)/INDEX(Мес_Раб,D371))</f>
        <v/>
      </c>
    </row>
    <row r="372">
      <c r="A372" t="inlineStr">
        <is>
          <t>Иванов</t>
        </is>
      </c>
      <c r="B372" t="n">
        <v>5</v>
      </c>
      <c r="C372" s="18">
        <f>'Календарь'!A369</f>
        <v/>
      </c>
      <c r="D372">
        <f>MONTH(C372)</f>
        <v/>
      </c>
      <c r="E372">
        <f>'Календарь'!D369</f>
        <v/>
      </c>
      <c r="F372">
        <f>INT((C372-Нед_Начало)/7)+1</f>
        <v/>
      </c>
      <c r="G372">
        <f>IF(E372=0,0,INDEX('Планы менеджеров'!$B$5:$M$16,B372,D372)/INDEX(Мес_Раб,D372))</f>
        <v/>
      </c>
    </row>
    <row r="373">
      <c r="A373" t="inlineStr">
        <is>
          <t>Иванов</t>
        </is>
      </c>
      <c r="B373" t="n">
        <v>5</v>
      </c>
      <c r="C373" s="18">
        <f>'Календарь'!A370</f>
        <v/>
      </c>
      <c r="D373">
        <f>MONTH(C373)</f>
        <v/>
      </c>
      <c r="E373">
        <f>'Календарь'!D370</f>
        <v/>
      </c>
      <c r="F373">
        <f>INT((C373-Нед_Начало)/7)+1</f>
        <v/>
      </c>
      <c r="G373">
        <f>IF(E373=0,0,INDEX('Планы менеджеров'!$B$5:$M$16,B373,D373)/INDEX(Мес_Раб,D373))</f>
        <v/>
      </c>
    </row>
    <row r="374">
      <c r="A374" t="inlineStr">
        <is>
          <t>Иванов</t>
        </is>
      </c>
      <c r="B374" t="n">
        <v>5</v>
      </c>
      <c r="C374" s="18">
        <f>'Календарь'!A371</f>
        <v/>
      </c>
      <c r="D374">
        <f>MONTH(C374)</f>
        <v/>
      </c>
      <c r="E374">
        <f>'Календарь'!D371</f>
        <v/>
      </c>
      <c r="F374">
        <f>INT((C374-Нед_Начало)/7)+1</f>
        <v/>
      </c>
      <c r="G374">
        <f>IF(E374=0,0,INDEX('Планы менеджеров'!$B$5:$M$16,B374,D374)/INDEX(Мес_Раб,D374))</f>
        <v/>
      </c>
    </row>
    <row r="375">
      <c r="A375" t="inlineStr">
        <is>
          <t>Иванов</t>
        </is>
      </c>
      <c r="B375" t="n">
        <v>5</v>
      </c>
      <c r="C375" s="18">
        <f>'Календарь'!A372</f>
        <v/>
      </c>
      <c r="D375">
        <f>MONTH(C375)</f>
        <v/>
      </c>
      <c r="E375">
        <f>'Календарь'!D372</f>
        <v/>
      </c>
      <c r="F375">
        <f>INT((C375-Нед_Начало)/7)+1</f>
        <v/>
      </c>
      <c r="G375">
        <f>IF(E375=0,0,INDEX('Планы менеджеров'!$B$5:$M$16,B375,D375)/INDEX(Мес_Раб,D375))</f>
        <v/>
      </c>
    </row>
    <row r="376">
      <c r="A376" t="inlineStr">
        <is>
          <t>Петрова</t>
        </is>
      </c>
      <c r="B376" t="n">
        <v>6</v>
      </c>
      <c r="C376" s="18">
        <f>'Календарь'!A2</f>
        <v/>
      </c>
      <c r="D376">
        <f>MONTH(C376)</f>
        <v/>
      </c>
      <c r="E376">
        <f>'Календарь'!D2</f>
        <v/>
      </c>
      <c r="F376">
        <f>INT((C376-Нед_Начало)/7)+1</f>
        <v/>
      </c>
      <c r="G376">
        <f>IF(E376=0,0,INDEX('Планы менеджеров'!$B$5:$M$16,B376,D376)/INDEX(Мес_Раб,D376))</f>
        <v/>
      </c>
    </row>
    <row r="377">
      <c r="A377" t="inlineStr">
        <is>
          <t>Петрова</t>
        </is>
      </c>
      <c r="B377" t="n">
        <v>6</v>
      </c>
      <c r="C377" s="18">
        <f>'Календарь'!A3</f>
        <v/>
      </c>
      <c r="D377">
        <f>MONTH(C377)</f>
        <v/>
      </c>
      <c r="E377">
        <f>'Календарь'!D3</f>
        <v/>
      </c>
      <c r="F377">
        <f>INT((C377-Нед_Начало)/7)+1</f>
        <v/>
      </c>
      <c r="G377">
        <f>IF(E377=0,0,INDEX('Планы менеджеров'!$B$5:$M$16,B377,D377)/INDEX(Мес_Раб,D377))</f>
        <v/>
      </c>
    </row>
    <row r="378">
      <c r="A378" t="inlineStr">
        <is>
          <t>Петрова</t>
        </is>
      </c>
      <c r="B378" t="n">
        <v>6</v>
      </c>
      <c r="C378" s="18">
        <f>'Календарь'!A4</f>
        <v/>
      </c>
      <c r="D378">
        <f>MONTH(C378)</f>
        <v/>
      </c>
      <c r="E378">
        <f>'Календарь'!D4</f>
        <v/>
      </c>
      <c r="F378">
        <f>INT((C378-Нед_Начало)/7)+1</f>
        <v/>
      </c>
      <c r="G378">
        <f>IF(E378=0,0,INDEX('Планы менеджеров'!$B$5:$M$16,B378,D378)/INDEX(Мес_Раб,D378))</f>
        <v/>
      </c>
    </row>
    <row r="379">
      <c r="A379" t="inlineStr">
        <is>
          <t>Петрова</t>
        </is>
      </c>
      <c r="B379" t="n">
        <v>6</v>
      </c>
      <c r="C379" s="18">
        <f>'Календарь'!A5</f>
        <v/>
      </c>
      <c r="D379">
        <f>MONTH(C379)</f>
        <v/>
      </c>
      <c r="E379">
        <f>'Календарь'!D5</f>
        <v/>
      </c>
      <c r="F379">
        <f>INT((C379-Нед_Начало)/7)+1</f>
        <v/>
      </c>
      <c r="G379">
        <f>IF(E379=0,0,INDEX('Планы менеджеров'!$B$5:$M$16,B379,D379)/INDEX(Мес_Раб,D379))</f>
        <v/>
      </c>
    </row>
    <row r="380">
      <c r="A380" t="inlineStr">
        <is>
          <t>Петрова</t>
        </is>
      </c>
      <c r="B380" t="n">
        <v>6</v>
      </c>
      <c r="C380" s="18">
        <f>'Календарь'!A6</f>
        <v/>
      </c>
      <c r="D380">
        <f>MONTH(C380)</f>
        <v/>
      </c>
      <c r="E380">
        <f>'Календарь'!D6</f>
        <v/>
      </c>
      <c r="F380">
        <f>INT((C380-Нед_Начало)/7)+1</f>
        <v/>
      </c>
      <c r="G380">
        <f>IF(E380=0,0,INDEX('Планы менеджеров'!$B$5:$M$16,B380,D380)/INDEX(Мес_Раб,D380))</f>
        <v/>
      </c>
    </row>
    <row r="381">
      <c r="A381" t="inlineStr">
        <is>
          <t>Петрова</t>
        </is>
      </c>
      <c r="B381" t="n">
        <v>6</v>
      </c>
      <c r="C381" s="18">
        <f>'Календарь'!A7</f>
        <v/>
      </c>
      <c r="D381">
        <f>MONTH(C381)</f>
        <v/>
      </c>
      <c r="E381">
        <f>'Календарь'!D7</f>
        <v/>
      </c>
      <c r="F381">
        <f>INT((C381-Нед_Начало)/7)+1</f>
        <v/>
      </c>
      <c r="G381">
        <f>IF(E381=0,0,INDEX('Планы менеджеров'!$B$5:$M$16,B381,D381)/INDEX(Мес_Раб,D381))</f>
        <v/>
      </c>
    </row>
    <row r="382">
      <c r="A382" t="inlineStr">
        <is>
          <t>Петрова</t>
        </is>
      </c>
      <c r="B382" t="n">
        <v>6</v>
      </c>
      <c r="C382" s="18">
        <f>'Календарь'!A8</f>
        <v/>
      </c>
      <c r="D382">
        <f>MONTH(C382)</f>
        <v/>
      </c>
      <c r="E382">
        <f>'Календарь'!D8</f>
        <v/>
      </c>
      <c r="F382">
        <f>INT((C382-Нед_Начало)/7)+1</f>
        <v/>
      </c>
      <c r="G382">
        <f>IF(E382=0,0,INDEX('Планы менеджеров'!$B$5:$M$16,B382,D382)/INDEX(Мес_Раб,D382))</f>
        <v/>
      </c>
    </row>
    <row r="383">
      <c r="A383" t="inlineStr">
        <is>
          <t>Петрова</t>
        </is>
      </c>
      <c r="B383" t="n">
        <v>6</v>
      </c>
      <c r="C383" s="18">
        <f>'Календарь'!A9</f>
        <v/>
      </c>
      <c r="D383">
        <f>MONTH(C383)</f>
        <v/>
      </c>
      <c r="E383">
        <f>'Календарь'!D9</f>
        <v/>
      </c>
      <c r="F383">
        <f>INT((C383-Нед_Начало)/7)+1</f>
        <v/>
      </c>
      <c r="G383">
        <f>IF(E383=0,0,INDEX('Планы менеджеров'!$B$5:$M$16,B383,D383)/INDEX(Мес_Раб,D383))</f>
        <v/>
      </c>
    </row>
    <row r="384">
      <c r="A384" t="inlineStr">
        <is>
          <t>Петрова</t>
        </is>
      </c>
      <c r="B384" t="n">
        <v>6</v>
      </c>
      <c r="C384" s="18">
        <f>'Календарь'!A10</f>
        <v/>
      </c>
      <c r="D384">
        <f>MONTH(C384)</f>
        <v/>
      </c>
      <c r="E384">
        <f>'Календарь'!D10</f>
        <v/>
      </c>
      <c r="F384">
        <f>INT((C384-Нед_Начало)/7)+1</f>
        <v/>
      </c>
      <c r="G384">
        <f>IF(E384=0,0,INDEX('Планы менеджеров'!$B$5:$M$16,B384,D384)/INDEX(Мес_Раб,D384))</f>
        <v/>
      </c>
    </row>
    <row r="385">
      <c r="A385" t="inlineStr">
        <is>
          <t>Петрова</t>
        </is>
      </c>
      <c r="B385" t="n">
        <v>6</v>
      </c>
      <c r="C385" s="18">
        <f>'Календарь'!A11</f>
        <v/>
      </c>
      <c r="D385">
        <f>MONTH(C385)</f>
        <v/>
      </c>
      <c r="E385">
        <f>'Календарь'!D11</f>
        <v/>
      </c>
      <c r="F385">
        <f>INT((C385-Нед_Начало)/7)+1</f>
        <v/>
      </c>
      <c r="G385">
        <f>IF(E385=0,0,INDEX('Планы менеджеров'!$B$5:$M$16,B385,D385)/INDEX(Мес_Раб,D385))</f>
        <v/>
      </c>
    </row>
    <row r="386">
      <c r="A386" t="inlineStr">
        <is>
          <t>Петрова</t>
        </is>
      </c>
      <c r="B386" t="n">
        <v>6</v>
      </c>
      <c r="C386" s="18">
        <f>'Календарь'!A12</f>
        <v/>
      </c>
      <c r="D386">
        <f>MONTH(C386)</f>
        <v/>
      </c>
      <c r="E386">
        <f>'Календарь'!D12</f>
        <v/>
      </c>
      <c r="F386">
        <f>INT((C386-Нед_Начало)/7)+1</f>
        <v/>
      </c>
      <c r="G386">
        <f>IF(E386=0,0,INDEX('Планы менеджеров'!$B$5:$M$16,B386,D386)/INDEX(Мес_Раб,D386))</f>
        <v/>
      </c>
    </row>
    <row r="387">
      <c r="A387" t="inlineStr">
        <is>
          <t>Петрова</t>
        </is>
      </c>
      <c r="B387" t="n">
        <v>6</v>
      </c>
      <c r="C387" s="18">
        <f>'Календарь'!A13</f>
        <v/>
      </c>
      <c r="D387">
        <f>MONTH(C387)</f>
        <v/>
      </c>
      <c r="E387">
        <f>'Календарь'!D13</f>
        <v/>
      </c>
      <c r="F387">
        <f>INT((C387-Нед_Начало)/7)+1</f>
        <v/>
      </c>
      <c r="G387">
        <f>IF(E387=0,0,INDEX('Планы менеджеров'!$B$5:$M$16,B387,D387)/INDEX(Мес_Раб,D387))</f>
        <v/>
      </c>
    </row>
    <row r="388">
      <c r="A388" t="inlineStr">
        <is>
          <t>Петрова</t>
        </is>
      </c>
      <c r="B388" t="n">
        <v>6</v>
      </c>
      <c r="C388" s="18">
        <f>'Календарь'!A14</f>
        <v/>
      </c>
      <c r="D388">
        <f>MONTH(C388)</f>
        <v/>
      </c>
      <c r="E388">
        <f>'Календарь'!D14</f>
        <v/>
      </c>
      <c r="F388">
        <f>INT((C388-Нед_Начало)/7)+1</f>
        <v/>
      </c>
      <c r="G388">
        <f>IF(E388=0,0,INDEX('Планы менеджеров'!$B$5:$M$16,B388,D388)/INDEX(Мес_Раб,D388))</f>
        <v/>
      </c>
    </row>
    <row r="389">
      <c r="A389" t="inlineStr">
        <is>
          <t>Петрова</t>
        </is>
      </c>
      <c r="B389" t="n">
        <v>6</v>
      </c>
      <c r="C389" s="18">
        <f>'Календарь'!A15</f>
        <v/>
      </c>
      <c r="D389">
        <f>MONTH(C389)</f>
        <v/>
      </c>
      <c r="E389">
        <f>'Календарь'!D15</f>
        <v/>
      </c>
      <c r="F389">
        <f>INT((C389-Нед_Начало)/7)+1</f>
        <v/>
      </c>
      <c r="G389">
        <f>IF(E389=0,0,INDEX('Планы менеджеров'!$B$5:$M$16,B389,D389)/INDEX(Мес_Раб,D389))</f>
        <v/>
      </c>
    </row>
    <row r="390">
      <c r="A390" t="inlineStr">
        <is>
          <t>Петрова</t>
        </is>
      </c>
      <c r="B390" t="n">
        <v>6</v>
      </c>
      <c r="C390" s="18">
        <f>'Календарь'!A16</f>
        <v/>
      </c>
      <c r="D390">
        <f>MONTH(C390)</f>
        <v/>
      </c>
      <c r="E390">
        <f>'Календарь'!D16</f>
        <v/>
      </c>
      <c r="F390">
        <f>INT((C390-Нед_Начало)/7)+1</f>
        <v/>
      </c>
      <c r="G390">
        <f>IF(E390=0,0,INDEX('Планы менеджеров'!$B$5:$M$16,B390,D390)/INDEX(Мес_Раб,D390))</f>
        <v/>
      </c>
    </row>
    <row r="391">
      <c r="A391" t="inlineStr">
        <is>
          <t>Петрова</t>
        </is>
      </c>
      <c r="B391" t="n">
        <v>6</v>
      </c>
      <c r="C391" s="18">
        <f>'Календарь'!A17</f>
        <v/>
      </c>
      <c r="D391">
        <f>MONTH(C391)</f>
        <v/>
      </c>
      <c r="E391">
        <f>'Календарь'!D17</f>
        <v/>
      </c>
      <c r="F391">
        <f>INT((C391-Нед_Начало)/7)+1</f>
        <v/>
      </c>
      <c r="G391">
        <f>IF(E391=0,0,INDEX('Планы менеджеров'!$B$5:$M$16,B391,D391)/INDEX(Мес_Раб,D391))</f>
        <v/>
      </c>
    </row>
    <row r="392">
      <c r="A392" t="inlineStr">
        <is>
          <t>Петрова</t>
        </is>
      </c>
      <c r="B392" t="n">
        <v>6</v>
      </c>
      <c r="C392" s="18">
        <f>'Календарь'!A18</f>
        <v/>
      </c>
      <c r="D392">
        <f>MONTH(C392)</f>
        <v/>
      </c>
      <c r="E392">
        <f>'Календарь'!D18</f>
        <v/>
      </c>
      <c r="F392">
        <f>INT((C392-Нед_Начало)/7)+1</f>
        <v/>
      </c>
      <c r="G392">
        <f>IF(E392=0,0,INDEX('Планы менеджеров'!$B$5:$M$16,B392,D392)/INDEX(Мес_Раб,D392))</f>
        <v/>
      </c>
    </row>
    <row r="393">
      <c r="A393" t="inlineStr">
        <is>
          <t>Петрова</t>
        </is>
      </c>
      <c r="B393" t="n">
        <v>6</v>
      </c>
      <c r="C393" s="18">
        <f>'Календарь'!A19</f>
        <v/>
      </c>
      <c r="D393">
        <f>MONTH(C393)</f>
        <v/>
      </c>
      <c r="E393">
        <f>'Календарь'!D19</f>
        <v/>
      </c>
      <c r="F393">
        <f>INT((C393-Нед_Начало)/7)+1</f>
        <v/>
      </c>
      <c r="G393">
        <f>IF(E393=0,0,INDEX('Планы менеджеров'!$B$5:$M$16,B393,D393)/INDEX(Мес_Раб,D393))</f>
        <v/>
      </c>
    </row>
    <row r="394">
      <c r="A394" t="inlineStr">
        <is>
          <t>Петрова</t>
        </is>
      </c>
      <c r="B394" t="n">
        <v>6</v>
      </c>
      <c r="C394" s="18">
        <f>'Календарь'!A20</f>
        <v/>
      </c>
      <c r="D394">
        <f>MONTH(C394)</f>
        <v/>
      </c>
      <c r="E394">
        <f>'Календарь'!D20</f>
        <v/>
      </c>
      <c r="F394">
        <f>INT((C394-Нед_Начало)/7)+1</f>
        <v/>
      </c>
      <c r="G394">
        <f>IF(E394=0,0,INDEX('Планы менеджеров'!$B$5:$M$16,B394,D394)/INDEX(Мес_Раб,D394))</f>
        <v/>
      </c>
    </row>
    <row r="395">
      <c r="A395" t="inlineStr">
        <is>
          <t>Петрова</t>
        </is>
      </c>
      <c r="B395" t="n">
        <v>6</v>
      </c>
      <c r="C395" s="18">
        <f>'Календарь'!A21</f>
        <v/>
      </c>
      <c r="D395">
        <f>MONTH(C395)</f>
        <v/>
      </c>
      <c r="E395">
        <f>'Календарь'!D21</f>
        <v/>
      </c>
      <c r="F395">
        <f>INT((C395-Нед_Начало)/7)+1</f>
        <v/>
      </c>
      <c r="G395">
        <f>IF(E395=0,0,INDEX('Планы менеджеров'!$B$5:$M$16,B395,D395)/INDEX(Мес_Раб,D395))</f>
        <v/>
      </c>
    </row>
    <row r="396">
      <c r="A396" t="inlineStr">
        <is>
          <t>Петрова</t>
        </is>
      </c>
      <c r="B396" t="n">
        <v>6</v>
      </c>
      <c r="C396" s="18">
        <f>'Календарь'!A22</f>
        <v/>
      </c>
      <c r="D396">
        <f>MONTH(C396)</f>
        <v/>
      </c>
      <c r="E396">
        <f>'Календарь'!D22</f>
        <v/>
      </c>
      <c r="F396">
        <f>INT((C396-Нед_Начало)/7)+1</f>
        <v/>
      </c>
      <c r="G396">
        <f>IF(E396=0,0,INDEX('Планы менеджеров'!$B$5:$M$16,B396,D396)/INDEX(Мес_Раб,D396))</f>
        <v/>
      </c>
    </row>
    <row r="397">
      <c r="A397" t="inlineStr">
        <is>
          <t>Петрова</t>
        </is>
      </c>
      <c r="B397" t="n">
        <v>6</v>
      </c>
      <c r="C397" s="18">
        <f>'Календарь'!A23</f>
        <v/>
      </c>
      <c r="D397">
        <f>MONTH(C397)</f>
        <v/>
      </c>
      <c r="E397">
        <f>'Календарь'!D23</f>
        <v/>
      </c>
      <c r="F397">
        <f>INT((C397-Нед_Начало)/7)+1</f>
        <v/>
      </c>
      <c r="G397">
        <f>IF(E397=0,0,INDEX('Планы менеджеров'!$B$5:$M$16,B397,D397)/INDEX(Мес_Раб,D397))</f>
        <v/>
      </c>
    </row>
    <row r="398">
      <c r="A398" t="inlineStr">
        <is>
          <t>Петрова</t>
        </is>
      </c>
      <c r="B398" t="n">
        <v>6</v>
      </c>
      <c r="C398" s="18">
        <f>'Календарь'!A24</f>
        <v/>
      </c>
      <c r="D398">
        <f>MONTH(C398)</f>
        <v/>
      </c>
      <c r="E398">
        <f>'Календарь'!D24</f>
        <v/>
      </c>
      <c r="F398">
        <f>INT((C398-Нед_Начало)/7)+1</f>
        <v/>
      </c>
      <c r="G398">
        <f>IF(E398=0,0,INDEX('Планы менеджеров'!$B$5:$M$16,B398,D398)/INDEX(Мес_Раб,D398))</f>
        <v/>
      </c>
    </row>
    <row r="399">
      <c r="A399" t="inlineStr">
        <is>
          <t>Петрова</t>
        </is>
      </c>
      <c r="B399" t="n">
        <v>6</v>
      </c>
      <c r="C399" s="18">
        <f>'Календарь'!A25</f>
        <v/>
      </c>
      <c r="D399">
        <f>MONTH(C399)</f>
        <v/>
      </c>
      <c r="E399">
        <f>'Календарь'!D25</f>
        <v/>
      </c>
      <c r="F399">
        <f>INT((C399-Нед_Начало)/7)+1</f>
        <v/>
      </c>
      <c r="G399">
        <f>IF(E399=0,0,INDEX('Планы менеджеров'!$B$5:$M$16,B399,D399)/INDEX(Мес_Раб,D399))</f>
        <v/>
      </c>
    </row>
    <row r="400">
      <c r="A400" t="inlineStr">
        <is>
          <t>Петрова</t>
        </is>
      </c>
      <c r="B400" t="n">
        <v>6</v>
      </c>
      <c r="C400" s="18">
        <f>'Календарь'!A26</f>
        <v/>
      </c>
      <c r="D400">
        <f>MONTH(C400)</f>
        <v/>
      </c>
      <c r="E400">
        <f>'Календарь'!D26</f>
        <v/>
      </c>
      <c r="F400">
        <f>INT((C400-Нед_Начало)/7)+1</f>
        <v/>
      </c>
      <c r="G400">
        <f>IF(E400=0,0,INDEX('Планы менеджеров'!$B$5:$M$16,B400,D400)/INDEX(Мес_Раб,D400))</f>
        <v/>
      </c>
    </row>
    <row r="401">
      <c r="A401" t="inlineStr">
        <is>
          <t>Петрова</t>
        </is>
      </c>
      <c r="B401" t="n">
        <v>6</v>
      </c>
      <c r="C401" s="18">
        <f>'Календарь'!A27</f>
        <v/>
      </c>
      <c r="D401">
        <f>MONTH(C401)</f>
        <v/>
      </c>
      <c r="E401">
        <f>'Календарь'!D27</f>
        <v/>
      </c>
      <c r="F401">
        <f>INT((C401-Нед_Начало)/7)+1</f>
        <v/>
      </c>
      <c r="G401">
        <f>IF(E401=0,0,INDEX('Планы менеджеров'!$B$5:$M$16,B401,D401)/INDEX(Мес_Раб,D401))</f>
        <v/>
      </c>
    </row>
    <row r="402">
      <c r="A402" t="inlineStr">
        <is>
          <t>Петрова</t>
        </is>
      </c>
      <c r="B402" t="n">
        <v>6</v>
      </c>
      <c r="C402" s="18">
        <f>'Календарь'!A28</f>
        <v/>
      </c>
      <c r="D402">
        <f>MONTH(C402)</f>
        <v/>
      </c>
      <c r="E402">
        <f>'Календарь'!D28</f>
        <v/>
      </c>
      <c r="F402">
        <f>INT((C402-Нед_Начало)/7)+1</f>
        <v/>
      </c>
      <c r="G402">
        <f>IF(E402=0,0,INDEX('Планы менеджеров'!$B$5:$M$16,B402,D402)/INDEX(Мес_Раб,D402))</f>
        <v/>
      </c>
    </row>
    <row r="403">
      <c r="A403" t="inlineStr">
        <is>
          <t>Петрова</t>
        </is>
      </c>
      <c r="B403" t="n">
        <v>6</v>
      </c>
      <c r="C403" s="18">
        <f>'Календарь'!A29</f>
        <v/>
      </c>
      <c r="D403">
        <f>MONTH(C403)</f>
        <v/>
      </c>
      <c r="E403">
        <f>'Календарь'!D29</f>
        <v/>
      </c>
      <c r="F403">
        <f>INT((C403-Нед_Начало)/7)+1</f>
        <v/>
      </c>
      <c r="G403">
        <f>IF(E403=0,0,INDEX('Планы менеджеров'!$B$5:$M$16,B403,D403)/INDEX(Мес_Раб,D403))</f>
        <v/>
      </c>
    </row>
    <row r="404">
      <c r="A404" t="inlineStr">
        <is>
          <t>Петрова</t>
        </is>
      </c>
      <c r="B404" t="n">
        <v>6</v>
      </c>
      <c r="C404" s="18">
        <f>'Календарь'!A30</f>
        <v/>
      </c>
      <c r="D404">
        <f>MONTH(C404)</f>
        <v/>
      </c>
      <c r="E404">
        <f>'Календарь'!D30</f>
        <v/>
      </c>
      <c r="F404">
        <f>INT((C404-Нед_Начало)/7)+1</f>
        <v/>
      </c>
      <c r="G404">
        <f>IF(E404=0,0,INDEX('Планы менеджеров'!$B$5:$M$16,B404,D404)/INDEX(Мес_Раб,D404))</f>
        <v/>
      </c>
    </row>
    <row r="405">
      <c r="A405" t="inlineStr">
        <is>
          <t>Петрова</t>
        </is>
      </c>
      <c r="B405" t="n">
        <v>6</v>
      </c>
      <c r="C405" s="18">
        <f>'Календарь'!A31</f>
        <v/>
      </c>
      <c r="D405">
        <f>MONTH(C405)</f>
        <v/>
      </c>
      <c r="E405">
        <f>'Календарь'!D31</f>
        <v/>
      </c>
      <c r="F405">
        <f>INT((C405-Нед_Начало)/7)+1</f>
        <v/>
      </c>
      <c r="G405">
        <f>IF(E405=0,0,INDEX('Планы менеджеров'!$B$5:$M$16,B405,D405)/INDEX(Мес_Раб,D405))</f>
        <v/>
      </c>
    </row>
    <row r="406">
      <c r="A406" t="inlineStr">
        <is>
          <t>Петрова</t>
        </is>
      </c>
      <c r="B406" t="n">
        <v>6</v>
      </c>
      <c r="C406" s="18">
        <f>'Календарь'!A32</f>
        <v/>
      </c>
      <c r="D406">
        <f>MONTH(C406)</f>
        <v/>
      </c>
      <c r="E406">
        <f>'Календарь'!D32</f>
        <v/>
      </c>
      <c r="F406">
        <f>INT((C406-Нед_Начало)/7)+1</f>
        <v/>
      </c>
      <c r="G406">
        <f>IF(E406=0,0,INDEX('Планы менеджеров'!$B$5:$M$16,B406,D406)/INDEX(Мес_Раб,D406))</f>
        <v/>
      </c>
    </row>
    <row r="407">
      <c r="A407" t="inlineStr">
        <is>
          <t>Петрова</t>
        </is>
      </c>
      <c r="B407" t="n">
        <v>6</v>
      </c>
      <c r="C407" s="18">
        <f>'Календарь'!A33</f>
        <v/>
      </c>
      <c r="D407">
        <f>MONTH(C407)</f>
        <v/>
      </c>
      <c r="E407">
        <f>'Календарь'!D33</f>
        <v/>
      </c>
      <c r="F407">
        <f>INT((C407-Нед_Начало)/7)+1</f>
        <v/>
      </c>
      <c r="G407">
        <f>IF(E407=0,0,INDEX('Планы менеджеров'!$B$5:$M$16,B407,D407)/INDEX(Мес_Раб,D407))</f>
        <v/>
      </c>
    </row>
    <row r="408">
      <c r="A408" t="inlineStr">
        <is>
          <t>Петрова</t>
        </is>
      </c>
      <c r="B408" t="n">
        <v>6</v>
      </c>
      <c r="C408" s="18">
        <f>'Календарь'!A34</f>
        <v/>
      </c>
      <c r="D408">
        <f>MONTH(C408)</f>
        <v/>
      </c>
      <c r="E408">
        <f>'Календарь'!D34</f>
        <v/>
      </c>
      <c r="F408">
        <f>INT((C408-Нед_Начало)/7)+1</f>
        <v/>
      </c>
      <c r="G408">
        <f>IF(E408=0,0,INDEX('Планы менеджеров'!$B$5:$M$16,B408,D408)/INDEX(Мес_Раб,D408))</f>
        <v/>
      </c>
    </row>
    <row r="409">
      <c r="A409" t="inlineStr">
        <is>
          <t>Петрова</t>
        </is>
      </c>
      <c r="B409" t="n">
        <v>6</v>
      </c>
      <c r="C409" s="18">
        <f>'Календарь'!A35</f>
        <v/>
      </c>
      <c r="D409">
        <f>MONTH(C409)</f>
        <v/>
      </c>
      <c r="E409">
        <f>'Календарь'!D35</f>
        <v/>
      </c>
      <c r="F409">
        <f>INT((C409-Нед_Начало)/7)+1</f>
        <v/>
      </c>
      <c r="G409">
        <f>IF(E409=0,0,INDEX('Планы менеджеров'!$B$5:$M$16,B409,D409)/INDEX(Мес_Раб,D409))</f>
        <v/>
      </c>
    </row>
    <row r="410">
      <c r="A410" t="inlineStr">
        <is>
          <t>Петрова</t>
        </is>
      </c>
      <c r="B410" t="n">
        <v>6</v>
      </c>
      <c r="C410" s="18">
        <f>'Календарь'!A36</f>
        <v/>
      </c>
      <c r="D410">
        <f>MONTH(C410)</f>
        <v/>
      </c>
      <c r="E410">
        <f>'Календарь'!D36</f>
        <v/>
      </c>
      <c r="F410">
        <f>INT((C410-Нед_Начало)/7)+1</f>
        <v/>
      </c>
      <c r="G410">
        <f>IF(E410=0,0,INDEX('Планы менеджеров'!$B$5:$M$16,B410,D410)/INDEX(Мес_Раб,D410))</f>
        <v/>
      </c>
    </row>
    <row r="411">
      <c r="A411" t="inlineStr">
        <is>
          <t>Петрова</t>
        </is>
      </c>
      <c r="B411" t="n">
        <v>6</v>
      </c>
      <c r="C411" s="18">
        <f>'Календарь'!A37</f>
        <v/>
      </c>
      <c r="D411">
        <f>MONTH(C411)</f>
        <v/>
      </c>
      <c r="E411">
        <f>'Календарь'!D37</f>
        <v/>
      </c>
      <c r="F411">
        <f>INT((C411-Нед_Начало)/7)+1</f>
        <v/>
      </c>
      <c r="G411">
        <f>IF(E411=0,0,INDEX('Планы менеджеров'!$B$5:$M$16,B411,D411)/INDEX(Мес_Раб,D411))</f>
        <v/>
      </c>
    </row>
    <row r="412">
      <c r="A412" t="inlineStr">
        <is>
          <t>Петрова</t>
        </is>
      </c>
      <c r="B412" t="n">
        <v>6</v>
      </c>
      <c r="C412" s="18">
        <f>'Календарь'!A38</f>
        <v/>
      </c>
      <c r="D412">
        <f>MONTH(C412)</f>
        <v/>
      </c>
      <c r="E412">
        <f>'Календарь'!D38</f>
        <v/>
      </c>
      <c r="F412">
        <f>INT((C412-Нед_Начало)/7)+1</f>
        <v/>
      </c>
      <c r="G412">
        <f>IF(E412=0,0,INDEX('Планы менеджеров'!$B$5:$M$16,B412,D412)/INDEX(Мес_Раб,D412))</f>
        <v/>
      </c>
    </row>
    <row r="413">
      <c r="A413" t="inlineStr">
        <is>
          <t>Петрова</t>
        </is>
      </c>
      <c r="B413" t="n">
        <v>6</v>
      </c>
      <c r="C413" s="18">
        <f>'Календарь'!A39</f>
        <v/>
      </c>
      <c r="D413">
        <f>MONTH(C413)</f>
        <v/>
      </c>
      <c r="E413">
        <f>'Календарь'!D39</f>
        <v/>
      </c>
      <c r="F413">
        <f>INT((C413-Нед_Начало)/7)+1</f>
        <v/>
      </c>
      <c r="G413">
        <f>IF(E413=0,0,INDEX('Планы менеджеров'!$B$5:$M$16,B413,D413)/INDEX(Мес_Раб,D413))</f>
        <v/>
      </c>
    </row>
    <row r="414">
      <c r="A414" t="inlineStr">
        <is>
          <t>Петрова</t>
        </is>
      </c>
      <c r="B414" t="n">
        <v>6</v>
      </c>
      <c r="C414" s="18">
        <f>'Календарь'!A40</f>
        <v/>
      </c>
      <c r="D414">
        <f>MONTH(C414)</f>
        <v/>
      </c>
      <c r="E414">
        <f>'Календарь'!D40</f>
        <v/>
      </c>
      <c r="F414">
        <f>INT((C414-Нед_Начало)/7)+1</f>
        <v/>
      </c>
      <c r="G414">
        <f>IF(E414=0,0,INDEX('Планы менеджеров'!$B$5:$M$16,B414,D414)/INDEX(Мес_Раб,D414))</f>
        <v/>
      </c>
    </row>
    <row r="415">
      <c r="A415" t="inlineStr">
        <is>
          <t>Петрова</t>
        </is>
      </c>
      <c r="B415" t="n">
        <v>6</v>
      </c>
      <c r="C415" s="18">
        <f>'Календарь'!A41</f>
        <v/>
      </c>
      <c r="D415">
        <f>MONTH(C415)</f>
        <v/>
      </c>
      <c r="E415">
        <f>'Календарь'!D41</f>
        <v/>
      </c>
      <c r="F415">
        <f>INT((C415-Нед_Начало)/7)+1</f>
        <v/>
      </c>
      <c r="G415">
        <f>IF(E415=0,0,INDEX('Планы менеджеров'!$B$5:$M$16,B415,D415)/INDEX(Мес_Раб,D415))</f>
        <v/>
      </c>
    </row>
    <row r="416">
      <c r="A416" t="inlineStr">
        <is>
          <t>Петрова</t>
        </is>
      </c>
      <c r="B416" t="n">
        <v>6</v>
      </c>
      <c r="C416" s="18">
        <f>'Календарь'!A42</f>
        <v/>
      </c>
      <c r="D416">
        <f>MONTH(C416)</f>
        <v/>
      </c>
      <c r="E416">
        <f>'Календарь'!D42</f>
        <v/>
      </c>
      <c r="F416">
        <f>INT((C416-Нед_Начало)/7)+1</f>
        <v/>
      </c>
      <c r="G416">
        <f>IF(E416=0,0,INDEX('Планы менеджеров'!$B$5:$M$16,B416,D416)/INDEX(Мес_Раб,D416))</f>
        <v/>
      </c>
    </row>
    <row r="417">
      <c r="A417" t="inlineStr">
        <is>
          <t>Петрова</t>
        </is>
      </c>
      <c r="B417" t="n">
        <v>6</v>
      </c>
      <c r="C417" s="18">
        <f>'Календарь'!A43</f>
        <v/>
      </c>
      <c r="D417">
        <f>MONTH(C417)</f>
        <v/>
      </c>
      <c r="E417">
        <f>'Календарь'!D43</f>
        <v/>
      </c>
      <c r="F417">
        <f>INT((C417-Нед_Начало)/7)+1</f>
        <v/>
      </c>
      <c r="G417">
        <f>IF(E417=0,0,INDEX('Планы менеджеров'!$B$5:$M$16,B417,D417)/INDEX(Мес_Раб,D417))</f>
        <v/>
      </c>
    </row>
    <row r="418">
      <c r="A418" t="inlineStr">
        <is>
          <t>Петрова</t>
        </is>
      </c>
      <c r="B418" t="n">
        <v>6</v>
      </c>
      <c r="C418" s="18">
        <f>'Календарь'!A44</f>
        <v/>
      </c>
      <c r="D418">
        <f>MONTH(C418)</f>
        <v/>
      </c>
      <c r="E418">
        <f>'Календарь'!D44</f>
        <v/>
      </c>
      <c r="F418">
        <f>INT((C418-Нед_Начало)/7)+1</f>
        <v/>
      </c>
      <c r="G418">
        <f>IF(E418=0,0,INDEX('Планы менеджеров'!$B$5:$M$16,B418,D418)/INDEX(Мес_Раб,D418))</f>
        <v/>
      </c>
    </row>
    <row r="419">
      <c r="A419" t="inlineStr">
        <is>
          <t>Петрова</t>
        </is>
      </c>
      <c r="B419" t="n">
        <v>6</v>
      </c>
      <c r="C419" s="18">
        <f>'Календарь'!A45</f>
        <v/>
      </c>
      <c r="D419">
        <f>MONTH(C419)</f>
        <v/>
      </c>
      <c r="E419">
        <f>'Календарь'!D45</f>
        <v/>
      </c>
      <c r="F419">
        <f>INT((C419-Нед_Начало)/7)+1</f>
        <v/>
      </c>
      <c r="G419">
        <f>IF(E419=0,0,INDEX('Планы менеджеров'!$B$5:$M$16,B419,D419)/INDEX(Мес_Раб,D419))</f>
        <v/>
      </c>
    </row>
    <row r="420">
      <c r="A420" t="inlineStr">
        <is>
          <t>Петрова</t>
        </is>
      </c>
      <c r="B420" t="n">
        <v>6</v>
      </c>
      <c r="C420" s="18">
        <f>'Календарь'!A46</f>
        <v/>
      </c>
      <c r="D420">
        <f>MONTH(C420)</f>
        <v/>
      </c>
      <c r="E420">
        <f>'Календарь'!D46</f>
        <v/>
      </c>
      <c r="F420">
        <f>INT((C420-Нед_Начало)/7)+1</f>
        <v/>
      </c>
      <c r="G420">
        <f>IF(E420=0,0,INDEX('Планы менеджеров'!$B$5:$M$16,B420,D420)/INDEX(Мес_Раб,D420))</f>
        <v/>
      </c>
    </row>
    <row r="421">
      <c r="A421" t="inlineStr">
        <is>
          <t>Петрова</t>
        </is>
      </c>
      <c r="B421" t="n">
        <v>6</v>
      </c>
      <c r="C421" s="18">
        <f>'Календарь'!A47</f>
        <v/>
      </c>
      <c r="D421">
        <f>MONTH(C421)</f>
        <v/>
      </c>
      <c r="E421">
        <f>'Календарь'!D47</f>
        <v/>
      </c>
      <c r="F421">
        <f>INT((C421-Нед_Начало)/7)+1</f>
        <v/>
      </c>
      <c r="G421">
        <f>IF(E421=0,0,INDEX('Планы менеджеров'!$B$5:$M$16,B421,D421)/INDEX(Мес_Раб,D421))</f>
        <v/>
      </c>
    </row>
    <row r="422">
      <c r="A422" t="inlineStr">
        <is>
          <t>Петрова</t>
        </is>
      </c>
      <c r="B422" t="n">
        <v>6</v>
      </c>
      <c r="C422" s="18">
        <f>'Календарь'!A48</f>
        <v/>
      </c>
      <c r="D422">
        <f>MONTH(C422)</f>
        <v/>
      </c>
      <c r="E422">
        <f>'Календарь'!D48</f>
        <v/>
      </c>
      <c r="F422">
        <f>INT((C422-Нед_Начало)/7)+1</f>
        <v/>
      </c>
      <c r="G422">
        <f>IF(E422=0,0,INDEX('Планы менеджеров'!$B$5:$M$16,B422,D422)/INDEX(Мес_Раб,D422))</f>
        <v/>
      </c>
    </row>
    <row r="423">
      <c r="A423" t="inlineStr">
        <is>
          <t>Петрова</t>
        </is>
      </c>
      <c r="B423" t="n">
        <v>6</v>
      </c>
      <c r="C423" s="18">
        <f>'Календарь'!A49</f>
        <v/>
      </c>
      <c r="D423">
        <f>MONTH(C423)</f>
        <v/>
      </c>
      <c r="E423">
        <f>'Календарь'!D49</f>
        <v/>
      </c>
      <c r="F423">
        <f>INT((C423-Нед_Начало)/7)+1</f>
        <v/>
      </c>
      <c r="G423">
        <f>IF(E423=0,0,INDEX('Планы менеджеров'!$B$5:$M$16,B423,D423)/INDEX(Мес_Раб,D423))</f>
        <v/>
      </c>
    </row>
    <row r="424">
      <c r="A424" t="inlineStr">
        <is>
          <t>Петрова</t>
        </is>
      </c>
      <c r="B424" t="n">
        <v>6</v>
      </c>
      <c r="C424" s="18">
        <f>'Календарь'!A50</f>
        <v/>
      </c>
      <c r="D424">
        <f>MONTH(C424)</f>
        <v/>
      </c>
      <c r="E424">
        <f>'Календарь'!D50</f>
        <v/>
      </c>
      <c r="F424">
        <f>INT((C424-Нед_Начало)/7)+1</f>
        <v/>
      </c>
      <c r="G424">
        <f>IF(E424=0,0,INDEX('Планы менеджеров'!$B$5:$M$16,B424,D424)/INDEX(Мес_Раб,D424))</f>
        <v/>
      </c>
    </row>
    <row r="425">
      <c r="A425" t="inlineStr">
        <is>
          <t>Петрова</t>
        </is>
      </c>
      <c r="B425" t="n">
        <v>6</v>
      </c>
      <c r="C425" s="18">
        <f>'Календарь'!A51</f>
        <v/>
      </c>
      <c r="D425">
        <f>MONTH(C425)</f>
        <v/>
      </c>
      <c r="E425">
        <f>'Календарь'!D51</f>
        <v/>
      </c>
      <c r="F425">
        <f>INT((C425-Нед_Начало)/7)+1</f>
        <v/>
      </c>
      <c r="G425">
        <f>IF(E425=0,0,INDEX('Планы менеджеров'!$B$5:$M$16,B425,D425)/INDEX(Мес_Раб,D425))</f>
        <v/>
      </c>
    </row>
    <row r="426">
      <c r="A426" t="inlineStr">
        <is>
          <t>Петрова</t>
        </is>
      </c>
      <c r="B426" t="n">
        <v>6</v>
      </c>
      <c r="C426" s="18">
        <f>'Календарь'!A52</f>
        <v/>
      </c>
      <c r="D426">
        <f>MONTH(C426)</f>
        <v/>
      </c>
      <c r="E426">
        <f>'Календарь'!D52</f>
        <v/>
      </c>
      <c r="F426">
        <f>INT((C426-Нед_Начало)/7)+1</f>
        <v/>
      </c>
      <c r="G426">
        <f>IF(E426=0,0,INDEX('Планы менеджеров'!$B$5:$M$16,B426,D426)/INDEX(Мес_Раб,D426))</f>
        <v/>
      </c>
    </row>
    <row r="427">
      <c r="A427" t="inlineStr">
        <is>
          <t>Петрова</t>
        </is>
      </c>
      <c r="B427" t="n">
        <v>6</v>
      </c>
      <c r="C427" s="18">
        <f>'Календарь'!A53</f>
        <v/>
      </c>
      <c r="D427">
        <f>MONTH(C427)</f>
        <v/>
      </c>
      <c r="E427">
        <f>'Календарь'!D53</f>
        <v/>
      </c>
      <c r="F427">
        <f>INT((C427-Нед_Начало)/7)+1</f>
        <v/>
      </c>
      <c r="G427">
        <f>IF(E427=0,0,INDEX('Планы менеджеров'!$B$5:$M$16,B427,D427)/INDEX(Мес_Раб,D427))</f>
        <v/>
      </c>
    </row>
    <row r="428">
      <c r="A428" t="inlineStr">
        <is>
          <t>Петрова</t>
        </is>
      </c>
      <c r="B428" t="n">
        <v>6</v>
      </c>
      <c r="C428" s="18">
        <f>'Календарь'!A54</f>
        <v/>
      </c>
      <c r="D428">
        <f>MONTH(C428)</f>
        <v/>
      </c>
      <c r="E428">
        <f>'Календарь'!D54</f>
        <v/>
      </c>
      <c r="F428">
        <f>INT((C428-Нед_Начало)/7)+1</f>
        <v/>
      </c>
      <c r="G428">
        <f>IF(E428=0,0,INDEX('Планы менеджеров'!$B$5:$M$16,B428,D428)/INDEX(Мес_Раб,D428))</f>
        <v/>
      </c>
    </row>
    <row r="429">
      <c r="A429" t="inlineStr">
        <is>
          <t>Петрова</t>
        </is>
      </c>
      <c r="B429" t="n">
        <v>6</v>
      </c>
      <c r="C429" s="18">
        <f>'Календарь'!A55</f>
        <v/>
      </c>
      <c r="D429">
        <f>MONTH(C429)</f>
        <v/>
      </c>
      <c r="E429">
        <f>'Календарь'!D55</f>
        <v/>
      </c>
      <c r="F429">
        <f>INT((C429-Нед_Начало)/7)+1</f>
        <v/>
      </c>
      <c r="G429">
        <f>IF(E429=0,0,INDEX('Планы менеджеров'!$B$5:$M$16,B429,D429)/INDEX(Мес_Раб,D429))</f>
        <v/>
      </c>
    </row>
    <row r="430">
      <c r="A430" t="inlineStr">
        <is>
          <t>Петрова</t>
        </is>
      </c>
      <c r="B430" t="n">
        <v>6</v>
      </c>
      <c r="C430" s="18">
        <f>'Календарь'!A56</f>
        <v/>
      </c>
      <c r="D430">
        <f>MONTH(C430)</f>
        <v/>
      </c>
      <c r="E430">
        <f>'Календарь'!D56</f>
        <v/>
      </c>
      <c r="F430">
        <f>INT((C430-Нед_Начало)/7)+1</f>
        <v/>
      </c>
      <c r="G430">
        <f>IF(E430=0,0,INDEX('Планы менеджеров'!$B$5:$M$16,B430,D430)/INDEX(Мес_Раб,D430))</f>
        <v/>
      </c>
    </row>
    <row r="431">
      <c r="A431" t="inlineStr">
        <is>
          <t>Петрова</t>
        </is>
      </c>
      <c r="B431" t="n">
        <v>6</v>
      </c>
      <c r="C431" s="18">
        <f>'Календарь'!A57</f>
        <v/>
      </c>
      <c r="D431">
        <f>MONTH(C431)</f>
        <v/>
      </c>
      <c r="E431">
        <f>'Календарь'!D57</f>
        <v/>
      </c>
      <c r="F431">
        <f>INT((C431-Нед_Начало)/7)+1</f>
        <v/>
      </c>
      <c r="G431">
        <f>IF(E431=0,0,INDEX('Планы менеджеров'!$B$5:$M$16,B431,D431)/INDEX(Мес_Раб,D431))</f>
        <v/>
      </c>
    </row>
    <row r="432">
      <c r="A432" t="inlineStr">
        <is>
          <t>Петрова</t>
        </is>
      </c>
      <c r="B432" t="n">
        <v>6</v>
      </c>
      <c r="C432" s="18">
        <f>'Календарь'!A58</f>
        <v/>
      </c>
      <c r="D432">
        <f>MONTH(C432)</f>
        <v/>
      </c>
      <c r="E432">
        <f>'Календарь'!D58</f>
        <v/>
      </c>
      <c r="F432">
        <f>INT((C432-Нед_Начало)/7)+1</f>
        <v/>
      </c>
      <c r="G432">
        <f>IF(E432=0,0,INDEX('Планы менеджеров'!$B$5:$M$16,B432,D432)/INDEX(Мес_Раб,D432))</f>
        <v/>
      </c>
    </row>
    <row r="433">
      <c r="A433" t="inlineStr">
        <is>
          <t>Петрова</t>
        </is>
      </c>
      <c r="B433" t="n">
        <v>6</v>
      </c>
      <c r="C433" s="18">
        <f>'Календарь'!A59</f>
        <v/>
      </c>
      <c r="D433">
        <f>MONTH(C433)</f>
        <v/>
      </c>
      <c r="E433">
        <f>'Календарь'!D59</f>
        <v/>
      </c>
      <c r="F433">
        <f>INT((C433-Нед_Начало)/7)+1</f>
        <v/>
      </c>
      <c r="G433">
        <f>IF(E433=0,0,INDEX('Планы менеджеров'!$B$5:$M$16,B433,D433)/INDEX(Мес_Раб,D433))</f>
        <v/>
      </c>
    </row>
    <row r="434">
      <c r="A434" t="inlineStr">
        <is>
          <t>Петрова</t>
        </is>
      </c>
      <c r="B434" t="n">
        <v>6</v>
      </c>
      <c r="C434" s="18">
        <f>'Календарь'!A60</f>
        <v/>
      </c>
      <c r="D434">
        <f>MONTH(C434)</f>
        <v/>
      </c>
      <c r="E434">
        <f>'Календарь'!D60</f>
        <v/>
      </c>
      <c r="F434">
        <f>INT((C434-Нед_Начало)/7)+1</f>
        <v/>
      </c>
      <c r="G434">
        <f>IF(E434=0,0,INDEX('Планы менеджеров'!$B$5:$M$16,B434,D434)/INDEX(Мес_Раб,D434))</f>
        <v/>
      </c>
    </row>
    <row r="435">
      <c r="A435" t="inlineStr">
        <is>
          <t>Петрова</t>
        </is>
      </c>
      <c r="B435" t="n">
        <v>6</v>
      </c>
      <c r="C435" s="18">
        <f>'Календарь'!A61</f>
        <v/>
      </c>
      <c r="D435">
        <f>MONTH(C435)</f>
        <v/>
      </c>
      <c r="E435">
        <f>'Календарь'!D61</f>
        <v/>
      </c>
      <c r="F435">
        <f>INT((C435-Нед_Начало)/7)+1</f>
        <v/>
      </c>
      <c r="G435">
        <f>IF(E435=0,0,INDEX('Планы менеджеров'!$B$5:$M$16,B435,D435)/INDEX(Мес_Раб,D435))</f>
        <v/>
      </c>
    </row>
    <row r="436">
      <c r="A436" t="inlineStr">
        <is>
          <t>Петрова</t>
        </is>
      </c>
      <c r="B436" t="n">
        <v>6</v>
      </c>
      <c r="C436" s="18">
        <f>'Календарь'!A62</f>
        <v/>
      </c>
      <c r="D436">
        <f>MONTH(C436)</f>
        <v/>
      </c>
      <c r="E436">
        <f>'Календарь'!D62</f>
        <v/>
      </c>
      <c r="F436">
        <f>INT((C436-Нед_Начало)/7)+1</f>
        <v/>
      </c>
      <c r="G436">
        <f>IF(E436=0,0,INDEX('Планы менеджеров'!$B$5:$M$16,B436,D436)/INDEX(Мес_Раб,D436))</f>
        <v/>
      </c>
    </row>
    <row r="437">
      <c r="A437" t="inlineStr">
        <is>
          <t>Петрова</t>
        </is>
      </c>
      <c r="B437" t="n">
        <v>6</v>
      </c>
      <c r="C437" s="18">
        <f>'Календарь'!A63</f>
        <v/>
      </c>
      <c r="D437">
        <f>MONTH(C437)</f>
        <v/>
      </c>
      <c r="E437">
        <f>'Календарь'!D63</f>
        <v/>
      </c>
      <c r="F437">
        <f>INT((C437-Нед_Начало)/7)+1</f>
        <v/>
      </c>
      <c r="G437">
        <f>IF(E437=0,0,INDEX('Планы менеджеров'!$B$5:$M$16,B437,D437)/INDEX(Мес_Раб,D437))</f>
        <v/>
      </c>
    </row>
    <row r="438">
      <c r="A438" t="inlineStr">
        <is>
          <t>Петрова</t>
        </is>
      </c>
      <c r="B438" t="n">
        <v>6</v>
      </c>
      <c r="C438" s="18">
        <f>'Календарь'!A64</f>
        <v/>
      </c>
      <c r="D438">
        <f>MONTH(C438)</f>
        <v/>
      </c>
      <c r="E438">
        <f>'Календарь'!D64</f>
        <v/>
      </c>
      <c r="F438">
        <f>INT((C438-Нед_Начало)/7)+1</f>
        <v/>
      </c>
      <c r="G438">
        <f>IF(E438=0,0,INDEX('Планы менеджеров'!$B$5:$M$16,B438,D438)/INDEX(Мес_Раб,D438))</f>
        <v/>
      </c>
    </row>
    <row r="439">
      <c r="A439" t="inlineStr">
        <is>
          <t>Петрова</t>
        </is>
      </c>
      <c r="B439" t="n">
        <v>6</v>
      </c>
      <c r="C439" s="18">
        <f>'Календарь'!A65</f>
        <v/>
      </c>
      <c r="D439">
        <f>MONTH(C439)</f>
        <v/>
      </c>
      <c r="E439">
        <f>'Календарь'!D65</f>
        <v/>
      </c>
      <c r="F439">
        <f>INT((C439-Нед_Начало)/7)+1</f>
        <v/>
      </c>
      <c r="G439">
        <f>IF(E439=0,0,INDEX('Планы менеджеров'!$B$5:$M$16,B439,D439)/INDEX(Мес_Раб,D439))</f>
        <v/>
      </c>
    </row>
    <row r="440">
      <c r="A440" t="inlineStr">
        <is>
          <t>Петрова</t>
        </is>
      </c>
      <c r="B440" t="n">
        <v>6</v>
      </c>
      <c r="C440" s="18">
        <f>'Календарь'!A66</f>
        <v/>
      </c>
      <c r="D440">
        <f>MONTH(C440)</f>
        <v/>
      </c>
      <c r="E440">
        <f>'Календарь'!D66</f>
        <v/>
      </c>
      <c r="F440">
        <f>INT((C440-Нед_Начало)/7)+1</f>
        <v/>
      </c>
      <c r="G440">
        <f>IF(E440=0,0,INDEX('Планы менеджеров'!$B$5:$M$16,B440,D440)/INDEX(Мес_Раб,D440))</f>
        <v/>
      </c>
    </row>
    <row r="441">
      <c r="A441" t="inlineStr">
        <is>
          <t>Петрова</t>
        </is>
      </c>
      <c r="B441" t="n">
        <v>6</v>
      </c>
      <c r="C441" s="18">
        <f>'Календарь'!A67</f>
        <v/>
      </c>
      <c r="D441">
        <f>MONTH(C441)</f>
        <v/>
      </c>
      <c r="E441">
        <f>'Календарь'!D67</f>
        <v/>
      </c>
      <c r="F441">
        <f>INT((C441-Нед_Начало)/7)+1</f>
        <v/>
      </c>
      <c r="G441">
        <f>IF(E441=0,0,INDEX('Планы менеджеров'!$B$5:$M$16,B441,D441)/INDEX(Мес_Раб,D441))</f>
        <v/>
      </c>
    </row>
    <row r="442">
      <c r="A442" t="inlineStr">
        <is>
          <t>Петрова</t>
        </is>
      </c>
      <c r="B442" t="n">
        <v>6</v>
      </c>
      <c r="C442" s="18">
        <f>'Календарь'!A68</f>
        <v/>
      </c>
      <c r="D442">
        <f>MONTH(C442)</f>
        <v/>
      </c>
      <c r="E442">
        <f>'Календарь'!D68</f>
        <v/>
      </c>
      <c r="F442">
        <f>INT((C442-Нед_Начало)/7)+1</f>
        <v/>
      </c>
      <c r="G442">
        <f>IF(E442=0,0,INDEX('Планы менеджеров'!$B$5:$M$16,B442,D442)/INDEX(Мес_Раб,D442))</f>
        <v/>
      </c>
    </row>
    <row r="443">
      <c r="A443" t="inlineStr">
        <is>
          <t>Петрова</t>
        </is>
      </c>
      <c r="B443" t="n">
        <v>6</v>
      </c>
      <c r="C443" s="18">
        <f>'Календарь'!A69</f>
        <v/>
      </c>
      <c r="D443">
        <f>MONTH(C443)</f>
        <v/>
      </c>
      <c r="E443">
        <f>'Календарь'!D69</f>
        <v/>
      </c>
      <c r="F443">
        <f>INT((C443-Нед_Начало)/7)+1</f>
        <v/>
      </c>
      <c r="G443">
        <f>IF(E443=0,0,INDEX('Планы менеджеров'!$B$5:$M$16,B443,D443)/INDEX(Мес_Раб,D443))</f>
        <v/>
      </c>
    </row>
    <row r="444">
      <c r="A444" t="inlineStr">
        <is>
          <t>Петрова</t>
        </is>
      </c>
      <c r="B444" t="n">
        <v>6</v>
      </c>
      <c r="C444" s="18">
        <f>'Календарь'!A70</f>
        <v/>
      </c>
      <c r="D444">
        <f>MONTH(C444)</f>
        <v/>
      </c>
      <c r="E444">
        <f>'Календарь'!D70</f>
        <v/>
      </c>
      <c r="F444">
        <f>INT((C444-Нед_Начало)/7)+1</f>
        <v/>
      </c>
      <c r="G444">
        <f>IF(E444=0,0,INDEX('Планы менеджеров'!$B$5:$M$16,B444,D444)/INDEX(Мес_Раб,D444))</f>
        <v/>
      </c>
    </row>
    <row r="445">
      <c r="A445" t="inlineStr">
        <is>
          <t>Петрова</t>
        </is>
      </c>
      <c r="B445" t="n">
        <v>6</v>
      </c>
      <c r="C445" s="18">
        <f>'Календарь'!A71</f>
        <v/>
      </c>
      <c r="D445">
        <f>MONTH(C445)</f>
        <v/>
      </c>
      <c r="E445">
        <f>'Календарь'!D71</f>
        <v/>
      </c>
      <c r="F445">
        <f>INT((C445-Нед_Начало)/7)+1</f>
        <v/>
      </c>
      <c r="G445">
        <f>IF(E445=0,0,INDEX('Планы менеджеров'!$B$5:$M$16,B445,D445)/INDEX(Мес_Раб,D445))</f>
        <v/>
      </c>
    </row>
    <row r="446">
      <c r="A446" t="inlineStr">
        <is>
          <t>Петрова</t>
        </is>
      </c>
      <c r="B446" t="n">
        <v>6</v>
      </c>
      <c r="C446" s="18">
        <f>'Календарь'!A72</f>
        <v/>
      </c>
      <c r="D446">
        <f>MONTH(C446)</f>
        <v/>
      </c>
      <c r="E446">
        <f>'Календарь'!D72</f>
        <v/>
      </c>
      <c r="F446">
        <f>INT((C446-Нед_Начало)/7)+1</f>
        <v/>
      </c>
      <c r="G446">
        <f>IF(E446=0,0,INDEX('Планы менеджеров'!$B$5:$M$16,B446,D446)/INDEX(Мес_Раб,D446))</f>
        <v/>
      </c>
    </row>
    <row r="447">
      <c r="A447" t="inlineStr">
        <is>
          <t>Петрова</t>
        </is>
      </c>
      <c r="B447" t="n">
        <v>6</v>
      </c>
      <c r="C447" s="18">
        <f>'Календарь'!A73</f>
        <v/>
      </c>
      <c r="D447">
        <f>MONTH(C447)</f>
        <v/>
      </c>
      <c r="E447">
        <f>'Календарь'!D73</f>
        <v/>
      </c>
      <c r="F447">
        <f>INT((C447-Нед_Начало)/7)+1</f>
        <v/>
      </c>
      <c r="G447">
        <f>IF(E447=0,0,INDEX('Планы менеджеров'!$B$5:$M$16,B447,D447)/INDEX(Мес_Раб,D447))</f>
        <v/>
      </c>
    </row>
    <row r="448">
      <c r="A448" t="inlineStr">
        <is>
          <t>Петрова</t>
        </is>
      </c>
      <c r="B448" t="n">
        <v>6</v>
      </c>
      <c r="C448" s="18">
        <f>'Календарь'!A74</f>
        <v/>
      </c>
      <c r="D448">
        <f>MONTH(C448)</f>
        <v/>
      </c>
      <c r="E448">
        <f>'Календарь'!D74</f>
        <v/>
      </c>
      <c r="F448">
        <f>INT((C448-Нед_Начало)/7)+1</f>
        <v/>
      </c>
      <c r="G448">
        <f>IF(E448=0,0,INDEX('Планы менеджеров'!$B$5:$M$16,B448,D448)/INDEX(Мес_Раб,D448))</f>
        <v/>
      </c>
    </row>
    <row r="449">
      <c r="A449" t="inlineStr">
        <is>
          <t>Петрова</t>
        </is>
      </c>
      <c r="B449" t="n">
        <v>6</v>
      </c>
      <c r="C449" s="18">
        <f>'Календарь'!A75</f>
        <v/>
      </c>
      <c r="D449">
        <f>MONTH(C449)</f>
        <v/>
      </c>
      <c r="E449">
        <f>'Календарь'!D75</f>
        <v/>
      </c>
      <c r="F449">
        <f>INT((C449-Нед_Начало)/7)+1</f>
        <v/>
      </c>
      <c r="G449">
        <f>IF(E449=0,0,INDEX('Планы менеджеров'!$B$5:$M$16,B449,D449)/INDEX(Мес_Раб,D449))</f>
        <v/>
      </c>
    </row>
    <row r="450">
      <c r="A450" t="inlineStr">
        <is>
          <t>Петрова</t>
        </is>
      </c>
      <c r="B450" t="n">
        <v>6</v>
      </c>
      <c r="C450" s="18">
        <f>'Календарь'!A76</f>
        <v/>
      </c>
      <c r="D450">
        <f>MONTH(C450)</f>
        <v/>
      </c>
      <c r="E450">
        <f>'Календарь'!D76</f>
        <v/>
      </c>
      <c r="F450">
        <f>INT((C450-Нед_Начало)/7)+1</f>
        <v/>
      </c>
      <c r="G450">
        <f>IF(E450=0,0,INDEX('Планы менеджеров'!$B$5:$M$16,B450,D450)/INDEX(Мес_Раб,D450))</f>
        <v/>
      </c>
    </row>
    <row r="451">
      <c r="A451" t="inlineStr">
        <is>
          <t>Петрова</t>
        </is>
      </c>
      <c r="B451" t="n">
        <v>6</v>
      </c>
      <c r="C451" s="18">
        <f>'Календарь'!A77</f>
        <v/>
      </c>
      <c r="D451">
        <f>MONTH(C451)</f>
        <v/>
      </c>
      <c r="E451">
        <f>'Календарь'!D77</f>
        <v/>
      </c>
      <c r="F451">
        <f>INT((C451-Нед_Начало)/7)+1</f>
        <v/>
      </c>
      <c r="G451">
        <f>IF(E451=0,0,INDEX('Планы менеджеров'!$B$5:$M$16,B451,D451)/INDEX(Мес_Раб,D451))</f>
        <v/>
      </c>
    </row>
    <row r="452">
      <c r="A452" t="inlineStr">
        <is>
          <t>Петрова</t>
        </is>
      </c>
      <c r="B452" t="n">
        <v>6</v>
      </c>
      <c r="C452" s="18">
        <f>'Календарь'!A78</f>
        <v/>
      </c>
      <c r="D452">
        <f>MONTH(C452)</f>
        <v/>
      </c>
      <c r="E452">
        <f>'Календарь'!D78</f>
        <v/>
      </c>
      <c r="F452">
        <f>INT((C452-Нед_Начало)/7)+1</f>
        <v/>
      </c>
      <c r="G452">
        <f>IF(E452=0,0,INDEX('Планы менеджеров'!$B$5:$M$16,B452,D452)/INDEX(Мес_Раб,D452))</f>
        <v/>
      </c>
    </row>
    <row r="453">
      <c r="A453" t="inlineStr">
        <is>
          <t>Петрова</t>
        </is>
      </c>
      <c r="B453" t="n">
        <v>6</v>
      </c>
      <c r="C453" s="18">
        <f>'Календарь'!A79</f>
        <v/>
      </c>
      <c r="D453">
        <f>MONTH(C453)</f>
        <v/>
      </c>
      <c r="E453">
        <f>'Календарь'!D79</f>
        <v/>
      </c>
      <c r="F453">
        <f>INT((C453-Нед_Начало)/7)+1</f>
        <v/>
      </c>
      <c r="G453">
        <f>IF(E453=0,0,INDEX('Планы менеджеров'!$B$5:$M$16,B453,D453)/INDEX(Мес_Раб,D453))</f>
        <v/>
      </c>
    </row>
    <row r="454">
      <c r="A454" t="inlineStr">
        <is>
          <t>Петрова</t>
        </is>
      </c>
      <c r="B454" t="n">
        <v>6</v>
      </c>
      <c r="C454" s="18">
        <f>'Календарь'!A80</f>
        <v/>
      </c>
      <c r="D454">
        <f>MONTH(C454)</f>
        <v/>
      </c>
      <c r="E454">
        <f>'Календарь'!D80</f>
        <v/>
      </c>
      <c r="F454">
        <f>INT((C454-Нед_Начало)/7)+1</f>
        <v/>
      </c>
      <c r="G454">
        <f>IF(E454=0,0,INDEX('Планы менеджеров'!$B$5:$M$16,B454,D454)/INDEX(Мес_Раб,D454))</f>
        <v/>
      </c>
    </row>
    <row r="455">
      <c r="A455" t="inlineStr">
        <is>
          <t>Петрова</t>
        </is>
      </c>
      <c r="B455" t="n">
        <v>6</v>
      </c>
      <c r="C455" s="18">
        <f>'Календарь'!A81</f>
        <v/>
      </c>
      <c r="D455">
        <f>MONTH(C455)</f>
        <v/>
      </c>
      <c r="E455">
        <f>'Календарь'!D81</f>
        <v/>
      </c>
      <c r="F455">
        <f>INT((C455-Нед_Начало)/7)+1</f>
        <v/>
      </c>
      <c r="G455">
        <f>IF(E455=0,0,INDEX('Планы менеджеров'!$B$5:$M$16,B455,D455)/INDEX(Мес_Раб,D455))</f>
        <v/>
      </c>
    </row>
    <row r="456">
      <c r="A456" t="inlineStr">
        <is>
          <t>Петрова</t>
        </is>
      </c>
      <c r="B456" t="n">
        <v>6</v>
      </c>
      <c r="C456" s="18">
        <f>'Календарь'!A82</f>
        <v/>
      </c>
      <c r="D456">
        <f>MONTH(C456)</f>
        <v/>
      </c>
      <c r="E456">
        <f>'Календарь'!D82</f>
        <v/>
      </c>
      <c r="F456">
        <f>INT((C456-Нед_Начало)/7)+1</f>
        <v/>
      </c>
      <c r="G456">
        <f>IF(E456=0,0,INDEX('Планы менеджеров'!$B$5:$M$16,B456,D456)/INDEX(Мес_Раб,D456))</f>
        <v/>
      </c>
    </row>
    <row r="457">
      <c r="A457" t="inlineStr">
        <is>
          <t>Петрова</t>
        </is>
      </c>
      <c r="B457" t="n">
        <v>6</v>
      </c>
      <c r="C457" s="18">
        <f>'Календарь'!A83</f>
        <v/>
      </c>
      <c r="D457">
        <f>MONTH(C457)</f>
        <v/>
      </c>
      <c r="E457">
        <f>'Календарь'!D83</f>
        <v/>
      </c>
      <c r="F457">
        <f>INT((C457-Нед_Начало)/7)+1</f>
        <v/>
      </c>
      <c r="G457">
        <f>IF(E457=0,0,INDEX('Планы менеджеров'!$B$5:$M$16,B457,D457)/INDEX(Мес_Раб,D457))</f>
        <v/>
      </c>
    </row>
    <row r="458">
      <c r="A458" t="inlineStr">
        <is>
          <t>Петрова</t>
        </is>
      </c>
      <c r="B458" t="n">
        <v>6</v>
      </c>
      <c r="C458" s="18">
        <f>'Календарь'!A84</f>
        <v/>
      </c>
      <c r="D458">
        <f>MONTH(C458)</f>
        <v/>
      </c>
      <c r="E458">
        <f>'Календарь'!D84</f>
        <v/>
      </c>
      <c r="F458">
        <f>INT((C458-Нед_Начало)/7)+1</f>
        <v/>
      </c>
      <c r="G458">
        <f>IF(E458=0,0,INDEX('Планы менеджеров'!$B$5:$M$16,B458,D458)/INDEX(Мес_Раб,D458))</f>
        <v/>
      </c>
    </row>
    <row r="459">
      <c r="A459" t="inlineStr">
        <is>
          <t>Петрова</t>
        </is>
      </c>
      <c r="B459" t="n">
        <v>6</v>
      </c>
      <c r="C459" s="18">
        <f>'Календарь'!A85</f>
        <v/>
      </c>
      <c r="D459">
        <f>MONTH(C459)</f>
        <v/>
      </c>
      <c r="E459">
        <f>'Календарь'!D85</f>
        <v/>
      </c>
      <c r="F459">
        <f>INT((C459-Нед_Начало)/7)+1</f>
        <v/>
      </c>
      <c r="G459">
        <f>IF(E459=0,0,INDEX('Планы менеджеров'!$B$5:$M$16,B459,D459)/INDEX(Мес_Раб,D459))</f>
        <v/>
      </c>
    </row>
    <row r="460">
      <c r="A460" t="inlineStr">
        <is>
          <t>Петрова</t>
        </is>
      </c>
      <c r="B460" t="n">
        <v>6</v>
      </c>
      <c r="C460" s="18">
        <f>'Календарь'!A86</f>
        <v/>
      </c>
      <c r="D460">
        <f>MONTH(C460)</f>
        <v/>
      </c>
      <c r="E460">
        <f>'Календарь'!D86</f>
        <v/>
      </c>
      <c r="F460">
        <f>INT((C460-Нед_Начало)/7)+1</f>
        <v/>
      </c>
      <c r="G460">
        <f>IF(E460=0,0,INDEX('Планы менеджеров'!$B$5:$M$16,B460,D460)/INDEX(Мес_Раб,D460))</f>
        <v/>
      </c>
    </row>
    <row r="461">
      <c r="A461" t="inlineStr">
        <is>
          <t>Петрова</t>
        </is>
      </c>
      <c r="B461" t="n">
        <v>6</v>
      </c>
      <c r="C461" s="18">
        <f>'Календарь'!A87</f>
        <v/>
      </c>
      <c r="D461">
        <f>MONTH(C461)</f>
        <v/>
      </c>
      <c r="E461">
        <f>'Календарь'!D87</f>
        <v/>
      </c>
      <c r="F461">
        <f>INT((C461-Нед_Начало)/7)+1</f>
        <v/>
      </c>
      <c r="G461">
        <f>IF(E461=0,0,INDEX('Планы менеджеров'!$B$5:$M$16,B461,D461)/INDEX(Мес_Раб,D461))</f>
        <v/>
      </c>
    </row>
    <row r="462">
      <c r="A462" t="inlineStr">
        <is>
          <t>Петрова</t>
        </is>
      </c>
      <c r="B462" t="n">
        <v>6</v>
      </c>
      <c r="C462" s="18">
        <f>'Календарь'!A88</f>
        <v/>
      </c>
      <c r="D462">
        <f>MONTH(C462)</f>
        <v/>
      </c>
      <c r="E462">
        <f>'Календарь'!D88</f>
        <v/>
      </c>
      <c r="F462">
        <f>INT((C462-Нед_Начало)/7)+1</f>
        <v/>
      </c>
      <c r="G462">
        <f>IF(E462=0,0,INDEX('Планы менеджеров'!$B$5:$M$16,B462,D462)/INDEX(Мес_Раб,D462))</f>
        <v/>
      </c>
    </row>
    <row r="463">
      <c r="A463" t="inlineStr">
        <is>
          <t>Петрова</t>
        </is>
      </c>
      <c r="B463" t="n">
        <v>6</v>
      </c>
      <c r="C463" s="18">
        <f>'Календарь'!A89</f>
        <v/>
      </c>
      <c r="D463">
        <f>MONTH(C463)</f>
        <v/>
      </c>
      <c r="E463">
        <f>'Календарь'!D89</f>
        <v/>
      </c>
      <c r="F463">
        <f>INT((C463-Нед_Начало)/7)+1</f>
        <v/>
      </c>
      <c r="G463">
        <f>IF(E463=0,0,INDEX('Планы менеджеров'!$B$5:$M$16,B463,D463)/INDEX(Мес_Раб,D463))</f>
        <v/>
      </c>
    </row>
    <row r="464">
      <c r="A464" t="inlineStr">
        <is>
          <t>Петрова</t>
        </is>
      </c>
      <c r="B464" t="n">
        <v>6</v>
      </c>
      <c r="C464" s="18">
        <f>'Календарь'!A90</f>
        <v/>
      </c>
      <c r="D464">
        <f>MONTH(C464)</f>
        <v/>
      </c>
      <c r="E464">
        <f>'Календарь'!D90</f>
        <v/>
      </c>
      <c r="F464">
        <f>INT((C464-Нед_Начало)/7)+1</f>
        <v/>
      </c>
      <c r="G464">
        <f>IF(E464=0,0,INDEX('Планы менеджеров'!$B$5:$M$16,B464,D464)/INDEX(Мес_Раб,D464))</f>
        <v/>
      </c>
    </row>
    <row r="465">
      <c r="A465" t="inlineStr">
        <is>
          <t>Петрова</t>
        </is>
      </c>
      <c r="B465" t="n">
        <v>6</v>
      </c>
      <c r="C465" s="18">
        <f>'Календарь'!A91</f>
        <v/>
      </c>
      <c r="D465">
        <f>MONTH(C465)</f>
        <v/>
      </c>
      <c r="E465">
        <f>'Календарь'!D91</f>
        <v/>
      </c>
      <c r="F465">
        <f>INT((C465-Нед_Начало)/7)+1</f>
        <v/>
      </c>
      <c r="G465">
        <f>IF(E465=0,0,INDEX('Планы менеджеров'!$B$5:$M$16,B465,D465)/INDEX(Мес_Раб,D465))</f>
        <v/>
      </c>
    </row>
    <row r="466">
      <c r="A466" t="inlineStr">
        <is>
          <t>Петрова</t>
        </is>
      </c>
      <c r="B466" t="n">
        <v>6</v>
      </c>
      <c r="C466" s="18">
        <f>'Календарь'!A92</f>
        <v/>
      </c>
      <c r="D466">
        <f>MONTH(C466)</f>
        <v/>
      </c>
      <c r="E466">
        <f>'Календарь'!D92</f>
        <v/>
      </c>
      <c r="F466">
        <f>INT((C466-Нед_Начало)/7)+1</f>
        <v/>
      </c>
      <c r="G466">
        <f>IF(E466=0,0,INDEX('Планы менеджеров'!$B$5:$M$16,B466,D466)/INDEX(Мес_Раб,D466))</f>
        <v/>
      </c>
    </row>
    <row r="467">
      <c r="A467" t="inlineStr">
        <is>
          <t>Петрова</t>
        </is>
      </c>
      <c r="B467" t="n">
        <v>6</v>
      </c>
      <c r="C467" s="18">
        <f>'Календарь'!A93</f>
        <v/>
      </c>
      <c r="D467">
        <f>MONTH(C467)</f>
        <v/>
      </c>
      <c r="E467">
        <f>'Календарь'!D93</f>
        <v/>
      </c>
      <c r="F467">
        <f>INT((C467-Нед_Начало)/7)+1</f>
        <v/>
      </c>
      <c r="G467">
        <f>IF(E467=0,0,INDEX('Планы менеджеров'!$B$5:$M$16,B467,D467)/INDEX(Мес_Раб,D467))</f>
        <v/>
      </c>
    </row>
    <row r="468">
      <c r="A468" t="inlineStr">
        <is>
          <t>Петрова</t>
        </is>
      </c>
      <c r="B468" t="n">
        <v>6</v>
      </c>
      <c r="C468" s="18">
        <f>'Календарь'!A94</f>
        <v/>
      </c>
      <c r="D468">
        <f>MONTH(C468)</f>
        <v/>
      </c>
      <c r="E468">
        <f>'Календарь'!D94</f>
        <v/>
      </c>
      <c r="F468">
        <f>INT((C468-Нед_Начало)/7)+1</f>
        <v/>
      </c>
      <c r="G468">
        <f>IF(E468=0,0,INDEX('Планы менеджеров'!$B$5:$M$16,B468,D468)/INDEX(Мес_Раб,D468))</f>
        <v/>
      </c>
    </row>
    <row r="469">
      <c r="A469" t="inlineStr">
        <is>
          <t>Петрова</t>
        </is>
      </c>
      <c r="B469" t="n">
        <v>6</v>
      </c>
      <c r="C469" s="18">
        <f>'Календарь'!A95</f>
        <v/>
      </c>
      <c r="D469">
        <f>MONTH(C469)</f>
        <v/>
      </c>
      <c r="E469">
        <f>'Календарь'!D95</f>
        <v/>
      </c>
      <c r="F469">
        <f>INT((C469-Нед_Начало)/7)+1</f>
        <v/>
      </c>
      <c r="G469">
        <f>IF(E469=0,0,INDEX('Планы менеджеров'!$B$5:$M$16,B469,D469)/INDEX(Мес_Раб,D469))</f>
        <v/>
      </c>
    </row>
    <row r="470">
      <c r="A470" t="inlineStr">
        <is>
          <t>Петрова</t>
        </is>
      </c>
      <c r="B470" t="n">
        <v>6</v>
      </c>
      <c r="C470" s="18">
        <f>'Календарь'!A96</f>
        <v/>
      </c>
      <c r="D470">
        <f>MONTH(C470)</f>
        <v/>
      </c>
      <c r="E470">
        <f>'Календарь'!D96</f>
        <v/>
      </c>
      <c r="F470">
        <f>INT((C470-Нед_Начало)/7)+1</f>
        <v/>
      </c>
      <c r="G470">
        <f>IF(E470=0,0,INDEX('Планы менеджеров'!$B$5:$M$16,B470,D470)/INDEX(Мес_Раб,D470))</f>
        <v/>
      </c>
    </row>
    <row r="471">
      <c r="A471" t="inlineStr">
        <is>
          <t>Петрова</t>
        </is>
      </c>
      <c r="B471" t="n">
        <v>6</v>
      </c>
      <c r="C471" s="18">
        <f>'Календарь'!A97</f>
        <v/>
      </c>
      <c r="D471">
        <f>MONTH(C471)</f>
        <v/>
      </c>
      <c r="E471">
        <f>'Календарь'!D97</f>
        <v/>
      </c>
      <c r="F471">
        <f>INT((C471-Нед_Начало)/7)+1</f>
        <v/>
      </c>
      <c r="G471">
        <f>IF(E471=0,0,INDEX('Планы менеджеров'!$B$5:$M$16,B471,D471)/INDEX(Мес_Раб,D471))</f>
        <v/>
      </c>
    </row>
    <row r="472">
      <c r="A472" t="inlineStr">
        <is>
          <t>Петрова</t>
        </is>
      </c>
      <c r="B472" t="n">
        <v>6</v>
      </c>
      <c r="C472" s="18">
        <f>'Календарь'!A98</f>
        <v/>
      </c>
      <c r="D472">
        <f>MONTH(C472)</f>
        <v/>
      </c>
      <c r="E472">
        <f>'Календарь'!D98</f>
        <v/>
      </c>
      <c r="F472">
        <f>INT((C472-Нед_Начало)/7)+1</f>
        <v/>
      </c>
      <c r="G472">
        <f>IF(E472=0,0,INDEX('Планы менеджеров'!$B$5:$M$16,B472,D472)/INDEX(Мес_Раб,D472))</f>
        <v/>
      </c>
    </row>
    <row r="473">
      <c r="A473" t="inlineStr">
        <is>
          <t>Петрова</t>
        </is>
      </c>
      <c r="B473" t="n">
        <v>6</v>
      </c>
      <c r="C473" s="18">
        <f>'Календарь'!A99</f>
        <v/>
      </c>
      <c r="D473">
        <f>MONTH(C473)</f>
        <v/>
      </c>
      <c r="E473">
        <f>'Календарь'!D99</f>
        <v/>
      </c>
      <c r="F473">
        <f>INT((C473-Нед_Начало)/7)+1</f>
        <v/>
      </c>
      <c r="G473">
        <f>IF(E473=0,0,INDEX('Планы менеджеров'!$B$5:$M$16,B473,D473)/INDEX(Мес_Раб,D473))</f>
        <v/>
      </c>
    </row>
    <row r="474">
      <c r="A474" t="inlineStr">
        <is>
          <t>Петрова</t>
        </is>
      </c>
      <c r="B474" t="n">
        <v>6</v>
      </c>
      <c r="C474" s="18">
        <f>'Календарь'!A100</f>
        <v/>
      </c>
      <c r="D474">
        <f>MONTH(C474)</f>
        <v/>
      </c>
      <c r="E474">
        <f>'Календарь'!D100</f>
        <v/>
      </c>
      <c r="F474">
        <f>INT((C474-Нед_Начало)/7)+1</f>
        <v/>
      </c>
      <c r="G474">
        <f>IF(E474=0,0,INDEX('Планы менеджеров'!$B$5:$M$16,B474,D474)/INDEX(Мес_Раб,D474))</f>
        <v/>
      </c>
    </row>
    <row r="475">
      <c r="A475" t="inlineStr">
        <is>
          <t>Петрова</t>
        </is>
      </c>
      <c r="B475" t="n">
        <v>6</v>
      </c>
      <c r="C475" s="18">
        <f>'Календарь'!A101</f>
        <v/>
      </c>
      <c r="D475">
        <f>MONTH(C475)</f>
        <v/>
      </c>
      <c r="E475">
        <f>'Календарь'!D101</f>
        <v/>
      </c>
      <c r="F475">
        <f>INT((C475-Нед_Начало)/7)+1</f>
        <v/>
      </c>
      <c r="G475">
        <f>IF(E475=0,0,INDEX('Планы менеджеров'!$B$5:$M$16,B475,D475)/INDEX(Мес_Раб,D475))</f>
        <v/>
      </c>
    </row>
    <row r="476">
      <c r="A476" t="inlineStr">
        <is>
          <t>Петрова</t>
        </is>
      </c>
      <c r="B476" t="n">
        <v>6</v>
      </c>
      <c r="C476" s="18">
        <f>'Календарь'!A102</f>
        <v/>
      </c>
      <c r="D476">
        <f>MONTH(C476)</f>
        <v/>
      </c>
      <c r="E476">
        <f>'Календарь'!D102</f>
        <v/>
      </c>
      <c r="F476">
        <f>INT((C476-Нед_Начало)/7)+1</f>
        <v/>
      </c>
      <c r="G476">
        <f>IF(E476=0,0,INDEX('Планы менеджеров'!$B$5:$M$16,B476,D476)/INDEX(Мес_Раб,D476))</f>
        <v/>
      </c>
    </row>
    <row r="477">
      <c r="A477" t="inlineStr">
        <is>
          <t>Петрова</t>
        </is>
      </c>
      <c r="B477" t="n">
        <v>6</v>
      </c>
      <c r="C477" s="18">
        <f>'Календарь'!A103</f>
        <v/>
      </c>
      <c r="D477">
        <f>MONTH(C477)</f>
        <v/>
      </c>
      <c r="E477">
        <f>'Календарь'!D103</f>
        <v/>
      </c>
      <c r="F477">
        <f>INT((C477-Нед_Начало)/7)+1</f>
        <v/>
      </c>
      <c r="G477">
        <f>IF(E477=0,0,INDEX('Планы менеджеров'!$B$5:$M$16,B477,D477)/INDEX(Мес_Раб,D477))</f>
        <v/>
      </c>
    </row>
    <row r="478">
      <c r="A478" t="inlineStr">
        <is>
          <t>Петрова</t>
        </is>
      </c>
      <c r="B478" t="n">
        <v>6</v>
      </c>
      <c r="C478" s="18">
        <f>'Календарь'!A104</f>
        <v/>
      </c>
      <c r="D478">
        <f>MONTH(C478)</f>
        <v/>
      </c>
      <c r="E478">
        <f>'Календарь'!D104</f>
        <v/>
      </c>
      <c r="F478">
        <f>INT((C478-Нед_Начало)/7)+1</f>
        <v/>
      </c>
      <c r="G478">
        <f>IF(E478=0,0,INDEX('Планы менеджеров'!$B$5:$M$16,B478,D478)/INDEX(Мес_Раб,D478))</f>
        <v/>
      </c>
    </row>
    <row r="479">
      <c r="A479" t="inlineStr">
        <is>
          <t>Петрова</t>
        </is>
      </c>
      <c r="B479" t="n">
        <v>6</v>
      </c>
      <c r="C479" s="18">
        <f>'Календарь'!A105</f>
        <v/>
      </c>
      <c r="D479">
        <f>MONTH(C479)</f>
        <v/>
      </c>
      <c r="E479">
        <f>'Календарь'!D105</f>
        <v/>
      </c>
      <c r="F479">
        <f>INT((C479-Нед_Начало)/7)+1</f>
        <v/>
      </c>
      <c r="G479">
        <f>IF(E479=0,0,INDEX('Планы менеджеров'!$B$5:$M$16,B479,D479)/INDEX(Мес_Раб,D479))</f>
        <v/>
      </c>
    </row>
    <row r="480">
      <c r="A480" t="inlineStr">
        <is>
          <t>Петрова</t>
        </is>
      </c>
      <c r="B480" t="n">
        <v>6</v>
      </c>
      <c r="C480" s="18">
        <f>'Календарь'!A106</f>
        <v/>
      </c>
      <c r="D480">
        <f>MONTH(C480)</f>
        <v/>
      </c>
      <c r="E480">
        <f>'Календарь'!D106</f>
        <v/>
      </c>
      <c r="F480">
        <f>INT((C480-Нед_Начало)/7)+1</f>
        <v/>
      </c>
      <c r="G480">
        <f>IF(E480=0,0,INDEX('Планы менеджеров'!$B$5:$M$16,B480,D480)/INDEX(Мес_Раб,D480))</f>
        <v/>
      </c>
    </row>
    <row r="481">
      <c r="A481" t="inlineStr">
        <is>
          <t>Петрова</t>
        </is>
      </c>
      <c r="B481" t="n">
        <v>6</v>
      </c>
      <c r="C481" s="18">
        <f>'Календарь'!A107</f>
        <v/>
      </c>
      <c r="D481">
        <f>MONTH(C481)</f>
        <v/>
      </c>
      <c r="E481">
        <f>'Календарь'!D107</f>
        <v/>
      </c>
      <c r="F481">
        <f>INT((C481-Нед_Начало)/7)+1</f>
        <v/>
      </c>
      <c r="G481">
        <f>IF(E481=0,0,INDEX('Планы менеджеров'!$B$5:$M$16,B481,D481)/INDEX(Мес_Раб,D481))</f>
        <v/>
      </c>
    </row>
    <row r="482">
      <c r="A482" t="inlineStr">
        <is>
          <t>Петрова</t>
        </is>
      </c>
      <c r="B482" t="n">
        <v>6</v>
      </c>
      <c r="C482" s="18">
        <f>'Календарь'!A108</f>
        <v/>
      </c>
      <c r="D482">
        <f>MONTH(C482)</f>
        <v/>
      </c>
      <c r="E482">
        <f>'Календарь'!D108</f>
        <v/>
      </c>
      <c r="F482">
        <f>INT((C482-Нед_Начало)/7)+1</f>
        <v/>
      </c>
      <c r="G482">
        <f>IF(E482=0,0,INDEX('Планы менеджеров'!$B$5:$M$16,B482,D482)/INDEX(Мес_Раб,D482))</f>
        <v/>
      </c>
    </row>
    <row r="483">
      <c r="A483" t="inlineStr">
        <is>
          <t>Петрова</t>
        </is>
      </c>
      <c r="B483" t="n">
        <v>6</v>
      </c>
      <c r="C483" s="18">
        <f>'Календарь'!A109</f>
        <v/>
      </c>
      <c r="D483">
        <f>MONTH(C483)</f>
        <v/>
      </c>
      <c r="E483">
        <f>'Календарь'!D109</f>
        <v/>
      </c>
      <c r="F483">
        <f>INT((C483-Нед_Начало)/7)+1</f>
        <v/>
      </c>
      <c r="G483">
        <f>IF(E483=0,0,INDEX('Планы менеджеров'!$B$5:$M$16,B483,D483)/INDEX(Мес_Раб,D483))</f>
        <v/>
      </c>
    </row>
    <row r="484">
      <c r="A484" t="inlineStr">
        <is>
          <t>Петрова</t>
        </is>
      </c>
      <c r="B484" t="n">
        <v>6</v>
      </c>
      <c r="C484" s="18">
        <f>'Календарь'!A110</f>
        <v/>
      </c>
      <c r="D484">
        <f>MONTH(C484)</f>
        <v/>
      </c>
      <c r="E484">
        <f>'Календарь'!D110</f>
        <v/>
      </c>
      <c r="F484">
        <f>INT((C484-Нед_Начало)/7)+1</f>
        <v/>
      </c>
      <c r="G484">
        <f>IF(E484=0,0,INDEX('Планы менеджеров'!$B$5:$M$16,B484,D484)/INDEX(Мес_Раб,D484))</f>
        <v/>
      </c>
    </row>
    <row r="485">
      <c r="A485" t="inlineStr">
        <is>
          <t>Петрова</t>
        </is>
      </c>
      <c r="B485" t="n">
        <v>6</v>
      </c>
      <c r="C485" s="18">
        <f>'Календарь'!A111</f>
        <v/>
      </c>
      <c r="D485">
        <f>MONTH(C485)</f>
        <v/>
      </c>
      <c r="E485">
        <f>'Календарь'!D111</f>
        <v/>
      </c>
      <c r="F485">
        <f>INT((C485-Нед_Начало)/7)+1</f>
        <v/>
      </c>
      <c r="G485">
        <f>IF(E485=0,0,INDEX('Планы менеджеров'!$B$5:$M$16,B485,D485)/INDEX(Мес_Раб,D485))</f>
        <v/>
      </c>
    </row>
    <row r="486">
      <c r="A486" t="inlineStr">
        <is>
          <t>Петрова</t>
        </is>
      </c>
      <c r="B486" t="n">
        <v>6</v>
      </c>
      <c r="C486" s="18">
        <f>'Календарь'!A112</f>
        <v/>
      </c>
      <c r="D486">
        <f>MONTH(C486)</f>
        <v/>
      </c>
      <c r="E486">
        <f>'Календарь'!D112</f>
        <v/>
      </c>
      <c r="F486">
        <f>INT((C486-Нед_Начало)/7)+1</f>
        <v/>
      </c>
      <c r="G486">
        <f>IF(E486=0,0,INDEX('Планы менеджеров'!$B$5:$M$16,B486,D486)/INDEX(Мес_Раб,D486))</f>
        <v/>
      </c>
    </row>
    <row r="487">
      <c r="A487" t="inlineStr">
        <is>
          <t>Петрова</t>
        </is>
      </c>
      <c r="B487" t="n">
        <v>6</v>
      </c>
      <c r="C487" s="18">
        <f>'Календарь'!A113</f>
        <v/>
      </c>
      <c r="D487">
        <f>MONTH(C487)</f>
        <v/>
      </c>
      <c r="E487">
        <f>'Календарь'!D113</f>
        <v/>
      </c>
      <c r="F487">
        <f>INT((C487-Нед_Начало)/7)+1</f>
        <v/>
      </c>
      <c r="G487">
        <f>IF(E487=0,0,INDEX('Планы менеджеров'!$B$5:$M$16,B487,D487)/INDEX(Мес_Раб,D487))</f>
        <v/>
      </c>
    </row>
    <row r="488">
      <c r="A488" t="inlineStr">
        <is>
          <t>Петрова</t>
        </is>
      </c>
      <c r="B488" t="n">
        <v>6</v>
      </c>
      <c r="C488" s="18">
        <f>'Календарь'!A114</f>
        <v/>
      </c>
      <c r="D488">
        <f>MONTH(C488)</f>
        <v/>
      </c>
      <c r="E488">
        <f>'Календарь'!D114</f>
        <v/>
      </c>
      <c r="F488">
        <f>INT((C488-Нед_Начало)/7)+1</f>
        <v/>
      </c>
      <c r="G488">
        <f>IF(E488=0,0,INDEX('Планы менеджеров'!$B$5:$M$16,B488,D488)/INDEX(Мес_Раб,D488))</f>
        <v/>
      </c>
    </row>
    <row r="489">
      <c r="A489" t="inlineStr">
        <is>
          <t>Петрова</t>
        </is>
      </c>
      <c r="B489" t="n">
        <v>6</v>
      </c>
      <c r="C489" s="18">
        <f>'Календарь'!A115</f>
        <v/>
      </c>
      <c r="D489">
        <f>MONTH(C489)</f>
        <v/>
      </c>
      <c r="E489">
        <f>'Календарь'!D115</f>
        <v/>
      </c>
      <c r="F489">
        <f>INT((C489-Нед_Начало)/7)+1</f>
        <v/>
      </c>
      <c r="G489">
        <f>IF(E489=0,0,INDEX('Планы менеджеров'!$B$5:$M$16,B489,D489)/INDEX(Мес_Раб,D489))</f>
        <v/>
      </c>
    </row>
    <row r="490">
      <c r="A490" t="inlineStr">
        <is>
          <t>Петрова</t>
        </is>
      </c>
      <c r="B490" t="n">
        <v>6</v>
      </c>
      <c r="C490" s="18">
        <f>'Календарь'!A116</f>
        <v/>
      </c>
      <c r="D490">
        <f>MONTH(C490)</f>
        <v/>
      </c>
      <c r="E490">
        <f>'Календарь'!D116</f>
        <v/>
      </c>
      <c r="F490">
        <f>INT((C490-Нед_Начало)/7)+1</f>
        <v/>
      </c>
      <c r="G490">
        <f>IF(E490=0,0,INDEX('Планы менеджеров'!$B$5:$M$16,B490,D490)/INDEX(Мес_Раб,D490))</f>
        <v/>
      </c>
    </row>
    <row r="491">
      <c r="A491" t="inlineStr">
        <is>
          <t>Петрова</t>
        </is>
      </c>
      <c r="B491" t="n">
        <v>6</v>
      </c>
      <c r="C491" s="18">
        <f>'Календарь'!A117</f>
        <v/>
      </c>
      <c r="D491">
        <f>MONTH(C491)</f>
        <v/>
      </c>
      <c r="E491">
        <f>'Календарь'!D117</f>
        <v/>
      </c>
      <c r="F491">
        <f>INT((C491-Нед_Начало)/7)+1</f>
        <v/>
      </c>
      <c r="G491">
        <f>IF(E491=0,0,INDEX('Планы менеджеров'!$B$5:$M$16,B491,D491)/INDEX(Мес_Раб,D491))</f>
        <v/>
      </c>
    </row>
    <row r="492">
      <c r="A492" t="inlineStr">
        <is>
          <t>Петрова</t>
        </is>
      </c>
      <c r="B492" t="n">
        <v>6</v>
      </c>
      <c r="C492" s="18">
        <f>'Календарь'!A118</f>
        <v/>
      </c>
      <c r="D492">
        <f>MONTH(C492)</f>
        <v/>
      </c>
      <c r="E492">
        <f>'Календарь'!D118</f>
        <v/>
      </c>
      <c r="F492">
        <f>INT((C492-Нед_Начало)/7)+1</f>
        <v/>
      </c>
      <c r="G492">
        <f>IF(E492=0,0,INDEX('Планы менеджеров'!$B$5:$M$16,B492,D492)/INDEX(Мес_Раб,D492))</f>
        <v/>
      </c>
    </row>
    <row r="493">
      <c r="A493" t="inlineStr">
        <is>
          <t>Петрова</t>
        </is>
      </c>
      <c r="B493" t="n">
        <v>6</v>
      </c>
      <c r="C493" s="18">
        <f>'Календарь'!A119</f>
        <v/>
      </c>
      <c r="D493">
        <f>MONTH(C493)</f>
        <v/>
      </c>
      <c r="E493">
        <f>'Календарь'!D119</f>
        <v/>
      </c>
      <c r="F493">
        <f>INT((C493-Нед_Начало)/7)+1</f>
        <v/>
      </c>
      <c r="G493">
        <f>IF(E493=0,0,INDEX('Планы менеджеров'!$B$5:$M$16,B493,D493)/INDEX(Мес_Раб,D493))</f>
        <v/>
      </c>
    </row>
    <row r="494">
      <c r="A494" t="inlineStr">
        <is>
          <t>Петрова</t>
        </is>
      </c>
      <c r="B494" t="n">
        <v>6</v>
      </c>
      <c r="C494" s="18">
        <f>'Календарь'!A120</f>
        <v/>
      </c>
      <c r="D494">
        <f>MONTH(C494)</f>
        <v/>
      </c>
      <c r="E494">
        <f>'Календарь'!D120</f>
        <v/>
      </c>
      <c r="F494">
        <f>INT((C494-Нед_Начало)/7)+1</f>
        <v/>
      </c>
      <c r="G494">
        <f>IF(E494=0,0,INDEX('Планы менеджеров'!$B$5:$M$16,B494,D494)/INDEX(Мес_Раб,D494))</f>
        <v/>
      </c>
    </row>
    <row r="495">
      <c r="A495" t="inlineStr">
        <is>
          <t>Петрова</t>
        </is>
      </c>
      <c r="B495" t="n">
        <v>6</v>
      </c>
      <c r="C495" s="18">
        <f>'Календарь'!A121</f>
        <v/>
      </c>
      <c r="D495">
        <f>MONTH(C495)</f>
        <v/>
      </c>
      <c r="E495">
        <f>'Календарь'!D121</f>
        <v/>
      </c>
      <c r="F495">
        <f>INT((C495-Нед_Начало)/7)+1</f>
        <v/>
      </c>
      <c r="G495">
        <f>IF(E495=0,0,INDEX('Планы менеджеров'!$B$5:$M$16,B495,D495)/INDEX(Мес_Раб,D495))</f>
        <v/>
      </c>
    </row>
    <row r="496">
      <c r="A496" t="inlineStr">
        <is>
          <t>Петрова</t>
        </is>
      </c>
      <c r="B496" t="n">
        <v>6</v>
      </c>
      <c r="C496" s="18">
        <f>'Календарь'!A122</f>
        <v/>
      </c>
      <c r="D496">
        <f>MONTH(C496)</f>
        <v/>
      </c>
      <c r="E496">
        <f>'Календарь'!D122</f>
        <v/>
      </c>
      <c r="F496">
        <f>INT((C496-Нед_Начало)/7)+1</f>
        <v/>
      </c>
      <c r="G496">
        <f>IF(E496=0,0,INDEX('Планы менеджеров'!$B$5:$M$16,B496,D496)/INDEX(Мес_Раб,D496))</f>
        <v/>
      </c>
    </row>
    <row r="497">
      <c r="A497" t="inlineStr">
        <is>
          <t>Петрова</t>
        </is>
      </c>
      <c r="B497" t="n">
        <v>6</v>
      </c>
      <c r="C497" s="18">
        <f>'Календарь'!A123</f>
        <v/>
      </c>
      <c r="D497">
        <f>MONTH(C497)</f>
        <v/>
      </c>
      <c r="E497">
        <f>'Календарь'!D123</f>
        <v/>
      </c>
      <c r="F497">
        <f>INT((C497-Нед_Начало)/7)+1</f>
        <v/>
      </c>
      <c r="G497">
        <f>IF(E497=0,0,INDEX('Планы менеджеров'!$B$5:$M$16,B497,D497)/INDEX(Мес_Раб,D497))</f>
        <v/>
      </c>
    </row>
    <row r="498">
      <c r="A498" t="inlineStr">
        <is>
          <t>Петрова</t>
        </is>
      </c>
      <c r="B498" t="n">
        <v>6</v>
      </c>
      <c r="C498" s="18">
        <f>'Календарь'!A124</f>
        <v/>
      </c>
      <c r="D498">
        <f>MONTH(C498)</f>
        <v/>
      </c>
      <c r="E498">
        <f>'Календарь'!D124</f>
        <v/>
      </c>
      <c r="F498">
        <f>INT((C498-Нед_Начало)/7)+1</f>
        <v/>
      </c>
      <c r="G498">
        <f>IF(E498=0,0,INDEX('Планы менеджеров'!$B$5:$M$16,B498,D498)/INDEX(Мес_Раб,D498))</f>
        <v/>
      </c>
    </row>
    <row r="499">
      <c r="A499" t="inlineStr">
        <is>
          <t>Петрова</t>
        </is>
      </c>
      <c r="B499" t="n">
        <v>6</v>
      </c>
      <c r="C499" s="18">
        <f>'Календарь'!A125</f>
        <v/>
      </c>
      <c r="D499">
        <f>MONTH(C499)</f>
        <v/>
      </c>
      <c r="E499">
        <f>'Календарь'!D125</f>
        <v/>
      </c>
      <c r="F499">
        <f>INT((C499-Нед_Начало)/7)+1</f>
        <v/>
      </c>
      <c r="G499">
        <f>IF(E499=0,0,INDEX('Планы менеджеров'!$B$5:$M$16,B499,D499)/INDEX(Мес_Раб,D499))</f>
        <v/>
      </c>
    </row>
    <row r="500">
      <c r="A500" t="inlineStr">
        <is>
          <t>Петрова</t>
        </is>
      </c>
      <c r="B500" t="n">
        <v>6</v>
      </c>
      <c r="C500" s="18">
        <f>'Календарь'!A126</f>
        <v/>
      </c>
      <c r="D500">
        <f>MONTH(C500)</f>
        <v/>
      </c>
      <c r="E500">
        <f>'Календарь'!D126</f>
        <v/>
      </c>
      <c r="F500">
        <f>INT((C500-Нед_Начало)/7)+1</f>
        <v/>
      </c>
      <c r="G500">
        <f>IF(E500=0,0,INDEX('Планы менеджеров'!$B$5:$M$16,B500,D500)/INDEX(Мес_Раб,D500))</f>
        <v/>
      </c>
    </row>
    <row r="501">
      <c r="A501" t="inlineStr">
        <is>
          <t>Петрова</t>
        </is>
      </c>
      <c r="B501" t="n">
        <v>6</v>
      </c>
      <c r="C501" s="18">
        <f>'Календарь'!A127</f>
        <v/>
      </c>
      <c r="D501">
        <f>MONTH(C501)</f>
        <v/>
      </c>
      <c r="E501">
        <f>'Календарь'!D127</f>
        <v/>
      </c>
      <c r="F501">
        <f>INT((C501-Нед_Начало)/7)+1</f>
        <v/>
      </c>
      <c r="G501">
        <f>IF(E501=0,0,INDEX('Планы менеджеров'!$B$5:$M$16,B501,D501)/INDEX(Мес_Раб,D501))</f>
        <v/>
      </c>
    </row>
    <row r="502">
      <c r="A502" t="inlineStr">
        <is>
          <t>Петрова</t>
        </is>
      </c>
      <c r="B502" t="n">
        <v>6</v>
      </c>
      <c r="C502" s="18">
        <f>'Календарь'!A128</f>
        <v/>
      </c>
      <c r="D502">
        <f>MONTH(C502)</f>
        <v/>
      </c>
      <c r="E502">
        <f>'Календарь'!D128</f>
        <v/>
      </c>
      <c r="F502">
        <f>INT((C502-Нед_Начало)/7)+1</f>
        <v/>
      </c>
      <c r="G502">
        <f>IF(E502=0,0,INDEX('Планы менеджеров'!$B$5:$M$16,B502,D502)/INDEX(Мес_Раб,D502))</f>
        <v/>
      </c>
    </row>
    <row r="503">
      <c r="A503" t="inlineStr">
        <is>
          <t>Петрова</t>
        </is>
      </c>
      <c r="B503" t="n">
        <v>6</v>
      </c>
      <c r="C503" s="18">
        <f>'Календарь'!A129</f>
        <v/>
      </c>
      <c r="D503">
        <f>MONTH(C503)</f>
        <v/>
      </c>
      <c r="E503">
        <f>'Календарь'!D129</f>
        <v/>
      </c>
      <c r="F503">
        <f>INT((C503-Нед_Начало)/7)+1</f>
        <v/>
      </c>
      <c r="G503">
        <f>IF(E503=0,0,INDEX('Планы менеджеров'!$B$5:$M$16,B503,D503)/INDEX(Мес_Раб,D503))</f>
        <v/>
      </c>
    </row>
    <row r="504">
      <c r="A504" t="inlineStr">
        <is>
          <t>Петрова</t>
        </is>
      </c>
      <c r="B504" t="n">
        <v>6</v>
      </c>
      <c r="C504" s="18">
        <f>'Календарь'!A130</f>
        <v/>
      </c>
      <c r="D504">
        <f>MONTH(C504)</f>
        <v/>
      </c>
      <c r="E504">
        <f>'Календарь'!D130</f>
        <v/>
      </c>
      <c r="F504">
        <f>INT((C504-Нед_Начало)/7)+1</f>
        <v/>
      </c>
      <c r="G504">
        <f>IF(E504=0,0,INDEX('Планы менеджеров'!$B$5:$M$16,B504,D504)/INDEX(Мес_Раб,D504))</f>
        <v/>
      </c>
    </row>
    <row r="505">
      <c r="A505" t="inlineStr">
        <is>
          <t>Петрова</t>
        </is>
      </c>
      <c r="B505" t="n">
        <v>6</v>
      </c>
      <c r="C505" s="18">
        <f>'Календарь'!A131</f>
        <v/>
      </c>
      <c r="D505">
        <f>MONTH(C505)</f>
        <v/>
      </c>
      <c r="E505">
        <f>'Календарь'!D131</f>
        <v/>
      </c>
      <c r="F505">
        <f>INT((C505-Нед_Начало)/7)+1</f>
        <v/>
      </c>
      <c r="G505">
        <f>IF(E505=0,0,INDEX('Планы менеджеров'!$B$5:$M$16,B505,D505)/INDEX(Мес_Раб,D505))</f>
        <v/>
      </c>
    </row>
    <row r="506">
      <c r="A506" t="inlineStr">
        <is>
          <t>Петрова</t>
        </is>
      </c>
      <c r="B506" t="n">
        <v>6</v>
      </c>
      <c r="C506" s="18">
        <f>'Календарь'!A132</f>
        <v/>
      </c>
      <c r="D506">
        <f>MONTH(C506)</f>
        <v/>
      </c>
      <c r="E506">
        <f>'Календарь'!D132</f>
        <v/>
      </c>
      <c r="F506">
        <f>INT((C506-Нед_Начало)/7)+1</f>
        <v/>
      </c>
      <c r="G506">
        <f>IF(E506=0,0,INDEX('Планы менеджеров'!$B$5:$M$16,B506,D506)/INDEX(Мес_Раб,D506))</f>
        <v/>
      </c>
    </row>
    <row r="507">
      <c r="A507" t="inlineStr">
        <is>
          <t>Петрова</t>
        </is>
      </c>
      <c r="B507" t="n">
        <v>6</v>
      </c>
      <c r="C507" s="18">
        <f>'Календарь'!A133</f>
        <v/>
      </c>
      <c r="D507">
        <f>MONTH(C507)</f>
        <v/>
      </c>
      <c r="E507">
        <f>'Календарь'!D133</f>
        <v/>
      </c>
      <c r="F507">
        <f>INT((C507-Нед_Начало)/7)+1</f>
        <v/>
      </c>
      <c r="G507">
        <f>IF(E507=0,0,INDEX('Планы менеджеров'!$B$5:$M$16,B507,D507)/INDEX(Мес_Раб,D507))</f>
        <v/>
      </c>
    </row>
    <row r="508">
      <c r="A508" t="inlineStr">
        <is>
          <t>Петрова</t>
        </is>
      </c>
      <c r="B508" t="n">
        <v>6</v>
      </c>
      <c r="C508" s="18">
        <f>'Календарь'!A134</f>
        <v/>
      </c>
      <c r="D508">
        <f>MONTH(C508)</f>
        <v/>
      </c>
      <c r="E508">
        <f>'Календарь'!D134</f>
        <v/>
      </c>
      <c r="F508">
        <f>INT((C508-Нед_Начало)/7)+1</f>
        <v/>
      </c>
      <c r="G508">
        <f>IF(E508=0,0,INDEX('Планы менеджеров'!$B$5:$M$16,B508,D508)/INDEX(Мес_Раб,D508))</f>
        <v/>
      </c>
    </row>
    <row r="509">
      <c r="A509" t="inlineStr">
        <is>
          <t>Петрова</t>
        </is>
      </c>
      <c r="B509" t="n">
        <v>6</v>
      </c>
      <c r="C509" s="18">
        <f>'Календарь'!A135</f>
        <v/>
      </c>
      <c r="D509">
        <f>MONTH(C509)</f>
        <v/>
      </c>
      <c r="E509">
        <f>'Календарь'!D135</f>
        <v/>
      </c>
      <c r="F509">
        <f>INT((C509-Нед_Начало)/7)+1</f>
        <v/>
      </c>
      <c r="G509">
        <f>IF(E509=0,0,INDEX('Планы менеджеров'!$B$5:$M$16,B509,D509)/INDEX(Мес_Раб,D509))</f>
        <v/>
      </c>
    </row>
    <row r="510">
      <c r="A510" t="inlineStr">
        <is>
          <t>Петрова</t>
        </is>
      </c>
      <c r="B510" t="n">
        <v>6</v>
      </c>
      <c r="C510" s="18">
        <f>'Календарь'!A136</f>
        <v/>
      </c>
      <c r="D510">
        <f>MONTH(C510)</f>
        <v/>
      </c>
      <c r="E510">
        <f>'Календарь'!D136</f>
        <v/>
      </c>
      <c r="F510">
        <f>INT((C510-Нед_Начало)/7)+1</f>
        <v/>
      </c>
      <c r="G510">
        <f>IF(E510=0,0,INDEX('Планы менеджеров'!$B$5:$M$16,B510,D510)/INDEX(Мес_Раб,D510))</f>
        <v/>
      </c>
    </row>
    <row r="511">
      <c r="A511" t="inlineStr">
        <is>
          <t>Петрова</t>
        </is>
      </c>
      <c r="B511" t="n">
        <v>6</v>
      </c>
      <c r="C511" s="18">
        <f>'Календарь'!A137</f>
        <v/>
      </c>
      <c r="D511">
        <f>MONTH(C511)</f>
        <v/>
      </c>
      <c r="E511">
        <f>'Календарь'!D137</f>
        <v/>
      </c>
      <c r="F511">
        <f>INT((C511-Нед_Начало)/7)+1</f>
        <v/>
      </c>
      <c r="G511">
        <f>IF(E511=0,0,INDEX('Планы менеджеров'!$B$5:$M$16,B511,D511)/INDEX(Мес_Раб,D511))</f>
        <v/>
      </c>
    </row>
    <row r="512">
      <c r="A512" t="inlineStr">
        <is>
          <t>Петрова</t>
        </is>
      </c>
      <c r="B512" t="n">
        <v>6</v>
      </c>
      <c r="C512" s="18">
        <f>'Календарь'!A138</f>
        <v/>
      </c>
      <c r="D512">
        <f>MONTH(C512)</f>
        <v/>
      </c>
      <c r="E512">
        <f>'Календарь'!D138</f>
        <v/>
      </c>
      <c r="F512">
        <f>INT((C512-Нед_Начало)/7)+1</f>
        <v/>
      </c>
      <c r="G512">
        <f>IF(E512=0,0,INDEX('Планы менеджеров'!$B$5:$M$16,B512,D512)/INDEX(Мес_Раб,D512))</f>
        <v/>
      </c>
    </row>
    <row r="513">
      <c r="A513" t="inlineStr">
        <is>
          <t>Петрова</t>
        </is>
      </c>
      <c r="B513" t="n">
        <v>6</v>
      </c>
      <c r="C513" s="18">
        <f>'Календарь'!A139</f>
        <v/>
      </c>
      <c r="D513">
        <f>MONTH(C513)</f>
        <v/>
      </c>
      <c r="E513">
        <f>'Календарь'!D139</f>
        <v/>
      </c>
      <c r="F513">
        <f>INT((C513-Нед_Начало)/7)+1</f>
        <v/>
      </c>
      <c r="G513">
        <f>IF(E513=0,0,INDEX('Планы менеджеров'!$B$5:$M$16,B513,D513)/INDEX(Мес_Раб,D513))</f>
        <v/>
      </c>
    </row>
    <row r="514">
      <c r="A514" t="inlineStr">
        <is>
          <t>Петрова</t>
        </is>
      </c>
      <c r="B514" t="n">
        <v>6</v>
      </c>
      <c r="C514" s="18">
        <f>'Календарь'!A140</f>
        <v/>
      </c>
      <c r="D514">
        <f>MONTH(C514)</f>
        <v/>
      </c>
      <c r="E514">
        <f>'Календарь'!D140</f>
        <v/>
      </c>
      <c r="F514">
        <f>INT((C514-Нед_Начало)/7)+1</f>
        <v/>
      </c>
      <c r="G514">
        <f>IF(E514=0,0,INDEX('Планы менеджеров'!$B$5:$M$16,B514,D514)/INDEX(Мес_Раб,D514))</f>
        <v/>
      </c>
    </row>
    <row r="515">
      <c r="A515" t="inlineStr">
        <is>
          <t>Петрова</t>
        </is>
      </c>
      <c r="B515" t="n">
        <v>6</v>
      </c>
      <c r="C515" s="18">
        <f>'Календарь'!A141</f>
        <v/>
      </c>
      <c r="D515">
        <f>MONTH(C515)</f>
        <v/>
      </c>
      <c r="E515">
        <f>'Календарь'!D141</f>
        <v/>
      </c>
      <c r="F515">
        <f>INT((C515-Нед_Начало)/7)+1</f>
        <v/>
      </c>
      <c r="G515">
        <f>IF(E515=0,0,INDEX('Планы менеджеров'!$B$5:$M$16,B515,D515)/INDEX(Мес_Раб,D515))</f>
        <v/>
      </c>
    </row>
    <row r="516">
      <c r="A516" t="inlineStr">
        <is>
          <t>Петрова</t>
        </is>
      </c>
      <c r="B516" t="n">
        <v>6</v>
      </c>
      <c r="C516" s="18">
        <f>'Календарь'!A142</f>
        <v/>
      </c>
      <c r="D516">
        <f>MONTH(C516)</f>
        <v/>
      </c>
      <c r="E516">
        <f>'Календарь'!D142</f>
        <v/>
      </c>
      <c r="F516">
        <f>INT((C516-Нед_Начало)/7)+1</f>
        <v/>
      </c>
      <c r="G516">
        <f>IF(E516=0,0,INDEX('Планы менеджеров'!$B$5:$M$16,B516,D516)/INDEX(Мес_Раб,D516))</f>
        <v/>
      </c>
    </row>
    <row r="517">
      <c r="A517" t="inlineStr">
        <is>
          <t>Петрова</t>
        </is>
      </c>
      <c r="B517" t="n">
        <v>6</v>
      </c>
      <c r="C517" s="18">
        <f>'Календарь'!A143</f>
        <v/>
      </c>
      <c r="D517">
        <f>MONTH(C517)</f>
        <v/>
      </c>
      <c r="E517">
        <f>'Календарь'!D143</f>
        <v/>
      </c>
      <c r="F517">
        <f>INT((C517-Нед_Начало)/7)+1</f>
        <v/>
      </c>
      <c r="G517">
        <f>IF(E517=0,0,INDEX('Планы менеджеров'!$B$5:$M$16,B517,D517)/INDEX(Мес_Раб,D517))</f>
        <v/>
      </c>
    </row>
    <row r="518">
      <c r="A518" t="inlineStr">
        <is>
          <t>Петрова</t>
        </is>
      </c>
      <c r="B518" t="n">
        <v>6</v>
      </c>
      <c r="C518" s="18">
        <f>'Календарь'!A144</f>
        <v/>
      </c>
      <c r="D518">
        <f>MONTH(C518)</f>
        <v/>
      </c>
      <c r="E518">
        <f>'Календарь'!D144</f>
        <v/>
      </c>
      <c r="F518">
        <f>INT((C518-Нед_Начало)/7)+1</f>
        <v/>
      </c>
      <c r="G518">
        <f>IF(E518=0,0,INDEX('Планы менеджеров'!$B$5:$M$16,B518,D518)/INDEX(Мес_Раб,D518))</f>
        <v/>
      </c>
    </row>
    <row r="519">
      <c r="A519" t="inlineStr">
        <is>
          <t>Петрова</t>
        </is>
      </c>
      <c r="B519" t="n">
        <v>6</v>
      </c>
      <c r="C519" s="18">
        <f>'Календарь'!A145</f>
        <v/>
      </c>
      <c r="D519">
        <f>MONTH(C519)</f>
        <v/>
      </c>
      <c r="E519">
        <f>'Календарь'!D145</f>
        <v/>
      </c>
      <c r="F519">
        <f>INT((C519-Нед_Начало)/7)+1</f>
        <v/>
      </c>
      <c r="G519">
        <f>IF(E519=0,0,INDEX('Планы менеджеров'!$B$5:$M$16,B519,D519)/INDEX(Мес_Раб,D519))</f>
        <v/>
      </c>
    </row>
    <row r="520">
      <c r="A520" t="inlineStr">
        <is>
          <t>Петрова</t>
        </is>
      </c>
      <c r="B520" t="n">
        <v>6</v>
      </c>
      <c r="C520" s="18">
        <f>'Календарь'!A146</f>
        <v/>
      </c>
      <c r="D520">
        <f>MONTH(C520)</f>
        <v/>
      </c>
      <c r="E520">
        <f>'Календарь'!D146</f>
        <v/>
      </c>
      <c r="F520">
        <f>INT((C520-Нед_Начало)/7)+1</f>
        <v/>
      </c>
      <c r="G520">
        <f>IF(E520=0,0,INDEX('Планы менеджеров'!$B$5:$M$16,B520,D520)/INDEX(Мес_Раб,D520))</f>
        <v/>
      </c>
    </row>
    <row r="521">
      <c r="A521" t="inlineStr">
        <is>
          <t>Петрова</t>
        </is>
      </c>
      <c r="B521" t="n">
        <v>6</v>
      </c>
      <c r="C521" s="18">
        <f>'Календарь'!A147</f>
        <v/>
      </c>
      <c r="D521">
        <f>MONTH(C521)</f>
        <v/>
      </c>
      <c r="E521">
        <f>'Календарь'!D147</f>
        <v/>
      </c>
      <c r="F521">
        <f>INT((C521-Нед_Начало)/7)+1</f>
        <v/>
      </c>
      <c r="G521">
        <f>IF(E521=0,0,INDEX('Планы менеджеров'!$B$5:$M$16,B521,D521)/INDEX(Мес_Раб,D521))</f>
        <v/>
      </c>
    </row>
    <row r="522">
      <c r="A522" t="inlineStr">
        <is>
          <t>Петрова</t>
        </is>
      </c>
      <c r="B522" t="n">
        <v>6</v>
      </c>
      <c r="C522" s="18">
        <f>'Календарь'!A148</f>
        <v/>
      </c>
      <c r="D522">
        <f>MONTH(C522)</f>
        <v/>
      </c>
      <c r="E522">
        <f>'Календарь'!D148</f>
        <v/>
      </c>
      <c r="F522">
        <f>INT((C522-Нед_Начало)/7)+1</f>
        <v/>
      </c>
      <c r="G522">
        <f>IF(E522=0,0,INDEX('Планы менеджеров'!$B$5:$M$16,B522,D522)/INDEX(Мес_Раб,D522))</f>
        <v/>
      </c>
    </row>
    <row r="523">
      <c r="A523" t="inlineStr">
        <is>
          <t>Петрова</t>
        </is>
      </c>
      <c r="B523" t="n">
        <v>6</v>
      </c>
      <c r="C523" s="18">
        <f>'Календарь'!A149</f>
        <v/>
      </c>
      <c r="D523">
        <f>MONTH(C523)</f>
        <v/>
      </c>
      <c r="E523">
        <f>'Календарь'!D149</f>
        <v/>
      </c>
      <c r="F523">
        <f>INT((C523-Нед_Начало)/7)+1</f>
        <v/>
      </c>
      <c r="G523">
        <f>IF(E523=0,0,INDEX('Планы менеджеров'!$B$5:$M$16,B523,D523)/INDEX(Мес_Раб,D523))</f>
        <v/>
      </c>
    </row>
    <row r="524">
      <c r="A524" t="inlineStr">
        <is>
          <t>Петрова</t>
        </is>
      </c>
      <c r="B524" t="n">
        <v>6</v>
      </c>
      <c r="C524" s="18">
        <f>'Календарь'!A150</f>
        <v/>
      </c>
      <c r="D524">
        <f>MONTH(C524)</f>
        <v/>
      </c>
      <c r="E524">
        <f>'Календарь'!D150</f>
        <v/>
      </c>
      <c r="F524">
        <f>INT((C524-Нед_Начало)/7)+1</f>
        <v/>
      </c>
      <c r="G524">
        <f>IF(E524=0,0,INDEX('Планы менеджеров'!$B$5:$M$16,B524,D524)/INDEX(Мес_Раб,D524))</f>
        <v/>
      </c>
    </row>
    <row r="525">
      <c r="A525" t="inlineStr">
        <is>
          <t>Петрова</t>
        </is>
      </c>
      <c r="B525" t="n">
        <v>6</v>
      </c>
      <c r="C525" s="18">
        <f>'Календарь'!A151</f>
        <v/>
      </c>
      <c r="D525">
        <f>MONTH(C525)</f>
        <v/>
      </c>
      <c r="E525">
        <f>'Календарь'!D151</f>
        <v/>
      </c>
      <c r="F525">
        <f>INT((C525-Нед_Начало)/7)+1</f>
        <v/>
      </c>
      <c r="G525">
        <f>IF(E525=0,0,INDEX('Планы менеджеров'!$B$5:$M$16,B525,D525)/INDEX(Мес_Раб,D525))</f>
        <v/>
      </c>
    </row>
    <row r="526">
      <c r="A526" t="inlineStr">
        <is>
          <t>Петрова</t>
        </is>
      </c>
      <c r="B526" t="n">
        <v>6</v>
      </c>
      <c r="C526" s="18">
        <f>'Календарь'!A152</f>
        <v/>
      </c>
      <c r="D526">
        <f>MONTH(C526)</f>
        <v/>
      </c>
      <c r="E526">
        <f>'Календарь'!D152</f>
        <v/>
      </c>
      <c r="F526">
        <f>INT((C526-Нед_Начало)/7)+1</f>
        <v/>
      </c>
      <c r="G526">
        <f>IF(E526=0,0,INDEX('Планы менеджеров'!$B$5:$M$16,B526,D526)/INDEX(Мес_Раб,D526))</f>
        <v/>
      </c>
    </row>
    <row r="527">
      <c r="A527" t="inlineStr">
        <is>
          <t>Петрова</t>
        </is>
      </c>
      <c r="B527" t="n">
        <v>6</v>
      </c>
      <c r="C527" s="18">
        <f>'Календарь'!A153</f>
        <v/>
      </c>
      <c r="D527">
        <f>MONTH(C527)</f>
        <v/>
      </c>
      <c r="E527">
        <f>'Календарь'!D153</f>
        <v/>
      </c>
      <c r="F527">
        <f>INT((C527-Нед_Начало)/7)+1</f>
        <v/>
      </c>
      <c r="G527">
        <f>IF(E527=0,0,INDEX('Планы менеджеров'!$B$5:$M$16,B527,D527)/INDEX(Мес_Раб,D527))</f>
        <v/>
      </c>
    </row>
    <row r="528">
      <c r="A528" t="inlineStr">
        <is>
          <t>Петрова</t>
        </is>
      </c>
      <c r="B528" t="n">
        <v>6</v>
      </c>
      <c r="C528" s="18">
        <f>'Календарь'!A154</f>
        <v/>
      </c>
      <c r="D528">
        <f>MONTH(C528)</f>
        <v/>
      </c>
      <c r="E528">
        <f>'Календарь'!D154</f>
        <v/>
      </c>
      <c r="F528">
        <f>INT((C528-Нед_Начало)/7)+1</f>
        <v/>
      </c>
      <c r="G528">
        <f>IF(E528=0,0,INDEX('Планы менеджеров'!$B$5:$M$16,B528,D528)/INDEX(Мес_Раб,D528))</f>
        <v/>
      </c>
    </row>
    <row r="529">
      <c r="A529" t="inlineStr">
        <is>
          <t>Петрова</t>
        </is>
      </c>
      <c r="B529" t="n">
        <v>6</v>
      </c>
      <c r="C529" s="18">
        <f>'Календарь'!A155</f>
        <v/>
      </c>
      <c r="D529">
        <f>MONTH(C529)</f>
        <v/>
      </c>
      <c r="E529">
        <f>'Календарь'!D155</f>
        <v/>
      </c>
      <c r="F529">
        <f>INT((C529-Нед_Начало)/7)+1</f>
        <v/>
      </c>
      <c r="G529">
        <f>IF(E529=0,0,INDEX('Планы менеджеров'!$B$5:$M$16,B529,D529)/INDEX(Мес_Раб,D529))</f>
        <v/>
      </c>
    </row>
    <row r="530">
      <c r="A530" t="inlineStr">
        <is>
          <t>Петрова</t>
        </is>
      </c>
      <c r="B530" t="n">
        <v>6</v>
      </c>
      <c r="C530" s="18">
        <f>'Календарь'!A156</f>
        <v/>
      </c>
      <c r="D530">
        <f>MONTH(C530)</f>
        <v/>
      </c>
      <c r="E530">
        <f>'Календарь'!D156</f>
        <v/>
      </c>
      <c r="F530">
        <f>INT((C530-Нед_Начало)/7)+1</f>
        <v/>
      </c>
      <c r="G530">
        <f>IF(E530=0,0,INDEX('Планы менеджеров'!$B$5:$M$16,B530,D530)/INDEX(Мес_Раб,D530))</f>
        <v/>
      </c>
    </row>
    <row r="531">
      <c r="A531" t="inlineStr">
        <is>
          <t>Петрова</t>
        </is>
      </c>
      <c r="B531" t="n">
        <v>6</v>
      </c>
      <c r="C531" s="18">
        <f>'Календарь'!A157</f>
        <v/>
      </c>
      <c r="D531">
        <f>MONTH(C531)</f>
        <v/>
      </c>
      <c r="E531">
        <f>'Календарь'!D157</f>
        <v/>
      </c>
      <c r="F531">
        <f>INT((C531-Нед_Начало)/7)+1</f>
        <v/>
      </c>
      <c r="G531">
        <f>IF(E531=0,0,INDEX('Планы менеджеров'!$B$5:$M$16,B531,D531)/INDEX(Мес_Раб,D531))</f>
        <v/>
      </c>
    </row>
    <row r="532">
      <c r="A532" t="inlineStr">
        <is>
          <t>Петрова</t>
        </is>
      </c>
      <c r="B532" t="n">
        <v>6</v>
      </c>
      <c r="C532" s="18">
        <f>'Календарь'!A158</f>
        <v/>
      </c>
      <c r="D532">
        <f>MONTH(C532)</f>
        <v/>
      </c>
      <c r="E532">
        <f>'Календарь'!D158</f>
        <v/>
      </c>
      <c r="F532">
        <f>INT((C532-Нед_Начало)/7)+1</f>
        <v/>
      </c>
      <c r="G532">
        <f>IF(E532=0,0,INDEX('Планы менеджеров'!$B$5:$M$16,B532,D532)/INDEX(Мес_Раб,D532))</f>
        <v/>
      </c>
    </row>
    <row r="533">
      <c r="A533" t="inlineStr">
        <is>
          <t>Петрова</t>
        </is>
      </c>
      <c r="B533" t="n">
        <v>6</v>
      </c>
      <c r="C533" s="18">
        <f>'Календарь'!A159</f>
        <v/>
      </c>
      <c r="D533">
        <f>MONTH(C533)</f>
        <v/>
      </c>
      <c r="E533">
        <f>'Календарь'!D159</f>
        <v/>
      </c>
      <c r="F533">
        <f>INT((C533-Нед_Начало)/7)+1</f>
        <v/>
      </c>
      <c r="G533">
        <f>IF(E533=0,0,INDEX('Планы менеджеров'!$B$5:$M$16,B533,D533)/INDEX(Мес_Раб,D533))</f>
        <v/>
      </c>
    </row>
    <row r="534">
      <c r="A534" t="inlineStr">
        <is>
          <t>Петрова</t>
        </is>
      </c>
      <c r="B534" t="n">
        <v>6</v>
      </c>
      <c r="C534" s="18">
        <f>'Календарь'!A160</f>
        <v/>
      </c>
      <c r="D534">
        <f>MONTH(C534)</f>
        <v/>
      </c>
      <c r="E534">
        <f>'Календарь'!D160</f>
        <v/>
      </c>
      <c r="F534">
        <f>INT((C534-Нед_Начало)/7)+1</f>
        <v/>
      </c>
      <c r="G534">
        <f>IF(E534=0,0,INDEX('Планы менеджеров'!$B$5:$M$16,B534,D534)/INDEX(Мес_Раб,D534))</f>
        <v/>
      </c>
    </row>
    <row r="535">
      <c r="A535" t="inlineStr">
        <is>
          <t>Петрова</t>
        </is>
      </c>
      <c r="B535" t="n">
        <v>6</v>
      </c>
      <c r="C535" s="18">
        <f>'Календарь'!A161</f>
        <v/>
      </c>
      <c r="D535">
        <f>MONTH(C535)</f>
        <v/>
      </c>
      <c r="E535">
        <f>'Календарь'!D161</f>
        <v/>
      </c>
      <c r="F535">
        <f>INT((C535-Нед_Начало)/7)+1</f>
        <v/>
      </c>
      <c r="G535">
        <f>IF(E535=0,0,INDEX('Планы менеджеров'!$B$5:$M$16,B535,D535)/INDEX(Мес_Раб,D535))</f>
        <v/>
      </c>
    </row>
    <row r="536">
      <c r="A536" t="inlineStr">
        <is>
          <t>Петрова</t>
        </is>
      </c>
      <c r="B536" t="n">
        <v>6</v>
      </c>
      <c r="C536" s="18">
        <f>'Календарь'!A162</f>
        <v/>
      </c>
      <c r="D536">
        <f>MONTH(C536)</f>
        <v/>
      </c>
      <c r="E536">
        <f>'Календарь'!D162</f>
        <v/>
      </c>
      <c r="F536">
        <f>INT((C536-Нед_Начало)/7)+1</f>
        <v/>
      </c>
      <c r="G536">
        <f>IF(E536=0,0,INDEX('Планы менеджеров'!$B$5:$M$16,B536,D536)/INDEX(Мес_Раб,D536))</f>
        <v/>
      </c>
    </row>
    <row r="537">
      <c r="A537" t="inlineStr">
        <is>
          <t>Петрова</t>
        </is>
      </c>
      <c r="B537" t="n">
        <v>6</v>
      </c>
      <c r="C537" s="18">
        <f>'Календарь'!A163</f>
        <v/>
      </c>
      <c r="D537">
        <f>MONTH(C537)</f>
        <v/>
      </c>
      <c r="E537">
        <f>'Календарь'!D163</f>
        <v/>
      </c>
      <c r="F537">
        <f>INT((C537-Нед_Начало)/7)+1</f>
        <v/>
      </c>
      <c r="G537">
        <f>IF(E537=0,0,INDEX('Планы менеджеров'!$B$5:$M$16,B537,D537)/INDEX(Мес_Раб,D537))</f>
        <v/>
      </c>
    </row>
    <row r="538">
      <c r="A538" t="inlineStr">
        <is>
          <t>Петрова</t>
        </is>
      </c>
      <c r="B538" t="n">
        <v>6</v>
      </c>
      <c r="C538" s="18">
        <f>'Календарь'!A164</f>
        <v/>
      </c>
      <c r="D538">
        <f>MONTH(C538)</f>
        <v/>
      </c>
      <c r="E538">
        <f>'Календарь'!D164</f>
        <v/>
      </c>
      <c r="F538">
        <f>INT((C538-Нед_Начало)/7)+1</f>
        <v/>
      </c>
      <c r="G538">
        <f>IF(E538=0,0,INDEX('Планы менеджеров'!$B$5:$M$16,B538,D538)/INDEX(Мес_Раб,D538))</f>
        <v/>
      </c>
    </row>
    <row r="539">
      <c r="A539" t="inlineStr">
        <is>
          <t>Петрова</t>
        </is>
      </c>
      <c r="B539" t="n">
        <v>6</v>
      </c>
      <c r="C539" s="18">
        <f>'Календарь'!A165</f>
        <v/>
      </c>
      <c r="D539">
        <f>MONTH(C539)</f>
        <v/>
      </c>
      <c r="E539">
        <f>'Календарь'!D165</f>
        <v/>
      </c>
      <c r="F539">
        <f>INT((C539-Нед_Начало)/7)+1</f>
        <v/>
      </c>
      <c r="G539">
        <f>IF(E539=0,0,INDEX('Планы менеджеров'!$B$5:$M$16,B539,D539)/INDEX(Мес_Раб,D539))</f>
        <v/>
      </c>
    </row>
    <row r="540">
      <c r="A540" t="inlineStr">
        <is>
          <t>Петрова</t>
        </is>
      </c>
      <c r="B540" t="n">
        <v>6</v>
      </c>
      <c r="C540" s="18">
        <f>'Календарь'!A166</f>
        <v/>
      </c>
      <c r="D540">
        <f>MONTH(C540)</f>
        <v/>
      </c>
      <c r="E540">
        <f>'Календарь'!D166</f>
        <v/>
      </c>
      <c r="F540">
        <f>INT((C540-Нед_Начало)/7)+1</f>
        <v/>
      </c>
      <c r="G540">
        <f>IF(E540=0,0,INDEX('Планы менеджеров'!$B$5:$M$16,B540,D540)/INDEX(Мес_Раб,D540))</f>
        <v/>
      </c>
    </row>
    <row r="541">
      <c r="A541" t="inlineStr">
        <is>
          <t>Петрова</t>
        </is>
      </c>
      <c r="B541" t="n">
        <v>6</v>
      </c>
      <c r="C541" s="18">
        <f>'Календарь'!A167</f>
        <v/>
      </c>
      <c r="D541">
        <f>MONTH(C541)</f>
        <v/>
      </c>
      <c r="E541">
        <f>'Календарь'!D167</f>
        <v/>
      </c>
      <c r="F541">
        <f>INT((C541-Нед_Начало)/7)+1</f>
        <v/>
      </c>
      <c r="G541">
        <f>IF(E541=0,0,INDEX('Планы менеджеров'!$B$5:$M$16,B541,D541)/INDEX(Мес_Раб,D541))</f>
        <v/>
      </c>
    </row>
    <row r="542">
      <c r="A542" t="inlineStr">
        <is>
          <t>Петрова</t>
        </is>
      </c>
      <c r="B542" t="n">
        <v>6</v>
      </c>
      <c r="C542" s="18">
        <f>'Календарь'!A168</f>
        <v/>
      </c>
      <c r="D542">
        <f>MONTH(C542)</f>
        <v/>
      </c>
      <c r="E542">
        <f>'Календарь'!D168</f>
        <v/>
      </c>
      <c r="F542">
        <f>INT((C542-Нед_Начало)/7)+1</f>
        <v/>
      </c>
      <c r="G542">
        <f>IF(E542=0,0,INDEX('Планы менеджеров'!$B$5:$M$16,B542,D542)/INDEX(Мес_Раб,D542))</f>
        <v/>
      </c>
    </row>
    <row r="543">
      <c r="A543" t="inlineStr">
        <is>
          <t>Петрова</t>
        </is>
      </c>
      <c r="B543" t="n">
        <v>6</v>
      </c>
      <c r="C543" s="18">
        <f>'Календарь'!A169</f>
        <v/>
      </c>
      <c r="D543">
        <f>MONTH(C543)</f>
        <v/>
      </c>
      <c r="E543">
        <f>'Календарь'!D169</f>
        <v/>
      </c>
      <c r="F543">
        <f>INT((C543-Нед_Начало)/7)+1</f>
        <v/>
      </c>
      <c r="G543">
        <f>IF(E543=0,0,INDEX('Планы менеджеров'!$B$5:$M$16,B543,D543)/INDEX(Мес_Раб,D543))</f>
        <v/>
      </c>
    </row>
    <row r="544">
      <c r="A544" t="inlineStr">
        <is>
          <t>Петрова</t>
        </is>
      </c>
      <c r="B544" t="n">
        <v>6</v>
      </c>
      <c r="C544" s="18">
        <f>'Календарь'!A170</f>
        <v/>
      </c>
      <c r="D544">
        <f>MONTH(C544)</f>
        <v/>
      </c>
      <c r="E544">
        <f>'Календарь'!D170</f>
        <v/>
      </c>
      <c r="F544">
        <f>INT((C544-Нед_Начало)/7)+1</f>
        <v/>
      </c>
      <c r="G544">
        <f>IF(E544=0,0,INDEX('Планы менеджеров'!$B$5:$M$16,B544,D544)/INDEX(Мес_Раб,D544))</f>
        <v/>
      </c>
    </row>
    <row r="545">
      <c r="A545" t="inlineStr">
        <is>
          <t>Петрова</t>
        </is>
      </c>
      <c r="B545" t="n">
        <v>6</v>
      </c>
      <c r="C545" s="18">
        <f>'Календарь'!A171</f>
        <v/>
      </c>
      <c r="D545">
        <f>MONTH(C545)</f>
        <v/>
      </c>
      <c r="E545">
        <f>'Календарь'!D171</f>
        <v/>
      </c>
      <c r="F545">
        <f>INT((C545-Нед_Начало)/7)+1</f>
        <v/>
      </c>
      <c r="G545">
        <f>IF(E545=0,0,INDEX('Планы менеджеров'!$B$5:$M$16,B545,D545)/INDEX(Мес_Раб,D545))</f>
        <v/>
      </c>
    </row>
    <row r="546">
      <c r="A546" t="inlineStr">
        <is>
          <t>Петрова</t>
        </is>
      </c>
      <c r="B546" t="n">
        <v>6</v>
      </c>
      <c r="C546" s="18">
        <f>'Календарь'!A172</f>
        <v/>
      </c>
      <c r="D546">
        <f>MONTH(C546)</f>
        <v/>
      </c>
      <c r="E546">
        <f>'Календарь'!D172</f>
        <v/>
      </c>
      <c r="F546">
        <f>INT((C546-Нед_Начало)/7)+1</f>
        <v/>
      </c>
      <c r="G546">
        <f>IF(E546=0,0,INDEX('Планы менеджеров'!$B$5:$M$16,B546,D546)/INDEX(Мес_Раб,D546))</f>
        <v/>
      </c>
    </row>
    <row r="547">
      <c r="A547" t="inlineStr">
        <is>
          <t>Петрова</t>
        </is>
      </c>
      <c r="B547" t="n">
        <v>6</v>
      </c>
      <c r="C547" s="18">
        <f>'Календарь'!A173</f>
        <v/>
      </c>
      <c r="D547">
        <f>MONTH(C547)</f>
        <v/>
      </c>
      <c r="E547">
        <f>'Календарь'!D173</f>
        <v/>
      </c>
      <c r="F547">
        <f>INT((C547-Нед_Начало)/7)+1</f>
        <v/>
      </c>
      <c r="G547">
        <f>IF(E547=0,0,INDEX('Планы менеджеров'!$B$5:$M$16,B547,D547)/INDEX(Мес_Раб,D547))</f>
        <v/>
      </c>
    </row>
    <row r="548">
      <c r="A548" t="inlineStr">
        <is>
          <t>Петрова</t>
        </is>
      </c>
      <c r="B548" t="n">
        <v>6</v>
      </c>
      <c r="C548" s="18">
        <f>'Календарь'!A174</f>
        <v/>
      </c>
      <c r="D548">
        <f>MONTH(C548)</f>
        <v/>
      </c>
      <c r="E548">
        <f>'Календарь'!D174</f>
        <v/>
      </c>
      <c r="F548">
        <f>INT((C548-Нед_Начало)/7)+1</f>
        <v/>
      </c>
      <c r="G548">
        <f>IF(E548=0,0,INDEX('Планы менеджеров'!$B$5:$M$16,B548,D548)/INDEX(Мес_Раб,D548))</f>
        <v/>
      </c>
    </row>
    <row r="549">
      <c r="A549" t="inlineStr">
        <is>
          <t>Петрова</t>
        </is>
      </c>
      <c r="B549" t="n">
        <v>6</v>
      </c>
      <c r="C549" s="18">
        <f>'Календарь'!A175</f>
        <v/>
      </c>
      <c r="D549">
        <f>MONTH(C549)</f>
        <v/>
      </c>
      <c r="E549">
        <f>'Календарь'!D175</f>
        <v/>
      </c>
      <c r="F549">
        <f>INT((C549-Нед_Начало)/7)+1</f>
        <v/>
      </c>
      <c r="G549">
        <f>IF(E549=0,0,INDEX('Планы менеджеров'!$B$5:$M$16,B549,D549)/INDEX(Мес_Раб,D549))</f>
        <v/>
      </c>
    </row>
    <row r="550">
      <c r="A550" t="inlineStr">
        <is>
          <t>Петрова</t>
        </is>
      </c>
      <c r="B550" t="n">
        <v>6</v>
      </c>
      <c r="C550" s="18">
        <f>'Календарь'!A176</f>
        <v/>
      </c>
      <c r="D550">
        <f>MONTH(C550)</f>
        <v/>
      </c>
      <c r="E550">
        <f>'Календарь'!D176</f>
        <v/>
      </c>
      <c r="F550">
        <f>INT((C550-Нед_Начало)/7)+1</f>
        <v/>
      </c>
      <c r="G550">
        <f>IF(E550=0,0,INDEX('Планы менеджеров'!$B$5:$M$16,B550,D550)/INDEX(Мес_Раб,D550))</f>
        <v/>
      </c>
    </row>
    <row r="551">
      <c r="A551" t="inlineStr">
        <is>
          <t>Петрова</t>
        </is>
      </c>
      <c r="B551" t="n">
        <v>6</v>
      </c>
      <c r="C551" s="18">
        <f>'Календарь'!A177</f>
        <v/>
      </c>
      <c r="D551">
        <f>MONTH(C551)</f>
        <v/>
      </c>
      <c r="E551">
        <f>'Календарь'!D177</f>
        <v/>
      </c>
      <c r="F551">
        <f>INT((C551-Нед_Начало)/7)+1</f>
        <v/>
      </c>
      <c r="G551">
        <f>IF(E551=0,0,INDEX('Планы менеджеров'!$B$5:$M$16,B551,D551)/INDEX(Мес_Раб,D551))</f>
        <v/>
      </c>
    </row>
    <row r="552">
      <c r="A552" t="inlineStr">
        <is>
          <t>Петрова</t>
        </is>
      </c>
      <c r="B552" t="n">
        <v>6</v>
      </c>
      <c r="C552" s="18">
        <f>'Календарь'!A178</f>
        <v/>
      </c>
      <c r="D552">
        <f>MONTH(C552)</f>
        <v/>
      </c>
      <c r="E552">
        <f>'Календарь'!D178</f>
        <v/>
      </c>
      <c r="F552">
        <f>INT((C552-Нед_Начало)/7)+1</f>
        <v/>
      </c>
      <c r="G552">
        <f>IF(E552=0,0,INDEX('Планы менеджеров'!$B$5:$M$16,B552,D552)/INDEX(Мес_Раб,D552))</f>
        <v/>
      </c>
    </row>
    <row r="553">
      <c r="A553" t="inlineStr">
        <is>
          <t>Петрова</t>
        </is>
      </c>
      <c r="B553" t="n">
        <v>6</v>
      </c>
      <c r="C553" s="18">
        <f>'Календарь'!A179</f>
        <v/>
      </c>
      <c r="D553">
        <f>MONTH(C553)</f>
        <v/>
      </c>
      <c r="E553">
        <f>'Календарь'!D179</f>
        <v/>
      </c>
      <c r="F553">
        <f>INT((C553-Нед_Начало)/7)+1</f>
        <v/>
      </c>
      <c r="G553">
        <f>IF(E553=0,0,INDEX('Планы менеджеров'!$B$5:$M$16,B553,D553)/INDEX(Мес_Раб,D553))</f>
        <v/>
      </c>
    </row>
    <row r="554">
      <c r="A554" t="inlineStr">
        <is>
          <t>Петрова</t>
        </is>
      </c>
      <c r="B554" t="n">
        <v>6</v>
      </c>
      <c r="C554" s="18">
        <f>'Календарь'!A180</f>
        <v/>
      </c>
      <c r="D554">
        <f>MONTH(C554)</f>
        <v/>
      </c>
      <c r="E554">
        <f>'Календарь'!D180</f>
        <v/>
      </c>
      <c r="F554">
        <f>INT((C554-Нед_Начало)/7)+1</f>
        <v/>
      </c>
      <c r="G554">
        <f>IF(E554=0,0,INDEX('Планы менеджеров'!$B$5:$M$16,B554,D554)/INDEX(Мес_Раб,D554))</f>
        <v/>
      </c>
    </row>
    <row r="555">
      <c r="A555" t="inlineStr">
        <is>
          <t>Петрова</t>
        </is>
      </c>
      <c r="B555" t="n">
        <v>6</v>
      </c>
      <c r="C555" s="18">
        <f>'Календарь'!A181</f>
        <v/>
      </c>
      <c r="D555">
        <f>MONTH(C555)</f>
        <v/>
      </c>
      <c r="E555">
        <f>'Календарь'!D181</f>
        <v/>
      </c>
      <c r="F555">
        <f>INT((C555-Нед_Начало)/7)+1</f>
        <v/>
      </c>
      <c r="G555">
        <f>IF(E555=0,0,INDEX('Планы менеджеров'!$B$5:$M$16,B555,D555)/INDEX(Мес_Раб,D555))</f>
        <v/>
      </c>
    </row>
    <row r="556">
      <c r="A556" t="inlineStr">
        <is>
          <t>Петрова</t>
        </is>
      </c>
      <c r="B556" t="n">
        <v>6</v>
      </c>
      <c r="C556" s="18">
        <f>'Календарь'!A182</f>
        <v/>
      </c>
      <c r="D556">
        <f>MONTH(C556)</f>
        <v/>
      </c>
      <c r="E556">
        <f>'Календарь'!D182</f>
        <v/>
      </c>
      <c r="F556">
        <f>INT((C556-Нед_Начало)/7)+1</f>
        <v/>
      </c>
      <c r="G556">
        <f>IF(E556=0,0,INDEX('Планы менеджеров'!$B$5:$M$16,B556,D556)/INDEX(Мес_Раб,D556))</f>
        <v/>
      </c>
    </row>
    <row r="557">
      <c r="A557" t="inlineStr">
        <is>
          <t>Петрова</t>
        </is>
      </c>
      <c r="B557" t="n">
        <v>6</v>
      </c>
      <c r="C557" s="18">
        <f>'Календарь'!A183</f>
        <v/>
      </c>
      <c r="D557">
        <f>MONTH(C557)</f>
        <v/>
      </c>
      <c r="E557">
        <f>'Календарь'!D183</f>
        <v/>
      </c>
      <c r="F557">
        <f>INT((C557-Нед_Начало)/7)+1</f>
        <v/>
      </c>
      <c r="G557">
        <f>IF(E557=0,0,INDEX('Планы менеджеров'!$B$5:$M$16,B557,D557)/INDEX(Мес_Раб,D557))</f>
        <v/>
      </c>
    </row>
    <row r="558">
      <c r="A558" t="inlineStr">
        <is>
          <t>Петрова</t>
        </is>
      </c>
      <c r="B558" t="n">
        <v>6</v>
      </c>
      <c r="C558" s="18">
        <f>'Календарь'!A184</f>
        <v/>
      </c>
      <c r="D558">
        <f>MONTH(C558)</f>
        <v/>
      </c>
      <c r="E558">
        <f>'Календарь'!D184</f>
        <v/>
      </c>
      <c r="F558">
        <f>INT((C558-Нед_Начало)/7)+1</f>
        <v/>
      </c>
      <c r="G558">
        <f>IF(E558=0,0,INDEX('Планы менеджеров'!$B$5:$M$16,B558,D558)/INDEX(Мес_Раб,D558))</f>
        <v/>
      </c>
    </row>
    <row r="559">
      <c r="A559" t="inlineStr">
        <is>
          <t>Петрова</t>
        </is>
      </c>
      <c r="B559" t="n">
        <v>6</v>
      </c>
      <c r="C559" s="18">
        <f>'Календарь'!A185</f>
        <v/>
      </c>
      <c r="D559">
        <f>MONTH(C559)</f>
        <v/>
      </c>
      <c r="E559">
        <f>'Календарь'!D185</f>
        <v/>
      </c>
      <c r="F559">
        <f>INT((C559-Нед_Начало)/7)+1</f>
        <v/>
      </c>
      <c r="G559">
        <f>IF(E559=0,0,INDEX('Планы менеджеров'!$B$5:$M$16,B559,D559)/INDEX(Мес_Раб,D559))</f>
        <v/>
      </c>
    </row>
    <row r="560">
      <c r="A560" t="inlineStr">
        <is>
          <t>Петрова</t>
        </is>
      </c>
      <c r="B560" t="n">
        <v>6</v>
      </c>
      <c r="C560" s="18">
        <f>'Календарь'!A186</f>
        <v/>
      </c>
      <c r="D560">
        <f>MONTH(C560)</f>
        <v/>
      </c>
      <c r="E560">
        <f>'Календарь'!D186</f>
        <v/>
      </c>
      <c r="F560">
        <f>INT((C560-Нед_Начало)/7)+1</f>
        <v/>
      </c>
      <c r="G560">
        <f>IF(E560=0,0,INDEX('Планы менеджеров'!$B$5:$M$16,B560,D560)/INDEX(Мес_Раб,D560))</f>
        <v/>
      </c>
    </row>
    <row r="561">
      <c r="A561" t="inlineStr">
        <is>
          <t>Петрова</t>
        </is>
      </c>
      <c r="B561" t="n">
        <v>6</v>
      </c>
      <c r="C561" s="18">
        <f>'Календарь'!A187</f>
        <v/>
      </c>
      <c r="D561">
        <f>MONTH(C561)</f>
        <v/>
      </c>
      <c r="E561">
        <f>'Календарь'!D187</f>
        <v/>
      </c>
      <c r="F561">
        <f>INT((C561-Нед_Начало)/7)+1</f>
        <v/>
      </c>
      <c r="G561">
        <f>IF(E561=0,0,INDEX('Планы менеджеров'!$B$5:$M$16,B561,D561)/INDEX(Мес_Раб,D561))</f>
        <v/>
      </c>
    </row>
    <row r="562">
      <c r="A562" t="inlineStr">
        <is>
          <t>Петрова</t>
        </is>
      </c>
      <c r="B562" t="n">
        <v>6</v>
      </c>
      <c r="C562" s="18">
        <f>'Календарь'!A188</f>
        <v/>
      </c>
      <c r="D562">
        <f>MONTH(C562)</f>
        <v/>
      </c>
      <c r="E562">
        <f>'Календарь'!D188</f>
        <v/>
      </c>
      <c r="F562">
        <f>INT((C562-Нед_Начало)/7)+1</f>
        <v/>
      </c>
      <c r="G562">
        <f>IF(E562=0,0,INDEX('Планы менеджеров'!$B$5:$M$16,B562,D562)/INDEX(Мес_Раб,D562))</f>
        <v/>
      </c>
    </row>
    <row r="563">
      <c r="A563" t="inlineStr">
        <is>
          <t>Петрова</t>
        </is>
      </c>
      <c r="B563" t="n">
        <v>6</v>
      </c>
      <c r="C563" s="18">
        <f>'Календарь'!A189</f>
        <v/>
      </c>
      <c r="D563">
        <f>MONTH(C563)</f>
        <v/>
      </c>
      <c r="E563">
        <f>'Календарь'!D189</f>
        <v/>
      </c>
      <c r="F563">
        <f>INT((C563-Нед_Начало)/7)+1</f>
        <v/>
      </c>
      <c r="G563">
        <f>IF(E563=0,0,INDEX('Планы менеджеров'!$B$5:$M$16,B563,D563)/INDEX(Мес_Раб,D563))</f>
        <v/>
      </c>
    </row>
    <row r="564">
      <c r="A564" t="inlineStr">
        <is>
          <t>Петрова</t>
        </is>
      </c>
      <c r="B564" t="n">
        <v>6</v>
      </c>
      <c r="C564" s="18">
        <f>'Календарь'!A190</f>
        <v/>
      </c>
      <c r="D564">
        <f>MONTH(C564)</f>
        <v/>
      </c>
      <c r="E564">
        <f>'Календарь'!D190</f>
        <v/>
      </c>
      <c r="F564">
        <f>INT((C564-Нед_Начало)/7)+1</f>
        <v/>
      </c>
      <c r="G564">
        <f>IF(E564=0,0,INDEX('Планы менеджеров'!$B$5:$M$16,B564,D564)/INDEX(Мес_Раб,D564))</f>
        <v/>
      </c>
    </row>
    <row r="565">
      <c r="A565" t="inlineStr">
        <is>
          <t>Петрова</t>
        </is>
      </c>
      <c r="B565" t="n">
        <v>6</v>
      </c>
      <c r="C565" s="18">
        <f>'Календарь'!A191</f>
        <v/>
      </c>
      <c r="D565">
        <f>MONTH(C565)</f>
        <v/>
      </c>
      <c r="E565">
        <f>'Календарь'!D191</f>
        <v/>
      </c>
      <c r="F565">
        <f>INT((C565-Нед_Начало)/7)+1</f>
        <v/>
      </c>
      <c r="G565">
        <f>IF(E565=0,0,INDEX('Планы менеджеров'!$B$5:$M$16,B565,D565)/INDEX(Мес_Раб,D565))</f>
        <v/>
      </c>
    </row>
    <row r="566">
      <c r="A566" t="inlineStr">
        <is>
          <t>Петрова</t>
        </is>
      </c>
      <c r="B566" t="n">
        <v>6</v>
      </c>
      <c r="C566" s="18">
        <f>'Календарь'!A192</f>
        <v/>
      </c>
      <c r="D566">
        <f>MONTH(C566)</f>
        <v/>
      </c>
      <c r="E566">
        <f>'Календарь'!D192</f>
        <v/>
      </c>
      <c r="F566">
        <f>INT((C566-Нед_Начало)/7)+1</f>
        <v/>
      </c>
      <c r="G566">
        <f>IF(E566=0,0,INDEX('Планы менеджеров'!$B$5:$M$16,B566,D566)/INDEX(Мес_Раб,D566))</f>
        <v/>
      </c>
    </row>
    <row r="567">
      <c r="A567" t="inlineStr">
        <is>
          <t>Петрова</t>
        </is>
      </c>
      <c r="B567" t="n">
        <v>6</v>
      </c>
      <c r="C567" s="18">
        <f>'Календарь'!A193</f>
        <v/>
      </c>
      <c r="D567">
        <f>MONTH(C567)</f>
        <v/>
      </c>
      <c r="E567">
        <f>'Календарь'!D193</f>
        <v/>
      </c>
      <c r="F567">
        <f>INT((C567-Нед_Начало)/7)+1</f>
        <v/>
      </c>
      <c r="G567">
        <f>IF(E567=0,0,INDEX('Планы менеджеров'!$B$5:$M$16,B567,D567)/INDEX(Мес_Раб,D567))</f>
        <v/>
      </c>
    </row>
    <row r="568">
      <c r="A568" t="inlineStr">
        <is>
          <t>Петрова</t>
        </is>
      </c>
      <c r="B568" t="n">
        <v>6</v>
      </c>
      <c r="C568" s="18">
        <f>'Календарь'!A194</f>
        <v/>
      </c>
      <c r="D568">
        <f>MONTH(C568)</f>
        <v/>
      </c>
      <c r="E568">
        <f>'Календарь'!D194</f>
        <v/>
      </c>
      <c r="F568">
        <f>INT((C568-Нед_Начало)/7)+1</f>
        <v/>
      </c>
      <c r="G568">
        <f>IF(E568=0,0,INDEX('Планы менеджеров'!$B$5:$M$16,B568,D568)/INDEX(Мес_Раб,D568))</f>
        <v/>
      </c>
    </row>
    <row r="569">
      <c r="A569" t="inlineStr">
        <is>
          <t>Петрова</t>
        </is>
      </c>
      <c r="B569" t="n">
        <v>6</v>
      </c>
      <c r="C569" s="18">
        <f>'Календарь'!A195</f>
        <v/>
      </c>
      <c r="D569">
        <f>MONTH(C569)</f>
        <v/>
      </c>
      <c r="E569">
        <f>'Календарь'!D195</f>
        <v/>
      </c>
      <c r="F569">
        <f>INT((C569-Нед_Начало)/7)+1</f>
        <v/>
      </c>
      <c r="G569">
        <f>IF(E569=0,0,INDEX('Планы менеджеров'!$B$5:$M$16,B569,D569)/INDEX(Мес_Раб,D569))</f>
        <v/>
      </c>
    </row>
    <row r="570">
      <c r="A570" t="inlineStr">
        <is>
          <t>Петрова</t>
        </is>
      </c>
      <c r="B570" t="n">
        <v>6</v>
      </c>
      <c r="C570" s="18">
        <f>'Календарь'!A196</f>
        <v/>
      </c>
      <c r="D570">
        <f>MONTH(C570)</f>
        <v/>
      </c>
      <c r="E570">
        <f>'Календарь'!D196</f>
        <v/>
      </c>
      <c r="F570">
        <f>INT((C570-Нед_Начало)/7)+1</f>
        <v/>
      </c>
      <c r="G570">
        <f>IF(E570=0,0,INDEX('Планы менеджеров'!$B$5:$M$16,B570,D570)/INDEX(Мес_Раб,D570))</f>
        <v/>
      </c>
    </row>
    <row r="571">
      <c r="A571" t="inlineStr">
        <is>
          <t>Петрова</t>
        </is>
      </c>
      <c r="B571" t="n">
        <v>6</v>
      </c>
      <c r="C571" s="18">
        <f>'Календарь'!A197</f>
        <v/>
      </c>
      <c r="D571">
        <f>MONTH(C571)</f>
        <v/>
      </c>
      <c r="E571">
        <f>'Календарь'!D197</f>
        <v/>
      </c>
      <c r="F571">
        <f>INT((C571-Нед_Начало)/7)+1</f>
        <v/>
      </c>
      <c r="G571">
        <f>IF(E571=0,0,INDEX('Планы менеджеров'!$B$5:$M$16,B571,D571)/INDEX(Мес_Раб,D571))</f>
        <v/>
      </c>
    </row>
    <row r="572">
      <c r="A572" t="inlineStr">
        <is>
          <t>Петрова</t>
        </is>
      </c>
      <c r="B572" t="n">
        <v>6</v>
      </c>
      <c r="C572" s="18">
        <f>'Календарь'!A198</f>
        <v/>
      </c>
      <c r="D572">
        <f>MONTH(C572)</f>
        <v/>
      </c>
      <c r="E572">
        <f>'Календарь'!D198</f>
        <v/>
      </c>
      <c r="F572">
        <f>INT((C572-Нед_Начало)/7)+1</f>
        <v/>
      </c>
      <c r="G572">
        <f>IF(E572=0,0,INDEX('Планы менеджеров'!$B$5:$M$16,B572,D572)/INDEX(Мес_Раб,D572))</f>
        <v/>
      </c>
    </row>
    <row r="573">
      <c r="A573" t="inlineStr">
        <is>
          <t>Петрова</t>
        </is>
      </c>
      <c r="B573" t="n">
        <v>6</v>
      </c>
      <c r="C573" s="18">
        <f>'Календарь'!A199</f>
        <v/>
      </c>
      <c r="D573">
        <f>MONTH(C573)</f>
        <v/>
      </c>
      <c r="E573">
        <f>'Календарь'!D199</f>
        <v/>
      </c>
      <c r="F573">
        <f>INT((C573-Нед_Начало)/7)+1</f>
        <v/>
      </c>
      <c r="G573">
        <f>IF(E573=0,0,INDEX('Планы менеджеров'!$B$5:$M$16,B573,D573)/INDEX(Мес_Раб,D573))</f>
        <v/>
      </c>
    </row>
    <row r="574">
      <c r="A574" t="inlineStr">
        <is>
          <t>Петрова</t>
        </is>
      </c>
      <c r="B574" t="n">
        <v>6</v>
      </c>
      <c r="C574" s="18">
        <f>'Календарь'!A200</f>
        <v/>
      </c>
      <c r="D574">
        <f>MONTH(C574)</f>
        <v/>
      </c>
      <c r="E574">
        <f>'Календарь'!D200</f>
        <v/>
      </c>
      <c r="F574">
        <f>INT((C574-Нед_Начало)/7)+1</f>
        <v/>
      </c>
      <c r="G574">
        <f>IF(E574=0,0,INDEX('Планы менеджеров'!$B$5:$M$16,B574,D574)/INDEX(Мес_Раб,D574))</f>
        <v/>
      </c>
    </row>
    <row r="575">
      <c r="A575" t="inlineStr">
        <is>
          <t>Петрова</t>
        </is>
      </c>
      <c r="B575" t="n">
        <v>6</v>
      </c>
      <c r="C575" s="18">
        <f>'Календарь'!A201</f>
        <v/>
      </c>
      <c r="D575">
        <f>MONTH(C575)</f>
        <v/>
      </c>
      <c r="E575">
        <f>'Календарь'!D201</f>
        <v/>
      </c>
      <c r="F575">
        <f>INT((C575-Нед_Начало)/7)+1</f>
        <v/>
      </c>
      <c r="G575">
        <f>IF(E575=0,0,INDEX('Планы менеджеров'!$B$5:$M$16,B575,D575)/INDEX(Мес_Раб,D575))</f>
        <v/>
      </c>
    </row>
    <row r="576">
      <c r="A576" t="inlineStr">
        <is>
          <t>Петрова</t>
        </is>
      </c>
      <c r="B576" t="n">
        <v>6</v>
      </c>
      <c r="C576" s="18">
        <f>'Календарь'!A202</f>
        <v/>
      </c>
      <c r="D576">
        <f>MONTH(C576)</f>
        <v/>
      </c>
      <c r="E576">
        <f>'Календарь'!D202</f>
        <v/>
      </c>
      <c r="F576">
        <f>INT((C576-Нед_Начало)/7)+1</f>
        <v/>
      </c>
      <c r="G576">
        <f>IF(E576=0,0,INDEX('Планы менеджеров'!$B$5:$M$16,B576,D576)/INDEX(Мес_Раб,D576))</f>
        <v/>
      </c>
    </row>
    <row r="577">
      <c r="A577" t="inlineStr">
        <is>
          <t>Петрова</t>
        </is>
      </c>
      <c r="B577" t="n">
        <v>6</v>
      </c>
      <c r="C577" s="18">
        <f>'Календарь'!A203</f>
        <v/>
      </c>
      <c r="D577">
        <f>MONTH(C577)</f>
        <v/>
      </c>
      <c r="E577">
        <f>'Календарь'!D203</f>
        <v/>
      </c>
      <c r="F577">
        <f>INT((C577-Нед_Начало)/7)+1</f>
        <v/>
      </c>
      <c r="G577">
        <f>IF(E577=0,0,INDEX('Планы менеджеров'!$B$5:$M$16,B577,D577)/INDEX(Мес_Раб,D577))</f>
        <v/>
      </c>
    </row>
    <row r="578">
      <c r="A578" t="inlineStr">
        <is>
          <t>Петрова</t>
        </is>
      </c>
      <c r="B578" t="n">
        <v>6</v>
      </c>
      <c r="C578" s="18">
        <f>'Календарь'!A204</f>
        <v/>
      </c>
      <c r="D578">
        <f>MONTH(C578)</f>
        <v/>
      </c>
      <c r="E578">
        <f>'Календарь'!D204</f>
        <v/>
      </c>
      <c r="F578">
        <f>INT((C578-Нед_Начало)/7)+1</f>
        <v/>
      </c>
      <c r="G578">
        <f>IF(E578=0,0,INDEX('Планы менеджеров'!$B$5:$M$16,B578,D578)/INDEX(Мес_Раб,D578))</f>
        <v/>
      </c>
    </row>
    <row r="579">
      <c r="A579" t="inlineStr">
        <is>
          <t>Петрова</t>
        </is>
      </c>
      <c r="B579" t="n">
        <v>6</v>
      </c>
      <c r="C579" s="18">
        <f>'Календарь'!A205</f>
        <v/>
      </c>
      <c r="D579">
        <f>MONTH(C579)</f>
        <v/>
      </c>
      <c r="E579">
        <f>'Календарь'!D205</f>
        <v/>
      </c>
      <c r="F579">
        <f>INT((C579-Нед_Начало)/7)+1</f>
        <v/>
      </c>
      <c r="G579">
        <f>IF(E579=0,0,INDEX('Планы менеджеров'!$B$5:$M$16,B579,D579)/INDEX(Мес_Раб,D579))</f>
        <v/>
      </c>
    </row>
    <row r="580">
      <c r="A580" t="inlineStr">
        <is>
          <t>Петрова</t>
        </is>
      </c>
      <c r="B580" t="n">
        <v>6</v>
      </c>
      <c r="C580" s="18">
        <f>'Календарь'!A206</f>
        <v/>
      </c>
      <c r="D580">
        <f>MONTH(C580)</f>
        <v/>
      </c>
      <c r="E580">
        <f>'Календарь'!D206</f>
        <v/>
      </c>
      <c r="F580">
        <f>INT((C580-Нед_Начало)/7)+1</f>
        <v/>
      </c>
      <c r="G580">
        <f>IF(E580=0,0,INDEX('Планы менеджеров'!$B$5:$M$16,B580,D580)/INDEX(Мес_Раб,D580))</f>
        <v/>
      </c>
    </row>
    <row r="581">
      <c r="A581" t="inlineStr">
        <is>
          <t>Петрова</t>
        </is>
      </c>
      <c r="B581" t="n">
        <v>6</v>
      </c>
      <c r="C581" s="18">
        <f>'Календарь'!A207</f>
        <v/>
      </c>
      <c r="D581">
        <f>MONTH(C581)</f>
        <v/>
      </c>
      <c r="E581">
        <f>'Календарь'!D207</f>
        <v/>
      </c>
      <c r="F581">
        <f>INT((C581-Нед_Начало)/7)+1</f>
        <v/>
      </c>
      <c r="G581">
        <f>IF(E581=0,0,INDEX('Планы менеджеров'!$B$5:$M$16,B581,D581)/INDEX(Мес_Раб,D581))</f>
        <v/>
      </c>
    </row>
    <row r="582">
      <c r="A582" t="inlineStr">
        <is>
          <t>Петрова</t>
        </is>
      </c>
      <c r="B582" t="n">
        <v>6</v>
      </c>
      <c r="C582" s="18">
        <f>'Календарь'!A208</f>
        <v/>
      </c>
      <c r="D582">
        <f>MONTH(C582)</f>
        <v/>
      </c>
      <c r="E582">
        <f>'Календарь'!D208</f>
        <v/>
      </c>
      <c r="F582">
        <f>INT((C582-Нед_Начало)/7)+1</f>
        <v/>
      </c>
      <c r="G582">
        <f>IF(E582=0,0,INDEX('Планы менеджеров'!$B$5:$M$16,B582,D582)/INDEX(Мес_Раб,D582))</f>
        <v/>
      </c>
    </row>
    <row r="583">
      <c r="A583" t="inlineStr">
        <is>
          <t>Петрова</t>
        </is>
      </c>
      <c r="B583" t="n">
        <v>6</v>
      </c>
      <c r="C583" s="18">
        <f>'Календарь'!A209</f>
        <v/>
      </c>
      <c r="D583">
        <f>MONTH(C583)</f>
        <v/>
      </c>
      <c r="E583">
        <f>'Календарь'!D209</f>
        <v/>
      </c>
      <c r="F583">
        <f>INT((C583-Нед_Начало)/7)+1</f>
        <v/>
      </c>
      <c r="G583">
        <f>IF(E583=0,0,INDEX('Планы менеджеров'!$B$5:$M$16,B583,D583)/INDEX(Мес_Раб,D583))</f>
        <v/>
      </c>
    </row>
    <row r="584">
      <c r="A584" t="inlineStr">
        <is>
          <t>Петрова</t>
        </is>
      </c>
      <c r="B584" t="n">
        <v>6</v>
      </c>
      <c r="C584" s="18">
        <f>'Календарь'!A210</f>
        <v/>
      </c>
      <c r="D584">
        <f>MONTH(C584)</f>
        <v/>
      </c>
      <c r="E584">
        <f>'Календарь'!D210</f>
        <v/>
      </c>
      <c r="F584">
        <f>INT((C584-Нед_Начало)/7)+1</f>
        <v/>
      </c>
      <c r="G584">
        <f>IF(E584=0,0,INDEX('Планы менеджеров'!$B$5:$M$16,B584,D584)/INDEX(Мес_Раб,D584))</f>
        <v/>
      </c>
    </row>
    <row r="585">
      <c r="A585" t="inlineStr">
        <is>
          <t>Петрова</t>
        </is>
      </c>
      <c r="B585" t="n">
        <v>6</v>
      </c>
      <c r="C585" s="18">
        <f>'Календарь'!A211</f>
        <v/>
      </c>
      <c r="D585">
        <f>MONTH(C585)</f>
        <v/>
      </c>
      <c r="E585">
        <f>'Календарь'!D211</f>
        <v/>
      </c>
      <c r="F585">
        <f>INT((C585-Нед_Начало)/7)+1</f>
        <v/>
      </c>
      <c r="G585">
        <f>IF(E585=0,0,INDEX('Планы менеджеров'!$B$5:$M$16,B585,D585)/INDEX(Мес_Раб,D585))</f>
        <v/>
      </c>
    </row>
    <row r="586">
      <c r="A586" t="inlineStr">
        <is>
          <t>Петрова</t>
        </is>
      </c>
      <c r="B586" t="n">
        <v>6</v>
      </c>
      <c r="C586" s="18">
        <f>'Календарь'!A212</f>
        <v/>
      </c>
      <c r="D586">
        <f>MONTH(C586)</f>
        <v/>
      </c>
      <c r="E586">
        <f>'Календарь'!D212</f>
        <v/>
      </c>
      <c r="F586">
        <f>INT((C586-Нед_Начало)/7)+1</f>
        <v/>
      </c>
      <c r="G586">
        <f>IF(E586=0,0,INDEX('Планы менеджеров'!$B$5:$M$16,B586,D586)/INDEX(Мес_Раб,D586))</f>
        <v/>
      </c>
    </row>
    <row r="587">
      <c r="A587" t="inlineStr">
        <is>
          <t>Петрова</t>
        </is>
      </c>
      <c r="B587" t="n">
        <v>6</v>
      </c>
      <c r="C587" s="18">
        <f>'Календарь'!A213</f>
        <v/>
      </c>
      <c r="D587">
        <f>MONTH(C587)</f>
        <v/>
      </c>
      <c r="E587">
        <f>'Календарь'!D213</f>
        <v/>
      </c>
      <c r="F587">
        <f>INT((C587-Нед_Начало)/7)+1</f>
        <v/>
      </c>
      <c r="G587">
        <f>IF(E587=0,0,INDEX('Планы менеджеров'!$B$5:$M$16,B587,D587)/INDEX(Мес_Раб,D587))</f>
        <v/>
      </c>
    </row>
    <row r="588">
      <c r="A588" t="inlineStr">
        <is>
          <t>Петрова</t>
        </is>
      </c>
      <c r="B588" t="n">
        <v>6</v>
      </c>
      <c r="C588" s="18">
        <f>'Календарь'!A214</f>
        <v/>
      </c>
      <c r="D588">
        <f>MONTH(C588)</f>
        <v/>
      </c>
      <c r="E588">
        <f>'Календарь'!D214</f>
        <v/>
      </c>
      <c r="F588">
        <f>INT((C588-Нед_Начало)/7)+1</f>
        <v/>
      </c>
      <c r="G588">
        <f>IF(E588=0,0,INDEX('Планы менеджеров'!$B$5:$M$16,B588,D588)/INDEX(Мес_Раб,D588))</f>
        <v/>
      </c>
    </row>
    <row r="589">
      <c r="A589" t="inlineStr">
        <is>
          <t>Петрова</t>
        </is>
      </c>
      <c r="B589" t="n">
        <v>6</v>
      </c>
      <c r="C589" s="18">
        <f>'Календарь'!A215</f>
        <v/>
      </c>
      <c r="D589">
        <f>MONTH(C589)</f>
        <v/>
      </c>
      <c r="E589">
        <f>'Календарь'!D215</f>
        <v/>
      </c>
      <c r="F589">
        <f>INT((C589-Нед_Начало)/7)+1</f>
        <v/>
      </c>
      <c r="G589">
        <f>IF(E589=0,0,INDEX('Планы менеджеров'!$B$5:$M$16,B589,D589)/INDEX(Мес_Раб,D589))</f>
        <v/>
      </c>
    </row>
    <row r="590">
      <c r="A590" t="inlineStr">
        <is>
          <t>Петрова</t>
        </is>
      </c>
      <c r="B590" t="n">
        <v>6</v>
      </c>
      <c r="C590" s="18">
        <f>'Календарь'!A216</f>
        <v/>
      </c>
      <c r="D590">
        <f>MONTH(C590)</f>
        <v/>
      </c>
      <c r="E590">
        <f>'Календарь'!D216</f>
        <v/>
      </c>
      <c r="F590">
        <f>INT((C590-Нед_Начало)/7)+1</f>
        <v/>
      </c>
      <c r="G590">
        <f>IF(E590=0,0,INDEX('Планы менеджеров'!$B$5:$M$16,B590,D590)/INDEX(Мес_Раб,D590))</f>
        <v/>
      </c>
    </row>
    <row r="591">
      <c r="A591" t="inlineStr">
        <is>
          <t>Петрова</t>
        </is>
      </c>
      <c r="B591" t="n">
        <v>6</v>
      </c>
      <c r="C591" s="18">
        <f>'Календарь'!A217</f>
        <v/>
      </c>
      <c r="D591">
        <f>MONTH(C591)</f>
        <v/>
      </c>
      <c r="E591">
        <f>'Календарь'!D217</f>
        <v/>
      </c>
      <c r="F591">
        <f>INT((C591-Нед_Начало)/7)+1</f>
        <v/>
      </c>
      <c r="G591">
        <f>IF(E591=0,0,INDEX('Планы менеджеров'!$B$5:$M$16,B591,D591)/INDEX(Мес_Раб,D591))</f>
        <v/>
      </c>
    </row>
    <row r="592">
      <c r="A592" t="inlineStr">
        <is>
          <t>Петрова</t>
        </is>
      </c>
      <c r="B592" t="n">
        <v>6</v>
      </c>
      <c r="C592" s="18">
        <f>'Календарь'!A218</f>
        <v/>
      </c>
      <c r="D592">
        <f>MONTH(C592)</f>
        <v/>
      </c>
      <c r="E592">
        <f>'Календарь'!D218</f>
        <v/>
      </c>
      <c r="F592">
        <f>INT((C592-Нед_Начало)/7)+1</f>
        <v/>
      </c>
      <c r="G592">
        <f>IF(E592=0,0,INDEX('Планы менеджеров'!$B$5:$M$16,B592,D592)/INDEX(Мес_Раб,D592))</f>
        <v/>
      </c>
    </row>
    <row r="593">
      <c r="A593" t="inlineStr">
        <is>
          <t>Петрова</t>
        </is>
      </c>
      <c r="B593" t="n">
        <v>6</v>
      </c>
      <c r="C593" s="18">
        <f>'Календарь'!A219</f>
        <v/>
      </c>
      <c r="D593">
        <f>MONTH(C593)</f>
        <v/>
      </c>
      <c r="E593">
        <f>'Календарь'!D219</f>
        <v/>
      </c>
      <c r="F593">
        <f>INT((C593-Нед_Начало)/7)+1</f>
        <v/>
      </c>
      <c r="G593">
        <f>IF(E593=0,0,INDEX('Планы менеджеров'!$B$5:$M$16,B593,D593)/INDEX(Мес_Раб,D593))</f>
        <v/>
      </c>
    </row>
    <row r="594">
      <c r="A594" t="inlineStr">
        <is>
          <t>Петрова</t>
        </is>
      </c>
      <c r="B594" t="n">
        <v>6</v>
      </c>
      <c r="C594" s="18">
        <f>'Календарь'!A220</f>
        <v/>
      </c>
      <c r="D594">
        <f>MONTH(C594)</f>
        <v/>
      </c>
      <c r="E594">
        <f>'Календарь'!D220</f>
        <v/>
      </c>
      <c r="F594">
        <f>INT((C594-Нед_Начало)/7)+1</f>
        <v/>
      </c>
      <c r="G594">
        <f>IF(E594=0,0,INDEX('Планы менеджеров'!$B$5:$M$16,B594,D594)/INDEX(Мес_Раб,D594))</f>
        <v/>
      </c>
    </row>
    <row r="595">
      <c r="A595" t="inlineStr">
        <is>
          <t>Петрова</t>
        </is>
      </c>
      <c r="B595" t="n">
        <v>6</v>
      </c>
      <c r="C595" s="18">
        <f>'Календарь'!A221</f>
        <v/>
      </c>
      <c r="D595">
        <f>MONTH(C595)</f>
        <v/>
      </c>
      <c r="E595">
        <f>'Календарь'!D221</f>
        <v/>
      </c>
      <c r="F595">
        <f>INT((C595-Нед_Начало)/7)+1</f>
        <v/>
      </c>
      <c r="G595">
        <f>IF(E595=0,0,INDEX('Планы менеджеров'!$B$5:$M$16,B595,D595)/INDEX(Мес_Раб,D595))</f>
        <v/>
      </c>
    </row>
    <row r="596">
      <c r="A596" t="inlineStr">
        <is>
          <t>Петрова</t>
        </is>
      </c>
      <c r="B596" t="n">
        <v>6</v>
      </c>
      <c r="C596" s="18">
        <f>'Календарь'!A222</f>
        <v/>
      </c>
      <c r="D596">
        <f>MONTH(C596)</f>
        <v/>
      </c>
      <c r="E596">
        <f>'Календарь'!D222</f>
        <v/>
      </c>
      <c r="F596">
        <f>INT((C596-Нед_Начало)/7)+1</f>
        <v/>
      </c>
      <c r="G596">
        <f>IF(E596=0,0,INDEX('Планы менеджеров'!$B$5:$M$16,B596,D596)/INDEX(Мес_Раб,D596))</f>
        <v/>
      </c>
    </row>
    <row r="597">
      <c r="A597" t="inlineStr">
        <is>
          <t>Петрова</t>
        </is>
      </c>
      <c r="B597" t="n">
        <v>6</v>
      </c>
      <c r="C597" s="18">
        <f>'Календарь'!A223</f>
        <v/>
      </c>
      <c r="D597">
        <f>MONTH(C597)</f>
        <v/>
      </c>
      <c r="E597">
        <f>'Календарь'!D223</f>
        <v/>
      </c>
      <c r="F597">
        <f>INT((C597-Нед_Начало)/7)+1</f>
        <v/>
      </c>
      <c r="G597">
        <f>IF(E597=0,0,INDEX('Планы менеджеров'!$B$5:$M$16,B597,D597)/INDEX(Мес_Раб,D597))</f>
        <v/>
      </c>
    </row>
    <row r="598">
      <c r="A598" t="inlineStr">
        <is>
          <t>Петрова</t>
        </is>
      </c>
      <c r="B598" t="n">
        <v>6</v>
      </c>
      <c r="C598" s="18">
        <f>'Календарь'!A224</f>
        <v/>
      </c>
      <c r="D598">
        <f>MONTH(C598)</f>
        <v/>
      </c>
      <c r="E598">
        <f>'Календарь'!D224</f>
        <v/>
      </c>
      <c r="F598">
        <f>INT((C598-Нед_Начало)/7)+1</f>
        <v/>
      </c>
      <c r="G598">
        <f>IF(E598=0,0,INDEX('Планы менеджеров'!$B$5:$M$16,B598,D598)/INDEX(Мес_Раб,D598))</f>
        <v/>
      </c>
    </row>
    <row r="599">
      <c r="A599" t="inlineStr">
        <is>
          <t>Петрова</t>
        </is>
      </c>
      <c r="B599" t="n">
        <v>6</v>
      </c>
      <c r="C599" s="18">
        <f>'Календарь'!A225</f>
        <v/>
      </c>
      <c r="D599">
        <f>MONTH(C599)</f>
        <v/>
      </c>
      <c r="E599">
        <f>'Календарь'!D225</f>
        <v/>
      </c>
      <c r="F599">
        <f>INT((C599-Нед_Начало)/7)+1</f>
        <v/>
      </c>
      <c r="G599">
        <f>IF(E599=0,0,INDEX('Планы менеджеров'!$B$5:$M$16,B599,D599)/INDEX(Мес_Раб,D599))</f>
        <v/>
      </c>
    </row>
    <row r="600">
      <c r="A600" t="inlineStr">
        <is>
          <t>Петрова</t>
        </is>
      </c>
      <c r="B600" t="n">
        <v>6</v>
      </c>
      <c r="C600" s="18">
        <f>'Календарь'!A226</f>
        <v/>
      </c>
      <c r="D600">
        <f>MONTH(C600)</f>
        <v/>
      </c>
      <c r="E600">
        <f>'Календарь'!D226</f>
        <v/>
      </c>
      <c r="F600">
        <f>INT((C600-Нед_Начало)/7)+1</f>
        <v/>
      </c>
      <c r="G600">
        <f>IF(E600=0,0,INDEX('Планы менеджеров'!$B$5:$M$16,B600,D600)/INDEX(Мес_Раб,D600))</f>
        <v/>
      </c>
    </row>
    <row r="601">
      <c r="A601" t="inlineStr">
        <is>
          <t>Петрова</t>
        </is>
      </c>
      <c r="B601" t="n">
        <v>6</v>
      </c>
      <c r="C601" s="18">
        <f>'Календарь'!A227</f>
        <v/>
      </c>
      <c r="D601">
        <f>MONTH(C601)</f>
        <v/>
      </c>
      <c r="E601">
        <f>'Календарь'!D227</f>
        <v/>
      </c>
      <c r="F601">
        <f>INT((C601-Нед_Начало)/7)+1</f>
        <v/>
      </c>
      <c r="G601">
        <f>IF(E601=0,0,INDEX('Планы менеджеров'!$B$5:$M$16,B601,D601)/INDEX(Мес_Раб,D601))</f>
        <v/>
      </c>
    </row>
    <row r="602">
      <c r="A602" t="inlineStr">
        <is>
          <t>Петрова</t>
        </is>
      </c>
      <c r="B602" t="n">
        <v>6</v>
      </c>
      <c r="C602" s="18">
        <f>'Календарь'!A228</f>
        <v/>
      </c>
      <c r="D602">
        <f>MONTH(C602)</f>
        <v/>
      </c>
      <c r="E602">
        <f>'Календарь'!D228</f>
        <v/>
      </c>
      <c r="F602">
        <f>INT((C602-Нед_Начало)/7)+1</f>
        <v/>
      </c>
      <c r="G602">
        <f>IF(E602=0,0,INDEX('Планы менеджеров'!$B$5:$M$16,B602,D602)/INDEX(Мес_Раб,D602))</f>
        <v/>
      </c>
    </row>
    <row r="603">
      <c r="A603" t="inlineStr">
        <is>
          <t>Петрова</t>
        </is>
      </c>
      <c r="B603" t="n">
        <v>6</v>
      </c>
      <c r="C603" s="18">
        <f>'Календарь'!A229</f>
        <v/>
      </c>
      <c r="D603">
        <f>MONTH(C603)</f>
        <v/>
      </c>
      <c r="E603">
        <f>'Календарь'!D229</f>
        <v/>
      </c>
      <c r="F603">
        <f>INT((C603-Нед_Начало)/7)+1</f>
        <v/>
      </c>
      <c r="G603">
        <f>IF(E603=0,0,INDEX('Планы менеджеров'!$B$5:$M$16,B603,D603)/INDEX(Мес_Раб,D603))</f>
        <v/>
      </c>
    </row>
    <row r="604">
      <c r="A604" t="inlineStr">
        <is>
          <t>Петрова</t>
        </is>
      </c>
      <c r="B604" t="n">
        <v>6</v>
      </c>
      <c r="C604" s="18">
        <f>'Календарь'!A230</f>
        <v/>
      </c>
      <c r="D604">
        <f>MONTH(C604)</f>
        <v/>
      </c>
      <c r="E604">
        <f>'Календарь'!D230</f>
        <v/>
      </c>
      <c r="F604">
        <f>INT((C604-Нед_Начало)/7)+1</f>
        <v/>
      </c>
      <c r="G604">
        <f>IF(E604=0,0,INDEX('Планы менеджеров'!$B$5:$M$16,B604,D604)/INDEX(Мес_Раб,D604))</f>
        <v/>
      </c>
    </row>
    <row r="605">
      <c r="A605" t="inlineStr">
        <is>
          <t>Петрова</t>
        </is>
      </c>
      <c r="B605" t="n">
        <v>6</v>
      </c>
      <c r="C605" s="18">
        <f>'Календарь'!A231</f>
        <v/>
      </c>
      <c r="D605">
        <f>MONTH(C605)</f>
        <v/>
      </c>
      <c r="E605">
        <f>'Календарь'!D231</f>
        <v/>
      </c>
      <c r="F605">
        <f>INT((C605-Нед_Начало)/7)+1</f>
        <v/>
      </c>
      <c r="G605">
        <f>IF(E605=0,0,INDEX('Планы менеджеров'!$B$5:$M$16,B605,D605)/INDEX(Мес_Раб,D605))</f>
        <v/>
      </c>
    </row>
    <row r="606">
      <c r="A606" t="inlineStr">
        <is>
          <t>Петрова</t>
        </is>
      </c>
      <c r="B606" t="n">
        <v>6</v>
      </c>
      <c r="C606" s="18">
        <f>'Календарь'!A232</f>
        <v/>
      </c>
      <c r="D606">
        <f>MONTH(C606)</f>
        <v/>
      </c>
      <c r="E606">
        <f>'Календарь'!D232</f>
        <v/>
      </c>
      <c r="F606">
        <f>INT((C606-Нед_Начало)/7)+1</f>
        <v/>
      </c>
      <c r="G606">
        <f>IF(E606=0,0,INDEX('Планы менеджеров'!$B$5:$M$16,B606,D606)/INDEX(Мес_Раб,D606))</f>
        <v/>
      </c>
    </row>
    <row r="607">
      <c r="A607" t="inlineStr">
        <is>
          <t>Петрова</t>
        </is>
      </c>
      <c r="B607" t="n">
        <v>6</v>
      </c>
      <c r="C607" s="18">
        <f>'Календарь'!A233</f>
        <v/>
      </c>
      <c r="D607">
        <f>MONTH(C607)</f>
        <v/>
      </c>
      <c r="E607">
        <f>'Календарь'!D233</f>
        <v/>
      </c>
      <c r="F607">
        <f>INT((C607-Нед_Начало)/7)+1</f>
        <v/>
      </c>
      <c r="G607">
        <f>IF(E607=0,0,INDEX('Планы менеджеров'!$B$5:$M$16,B607,D607)/INDEX(Мес_Раб,D607))</f>
        <v/>
      </c>
    </row>
    <row r="608">
      <c r="A608" t="inlineStr">
        <is>
          <t>Петрова</t>
        </is>
      </c>
      <c r="B608" t="n">
        <v>6</v>
      </c>
      <c r="C608" s="18">
        <f>'Календарь'!A234</f>
        <v/>
      </c>
      <c r="D608">
        <f>MONTH(C608)</f>
        <v/>
      </c>
      <c r="E608">
        <f>'Календарь'!D234</f>
        <v/>
      </c>
      <c r="F608">
        <f>INT((C608-Нед_Начало)/7)+1</f>
        <v/>
      </c>
      <c r="G608">
        <f>IF(E608=0,0,INDEX('Планы менеджеров'!$B$5:$M$16,B608,D608)/INDEX(Мес_Раб,D608))</f>
        <v/>
      </c>
    </row>
    <row r="609">
      <c r="A609" t="inlineStr">
        <is>
          <t>Петрова</t>
        </is>
      </c>
      <c r="B609" t="n">
        <v>6</v>
      </c>
      <c r="C609" s="18">
        <f>'Календарь'!A235</f>
        <v/>
      </c>
      <c r="D609">
        <f>MONTH(C609)</f>
        <v/>
      </c>
      <c r="E609">
        <f>'Календарь'!D235</f>
        <v/>
      </c>
      <c r="F609">
        <f>INT((C609-Нед_Начало)/7)+1</f>
        <v/>
      </c>
      <c r="G609">
        <f>IF(E609=0,0,INDEX('Планы менеджеров'!$B$5:$M$16,B609,D609)/INDEX(Мес_Раб,D609))</f>
        <v/>
      </c>
    </row>
    <row r="610">
      <c r="A610" t="inlineStr">
        <is>
          <t>Петрова</t>
        </is>
      </c>
      <c r="B610" t="n">
        <v>6</v>
      </c>
      <c r="C610" s="18">
        <f>'Календарь'!A236</f>
        <v/>
      </c>
      <c r="D610">
        <f>MONTH(C610)</f>
        <v/>
      </c>
      <c r="E610">
        <f>'Календарь'!D236</f>
        <v/>
      </c>
      <c r="F610">
        <f>INT((C610-Нед_Начало)/7)+1</f>
        <v/>
      </c>
      <c r="G610">
        <f>IF(E610=0,0,INDEX('Планы менеджеров'!$B$5:$M$16,B610,D610)/INDEX(Мес_Раб,D610))</f>
        <v/>
      </c>
    </row>
    <row r="611">
      <c r="A611" t="inlineStr">
        <is>
          <t>Петрова</t>
        </is>
      </c>
      <c r="B611" t="n">
        <v>6</v>
      </c>
      <c r="C611" s="18">
        <f>'Календарь'!A237</f>
        <v/>
      </c>
      <c r="D611">
        <f>MONTH(C611)</f>
        <v/>
      </c>
      <c r="E611">
        <f>'Календарь'!D237</f>
        <v/>
      </c>
      <c r="F611">
        <f>INT((C611-Нед_Начало)/7)+1</f>
        <v/>
      </c>
      <c r="G611">
        <f>IF(E611=0,0,INDEX('Планы менеджеров'!$B$5:$M$16,B611,D611)/INDEX(Мес_Раб,D611))</f>
        <v/>
      </c>
    </row>
    <row r="612">
      <c r="A612" t="inlineStr">
        <is>
          <t>Петрова</t>
        </is>
      </c>
      <c r="B612" t="n">
        <v>6</v>
      </c>
      <c r="C612" s="18">
        <f>'Календарь'!A238</f>
        <v/>
      </c>
      <c r="D612">
        <f>MONTH(C612)</f>
        <v/>
      </c>
      <c r="E612">
        <f>'Календарь'!D238</f>
        <v/>
      </c>
      <c r="F612">
        <f>INT((C612-Нед_Начало)/7)+1</f>
        <v/>
      </c>
      <c r="G612">
        <f>IF(E612=0,0,INDEX('Планы менеджеров'!$B$5:$M$16,B612,D612)/INDEX(Мес_Раб,D612))</f>
        <v/>
      </c>
    </row>
    <row r="613">
      <c r="A613" t="inlineStr">
        <is>
          <t>Петрова</t>
        </is>
      </c>
      <c r="B613" t="n">
        <v>6</v>
      </c>
      <c r="C613" s="18">
        <f>'Календарь'!A239</f>
        <v/>
      </c>
      <c r="D613">
        <f>MONTH(C613)</f>
        <v/>
      </c>
      <c r="E613">
        <f>'Календарь'!D239</f>
        <v/>
      </c>
      <c r="F613">
        <f>INT((C613-Нед_Начало)/7)+1</f>
        <v/>
      </c>
      <c r="G613">
        <f>IF(E613=0,0,INDEX('Планы менеджеров'!$B$5:$M$16,B613,D613)/INDEX(Мес_Раб,D613))</f>
        <v/>
      </c>
    </row>
    <row r="614">
      <c r="A614" t="inlineStr">
        <is>
          <t>Петрова</t>
        </is>
      </c>
      <c r="B614" t="n">
        <v>6</v>
      </c>
      <c r="C614" s="18">
        <f>'Календарь'!A240</f>
        <v/>
      </c>
      <c r="D614">
        <f>MONTH(C614)</f>
        <v/>
      </c>
      <c r="E614">
        <f>'Календарь'!D240</f>
        <v/>
      </c>
      <c r="F614">
        <f>INT((C614-Нед_Начало)/7)+1</f>
        <v/>
      </c>
      <c r="G614">
        <f>IF(E614=0,0,INDEX('Планы менеджеров'!$B$5:$M$16,B614,D614)/INDEX(Мес_Раб,D614))</f>
        <v/>
      </c>
    </row>
    <row r="615">
      <c r="A615" t="inlineStr">
        <is>
          <t>Петрова</t>
        </is>
      </c>
      <c r="B615" t="n">
        <v>6</v>
      </c>
      <c r="C615" s="18">
        <f>'Календарь'!A241</f>
        <v/>
      </c>
      <c r="D615">
        <f>MONTH(C615)</f>
        <v/>
      </c>
      <c r="E615">
        <f>'Календарь'!D241</f>
        <v/>
      </c>
      <c r="F615">
        <f>INT((C615-Нед_Начало)/7)+1</f>
        <v/>
      </c>
      <c r="G615">
        <f>IF(E615=0,0,INDEX('Планы менеджеров'!$B$5:$M$16,B615,D615)/INDEX(Мес_Раб,D615))</f>
        <v/>
      </c>
    </row>
    <row r="616">
      <c r="A616" t="inlineStr">
        <is>
          <t>Петрова</t>
        </is>
      </c>
      <c r="B616" t="n">
        <v>6</v>
      </c>
      <c r="C616" s="18">
        <f>'Календарь'!A242</f>
        <v/>
      </c>
      <c r="D616">
        <f>MONTH(C616)</f>
        <v/>
      </c>
      <c r="E616">
        <f>'Календарь'!D242</f>
        <v/>
      </c>
      <c r="F616">
        <f>INT((C616-Нед_Начало)/7)+1</f>
        <v/>
      </c>
      <c r="G616">
        <f>IF(E616=0,0,INDEX('Планы менеджеров'!$B$5:$M$16,B616,D616)/INDEX(Мес_Раб,D616))</f>
        <v/>
      </c>
    </row>
    <row r="617">
      <c r="A617" t="inlineStr">
        <is>
          <t>Петрова</t>
        </is>
      </c>
      <c r="B617" t="n">
        <v>6</v>
      </c>
      <c r="C617" s="18">
        <f>'Календарь'!A243</f>
        <v/>
      </c>
      <c r="D617">
        <f>MONTH(C617)</f>
        <v/>
      </c>
      <c r="E617">
        <f>'Календарь'!D243</f>
        <v/>
      </c>
      <c r="F617">
        <f>INT((C617-Нед_Начало)/7)+1</f>
        <v/>
      </c>
      <c r="G617">
        <f>IF(E617=0,0,INDEX('Планы менеджеров'!$B$5:$M$16,B617,D617)/INDEX(Мес_Раб,D617))</f>
        <v/>
      </c>
    </row>
    <row r="618">
      <c r="A618" t="inlineStr">
        <is>
          <t>Петрова</t>
        </is>
      </c>
      <c r="B618" t="n">
        <v>6</v>
      </c>
      <c r="C618" s="18">
        <f>'Календарь'!A244</f>
        <v/>
      </c>
      <c r="D618">
        <f>MONTH(C618)</f>
        <v/>
      </c>
      <c r="E618">
        <f>'Календарь'!D244</f>
        <v/>
      </c>
      <c r="F618">
        <f>INT((C618-Нед_Начало)/7)+1</f>
        <v/>
      </c>
      <c r="G618">
        <f>IF(E618=0,0,INDEX('Планы менеджеров'!$B$5:$M$16,B618,D618)/INDEX(Мес_Раб,D618))</f>
        <v/>
      </c>
    </row>
    <row r="619">
      <c r="A619" t="inlineStr">
        <is>
          <t>Петрова</t>
        </is>
      </c>
      <c r="B619" t="n">
        <v>6</v>
      </c>
      <c r="C619" s="18">
        <f>'Календарь'!A245</f>
        <v/>
      </c>
      <c r="D619">
        <f>MONTH(C619)</f>
        <v/>
      </c>
      <c r="E619">
        <f>'Календарь'!D245</f>
        <v/>
      </c>
      <c r="F619">
        <f>INT((C619-Нед_Начало)/7)+1</f>
        <v/>
      </c>
      <c r="G619">
        <f>IF(E619=0,0,INDEX('Планы менеджеров'!$B$5:$M$16,B619,D619)/INDEX(Мес_Раб,D619))</f>
        <v/>
      </c>
    </row>
    <row r="620">
      <c r="A620" t="inlineStr">
        <is>
          <t>Петрова</t>
        </is>
      </c>
      <c r="B620" t="n">
        <v>6</v>
      </c>
      <c r="C620" s="18">
        <f>'Календарь'!A246</f>
        <v/>
      </c>
      <c r="D620">
        <f>MONTH(C620)</f>
        <v/>
      </c>
      <c r="E620">
        <f>'Календарь'!D246</f>
        <v/>
      </c>
      <c r="F620">
        <f>INT((C620-Нед_Начало)/7)+1</f>
        <v/>
      </c>
      <c r="G620">
        <f>IF(E620=0,0,INDEX('Планы менеджеров'!$B$5:$M$16,B620,D620)/INDEX(Мес_Раб,D620))</f>
        <v/>
      </c>
    </row>
    <row r="621">
      <c r="A621" t="inlineStr">
        <is>
          <t>Петрова</t>
        </is>
      </c>
      <c r="B621" t="n">
        <v>6</v>
      </c>
      <c r="C621" s="18">
        <f>'Календарь'!A247</f>
        <v/>
      </c>
      <c r="D621">
        <f>MONTH(C621)</f>
        <v/>
      </c>
      <c r="E621">
        <f>'Календарь'!D247</f>
        <v/>
      </c>
      <c r="F621">
        <f>INT((C621-Нед_Начало)/7)+1</f>
        <v/>
      </c>
      <c r="G621">
        <f>IF(E621=0,0,INDEX('Планы менеджеров'!$B$5:$M$16,B621,D621)/INDEX(Мес_Раб,D621))</f>
        <v/>
      </c>
    </row>
    <row r="622">
      <c r="A622" t="inlineStr">
        <is>
          <t>Петрова</t>
        </is>
      </c>
      <c r="B622" t="n">
        <v>6</v>
      </c>
      <c r="C622" s="18">
        <f>'Календарь'!A248</f>
        <v/>
      </c>
      <c r="D622">
        <f>MONTH(C622)</f>
        <v/>
      </c>
      <c r="E622">
        <f>'Календарь'!D248</f>
        <v/>
      </c>
      <c r="F622">
        <f>INT((C622-Нед_Начало)/7)+1</f>
        <v/>
      </c>
      <c r="G622">
        <f>IF(E622=0,0,INDEX('Планы менеджеров'!$B$5:$M$16,B622,D622)/INDEX(Мес_Раб,D622))</f>
        <v/>
      </c>
    </row>
    <row r="623">
      <c r="A623" t="inlineStr">
        <is>
          <t>Петрова</t>
        </is>
      </c>
      <c r="B623" t="n">
        <v>6</v>
      </c>
      <c r="C623" s="18">
        <f>'Календарь'!A249</f>
        <v/>
      </c>
      <c r="D623">
        <f>MONTH(C623)</f>
        <v/>
      </c>
      <c r="E623">
        <f>'Календарь'!D249</f>
        <v/>
      </c>
      <c r="F623">
        <f>INT((C623-Нед_Начало)/7)+1</f>
        <v/>
      </c>
      <c r="G623">
        <f>IF(E623=0,0,INDEX('Планы менеджеров'!$B$5:$M$16,B623,D623)/INDEX(Мес_Раб,D623))</f>
        <v/>
      </c>
    </row>
    <row r="624">
      <c r="A624" t="inlineStr">
        <is>
          <t>Петрова</t>
        </is>
      </c>
      <c r="B624" t="n">
        <v>6</v>
      </c>
      <c r="C624" s="18">
        <f>'Календарь'!A250</f>
        <v/>
      </c>
      <c r="D624">
        <f>MONTH(C624)</f>
        <v/>
      </c>
      <c r="E624">
        <f>'Календарь'!D250</f>
        <v/>
      </c>
      <c r="F624">
        <f>INT((C624-Нед_Начало)/7)+1</f>
        <v/>
      </c>
      <c r="G624">
        <f>IF(E624=0,0,INDEX('Планы менеджеров'!$B$5:$M$16,B624,D624)/INDEX(Мес_Раб,D624))</f>
        <v/>
      </c>
    </row>
    <row r="625">
      <c r="A625" t="inlineStr">
        <is>
          <t>Петрова</t>
        </is>
      </c>
      <c r="B625" t="n">
        <v>6</v>
      </c>
      <c r="C625" s="18">
        <f>'Календарь'!A251</f>
        <v/>
      </c>
      <c r="D625">
        <f>MONTH(C625)</f>
        <v/>
      </c>
      <c r="E625">
        <f>'Календарь'!D251</f>
        <v/>
      </c>
      <c r="F625">
        <f>INT((C625-Нед_Начало)/7)+1</f>
        <v/>
      </c>
      <c r="G625">
        <f>IF(E625=0,0,INDEX('Планы менеджеров'!$B$5:$M$16,B625,D625)/INDEX(Мес_Раб,D625))</f>
        <v/>
      </c>
    </row>
    <row r="626">
      <c r="A626" t="inlineStr">
        <is>
          <t>Петрова</t>
        </is>
      </c>
      <c r="B626" t="n">
        <v>6</v>
      </c>
      <c r="C626" s="18">
        <f>'Календарь'!A252</f>
        <v/>
      </c>
      <c r="D626">
        <f>MONTH(C626)</f>
        <v/>
      </c>
      <c r="E626">
        <f>'Календарь'!D252</f>
        <v/>
      </c>
      <c r="F626">
        <f>INT((C626-Нед_Начало)/7)+1</f>
        <v/>
      </c>
      <c r="G626">
        <f>IF(E626=0,0,INDEX('Планы менеджеров'!$B$5:$M$16,B626,D626)/INDEX(Мес_Раб,D626))</f>
        <v/>
      </c>
    </row>
    <row r="627">
      <c r="A627" t="inlineStr">
        <is>
          <t>Петрова</t>
        </is>
      </c>
      <c r="B627" t="n">
        <v>6</v>
      </c>
      <c r="C627" s="18">
        <f>'Календарь'!A253</f>
        <v/>
      </c>
      <c r="D627">
        <f>MONTH(C627)</f>
        <v/>
      </c>
      <c r="E627">
        <f>'Календарь'!D253</f>
        <v/>
      </c>
      <c r="F627">
        <f>INT((C627-Нед_Начало)/7)+1</f>
        <v/>
      </c>
      <c r="G627">
        <f>IF(E627=0,0,INDEX('Планы менеджеров'!$B$5:$M$16,B627,D627)/INDEX(Мес_Раб,D627))</f>
        <v/>
      </c>
    </row>
    <row r="628">
      <c r="A628" t="inlineStr">
        <is>
          <t>Петрова</t>
        </is>
      </c>
      <c r="B628" t="n">
        <v>6</v>
      </c>
      <c r="C628" s="18">
        <f>'Календарь'!A254</f>
        <v/>
      </c>
      <c r="D628">
        <f>MONTH(C628)</f>
        <v/>
      </c>
      <c r="E628">
        <f>'Календарь'!D254</f>
        <v/>
      </c>
      <c r="F628">
        <f>INT((C628-Нед_Начало)/7)+1</f>
        <v/>
      </c>
      <c r="G628">
        <f>IF(E628=0,0,INDEX('Планы менеджеров'!$B$5:$M$16,B628,D628)/INDEX(Мес_Раб,D628))</f>
        <v/>
      </c>
    </row>
    <row r="629">
      <c r="A629" t="inlineStr">
        <is>
          <t>Петрова</t>
        </is>
      </c>
      <c r="B629" t="n">
        <v>6</v>
      </c>
      <c r="C629" s="18">
        <f>'Календарь'!A255</f>
        <v/>
      </c>
      <c r="D629">
        <f>MONTH(C629)</f>
        <v/>
      </c>
      <c r="E629">
        <f>'Календарь'!D255</f>
        <v/>
      </c>
      <c r="F629">
        <f>INT((C629-Нед_Начало)/7)+1</f>
        <v/>
      </c>
      <c r="G629">
        <f>IF(E629=0,0,INDEX('Планы менеджеров'!$B$5:$M$16,B629,D629)/INDEX(Мес_Раб,D629))</f>
        <v/>
      </c>
    </row>
    <row r="630">
      <c r="A630" t="inlineStr">
        <is>
          <t>Петрова</t>
        </is>
      </c>
      <c r="B630" t="n">
        <v>6</v>
      </c>
      <c r="C630" s="18">
        <f>'Календарь'!A256</f>
        <v/>
      </c>
      <c r="D630">
        <f>MONTH(C630)</f>
        <v/>
      </c>
      <c r="E630">
        <f>'Календарь'!D256</f>
        <v/>
      </c>
      <c r="F630">
        <f>INT((C630-Нед_Начало)/7)+1</f>
        <v/>
      </c>
      <c r="G630">
        <f>IF(E630=0,0,INDEX('Планы менеджеров'!$B$5:$M$16,B630,D630)/INDEX(Мес_Раб,D630))</f>
        <v/>
      </c>
    </row>
    <row r="631">
      <c r="A631" t="inlineStr">
        <is>
          <t>Петрова</t>
        </is>
      </c>
      <c r="B631" t="n">
        <v>6</v>
      </c>
      <c r="C631" s="18">
        <f>'Календарь'!A257</f>
        <v/>
      </c>
      <c r="D631">
        <f>MONTH(C631)</f>
        <v/>
      </c>
      <c r="E631">
        <f>'Календарь'!D257</f>
        <v/>
      </c>
      <c r="F631">
        <f>INT((C631-Нед_Начало)/7)+1</f>
        <v/>
      </c>
      <c r="G631">
        <f>IF(E631=0,0,INDEX('Планы менеджеров'!$B$5:$M$16,B631,D631)/INDEX(Мес_Раб,D631))</f>
        <v/>
      </c>
    </row>
    <row r="632">
      <c r="A632" t="inlineStr">
        <is>
          <t>Петрова</t>
        </is>
      </c>
      <c r="B632" t="n">
        <v>6</v>
      </c>
      <c r="C632" s="18">
        <f>'Календарь'!A258</f>
        <v/>
      </c>
      <c r="D632">
        <f>MONTH(C632)</f>
        <v/>
      </c>
      <c r="E632">
        <f>'Календарь'!D258</f>
        <v/>
      </c>
      <c r="F632">
        <f>INT((C632-Нед_Начало)/7)+1</f>
        <v/>
      </c>
      <c r="G632">
        <f>IF(E632=0,0,INDEX('Планы менеджеров'!$B$5:$M$16,B632,D632)/INDEX(Мес_Раб,D632))</f>
        <v/>
      </c>
    </row>
    <row r="633">
      <c r="A633" t="inlineStr">
        <is>
          <t>Петрова</t>
        </is>
      </c>
      <c r="B633" t="n">
        <v>6</v>
      </c>
      <c r="C633" s="18">
        <f>'Календарь'!A259</f>
        <v/>
      </c>
      <c r="D633">
        <f>MONTH(C633)</f>
        <v/>
      </c>
      <c r="E633">
        <f>'Календарь'!D259</f>
        <v/>
      </c>
      <c r="F633">
        <f>INT((C633-Нед_Начало)/7)+1</f>
        <v/>
      </c>
      <c r="G633">
        <f>IF(E633=0,0,INDEX('Планы менеджеров'!$B$5:$M$16,B633,D633)/INDEX(Мес_Раб,D633))</f>
        <v/>
      </c>
    </row>
    <row r="634">
      <c r="A634" t="inlineStr">
        <is>
          <t>Петрова</t>
        </is>
      </c>
      <c r="B634" t="n">
        <v>6</v>
      </c>
      <c r="C634" s="18">
        <f>'Календарь'!A260</f>
        <v/>
      </c>
      <c r="D634">
        <f>MONTH(C634)</f>
        <v/>
      </c>
      <c r="E634">
        <f>'Календарь'!D260</f>
        <v/>
      </c>
      <c r="F634">
        <f>INT((C634-Нед_Начало)/7)+1</f>
        <v/>
      </c>
      <c r="G634">
        <f>IF(E634=0,0,INDEX('Планы менеджеров'!$B$5:$M$16,B634,D634)/INDEX(Мес_Раб,D634))</f>
        <v/>
      </c>
    </row>
    <row r="635">
      <c r="A635" t="inlineStr">
        <is>
          <t>Петрова</t>
        </is>
      </c>
      <c r="B635" t="n">
        <v>6</v>
      </c>
      <c r="C635" s="18">
        <f>'Календарь'!A261</f>
        <v/>
      </c>
      <c r="D635">
        <f>MONTH(C635)</f>
        <v/>
      </c>
      <c r="E635">
        <f>'Календарь'!D261</f>
        <v/>
      </c>
      <c r="F635">
        <f>INT((C635-Нед_Начало)/7)+1</f>
        <v/>
      </c>
      <c r="G635">
        <f>IF(E635=0,0,INDEX('Планы менеджеров'!$B$5:$M$16,B635,D635)/INDEX(Мес_Раб,D635))</f>
        <v/>
      </c>
    </row>
    <row r="636">
      <c r="A636" t="inlineStr">
        <is>
          <t>Петрова</t>
        </is>
      </c>
      <c r="B636" t="n">
        <v>6</v>
      </c>
      <c r="C636" s="18">
        <f>'Календарь'!A262</f>
        <v/>
      </c>
      <c r="D636">
        <f>MONTH(C636)</f>
        <v/>
      </c>
      <c r="E636">
        <f>'Календарь'!D262</f>
        <v/>
      </c>
      <c r="F636">
        <f>INT((C636-Нед_Начало)/7)+1</f>
        <v/>
      </c>
      <c r="G636">
        <f>IF(E636=0,0,INDEX('Планы менеджеров'!$B$5:$M$16,B636,D636)/INDEX(Мес_Раб,D636))</f>
        <v/>
      </c>
    </row>
    <row r="637">
      <c r="A637" t="inlineStr">
        <is>
          <t>Петрова</t>
        </is>
      </c>
      <c r="B637" t="n">
        <v>6</v>
      </c>
      <c r="C637" s="18">
        <f>'Календарь'!A263</f>
        <v/>
      </c>
      <c r="D637">
        <f>MONTH(C637)</f>
        <v/>
      </c>
      <c r="E637">
        <f>'Календарь'!D263</f>
        <v/>
      </c>
      <c r="F637">
        <f>INT((C637-Нед_Начало)/7)+1</f>
        <v/>
      </c>
      <c r="G637">
        <f>IF(E637=0,0,INDEX('Планы менеджеров'!$B$5:$M$16,B637,D637)/INDEX(Мес_Раб,D637))</f>
        <v/>
      </c>
    </row>
    <row r="638">
      <c r="A638" t="inlineStr">
        <is>
          <t>Петрова</t>
        </is>
      </c>
      <c r="B638" t="n">
        <v>6</v>
      </c>
      <c r="C638" s="18">
        <f>'Календарь'!A264</f>
        <v/>
      </c>
      <c r="D638">
        <f>MONTH(C638)</f>
        <v/>
      </c>
      <c r="E638">
        <f>'Календарь'!D264</f>
        <v/>
      </c>
      <c r="F638">
        <f>INT((C638-Нед_Начало)/7)+1</f>
        <v/>
      </c>
      <c r="G638">
        <f>IF(E638=0,0,INDEX('Планы менеджеров'!$B$5:$M$16,B638,D638)/INDEX(Мес_Раб,D638))</f>
        <v/>
      </c>
    </row>
    <row r="639">
      <c r="A639" t="inlineStr">
        <is>
          <t>Петрова</t>
        </is>
      </c>
      <c r="B639" t="n">
        <v>6</v>
      </c>
      <c r="C639" s="18">
        <f>'Календарь'!A265</f>
        <v/>
      </c>
      <c r="D639">
        <f>MONTH(C639)</f>
        <v/>
      </c>
      <c r="E639">
        <f>'Календарь'!D265</f>
        <v/>
      </c>
      <c r="F639">
        <f>INT((C639-Нед_Начало)/7)+1</f>
        <v/>
      </c>
      <c r="G639">
        <f>IF(E639=0,0,INDEX('Планы менеджеров'!$B$5:$M$16,B639,D639)/INDEX(Мес_Раб,D639))</f>
        <v/>
      </c>
    </row>
    <row r="640">
      <c r="A640" t="inlineStr">
        <is>
          <t>Петрова</t>
        </is>
      </c>
      <c r="B640" t="n">
        <v>6</v>
      </c>
      <c r="C640" s="18">
        <f>'Календарь'!A266</f>
        <v/>
      </c>
      <c r="D640">
        <f>MONTH(C640)</f>
        <v/>
      </c>
      <c r="E640">
        <f>'Календарь'!D266</f>
        <v/>
      </c>
      <c r="F640">
        <f>INT((C640-Нед_Начало)/7)+1</f>
        <v/>
      </c>
      <c r="G640">
        <f>IF(E640=0,0,INDEX('Планы менеджеров'!$B$5:$M$16,B640,D640)/INDEX(Мес_Раб,D640))</f>
        <v/>
      </c>
    </row>
    <row r="641">
      <c r="A641" t="inlineStr">
        <is>
          <t>Петрова</t>
        </is>
      </c>
      <c r="B641" t="n">
        <v>6</v>
      </c>
      <c r="C641" s="18">
        <f>'Календарь'!A267</f>
        <v/>
      </c>
      <c r="D641">
        <f>MONTH(C641)</f>
        <v/>
      </c>
      <c r="E641">
        <f>'Календарь'!D267</f>
        <v/>
      </c>
      <c r="F641">
        <f>INT((C641-Нед_Начало)/7)+1</f>
        <v/>
      </c>
      <c r="G641">
        <f>IF(E641=0,0,INDEX('Планы менеджеров'!$B$5:$M$16,B641,D641)/INDEX(Мес_Раб,D641))</f>
        <v/>
      </c>
    </row>
    <row r="642">
      <c r="A642" t="inlineStr">
        <is>
          <t>Петрова</t>
        </is>
      </c>
      <c r="B642" t="n">
        <v>6</v>
      </c>
      <c r="C642" s="18">
        <f>'Календарь'!A268</f>
        <v/>
      </c>
      <c r="D642">
        <f>MONTH(C642)</f>
        <v/>
      </c>
      <c r="E642">
        <f>'Календарь'!D268</f>
        <v/>
      </c>
      <c r="F642">
        <f>INT((C642-Нед_Начало)/7)+1</f>
        <v/>
      </c>
      <c r="G642">
        <f>IF(E642=0,0,INDEX('Планы менеджеров'!$B$5:$M$16,B642,D642)/INDEX(Мес_Раб,D642))</f>
        <v/>
      </c>
    </row>
    <row r="643">
      <c r="A643" t="inlineStr">
        <is>
          <t>Петрова</t>
        </is>
      </c>
      <c r="B643" t="n">
        <v>6</v>
      </c>
      <c r="C643" s="18">
        <f>'Календарь'!A269</f>
        <v/>
      </c>
      <c r="D643">
        <f>MONTH(C643)</f>
        <v/>
      </c>
      <c r="E643">
        <f>'Календарь'!D269</f>
        <v/>
      </c>
      <c r="F643">
        <f>INT((C643-Нед_Начало)/7)+1</f>
        <v/>
      </c>
      <c r="G643">
        <f>IF(E643=0,0,INDEX('Планы менеджеров'!$B$5:$M$16,B643,D643)/INDEX(Мес_Раб,D643))</f>
        <v/>
      </c>
    </row>
    <row r="644">
      <c r="A644" t="inlineStr">
        <is>
          <t>Петрова</t>
        </is>
      </c>
      <c r="B644" t="n">
        <v>6</v>
      </c>
      <c r="C644" s="18">
        <f>'Календарь'!A270</f>
        <v/>
      </c>
      <c r="D644">
        <f>MONTH(C644)</f>
        <v/>
      </c>
      <c r="E644">
        <f>'Календарь'!D270</f>
        <v/>
      </c>
      <c r="F644">
        <f>INT((C644-Нед_Начало)/7)+1</f>
        <v/>
      </c>
      <c r="G644">
        <f>IF(E644=0,0,INDEX('Планы менеджеров'!$B$5:$M$16,B644,D644)/INDEX(Мес_Раб,D644))</f>
        <v/>
      </c>
    </row>
    <row r="645">
      <c r="A645" t="inlineStr">
        <is>
          <t>Петрова</t>
        </is>
      </c>
      <c r="B645" t="n">
        <v>6</v>
      </c>
      <c r="C645" s="18">
        <f>'Календарь'!A271</f>
        <v/>
      </c>
      <c r="D645">
        <f>MONTH(C645)</f>
        <v/>
      </c>
      <c r="E645">
        <f>'Календарь'!D271</f>
        <v/>
      </c>
      <c r="F645">
        <f>INT((C645-Нед_Начало)/7)+1</f>
        <v/>
      </c>
      <c r="G645">
        <f>IF(E645=0,0,INDEX('Планы менеджеров'!$B$5:$M$16,B645,D645)/INDEX(Мес_Раб,D645))</f>
        <v/>
      </c>
    </row>
    <row r="646">
      <c r="A646" t="inlineStr">
        <is>
          <t>Петрова</t>
        </is>
      </c>
      <c r="B646" t="n">
        <v>6</v>
      </c>
      <c r="C646" s="18">
        <f>'Календарь'!A272</f>
        <v/>
      </c>
      <c r="D646">
        <f>MONTH(C646)</f>
        <v/>
      </c>
      <c r="E646">
        <f>'Календарь'!D272</f>
        <v/>
      </c>
      <c r="F646">
        <f>INT((C646-Нед_Начало)/7)+1</f>
        <v/>
      </c>
      <c r="G646">
        <f>IF(E646=0,0,INDEX('Планы менеджеров'!$B$5:$M$16,B646,D646)/INDEX(Мес_Раб,D646))</f>
        <v/>
      </c>
    </row>
    <row r="647">
      <c r="A647" t="inlineStr">
        <is>
          <t>Петрова</t>
        </is>
      </c>
      <c r="B647" t="n">
        <v>6</v>
      </c>
      <c r="C647" s="18">
        <f>'Календарь'!A273</f>
        <v/>
      </c>
      <c r="D647">
        <f>MONTH(C647)</f>
        <v/>
      </c>
      <c r="E647">
        <f>'Календарь'!D273</f>
        <v/>
      </c>
      <c r="F647">
        <f>INT((C647-Нед_Начало)/7)+1</f>
        <v/>
      </c>
      <c r="G647">
        <f>IF(E647=0,0,INDEX('Планы менеджеров'!$B$5:$M$16,B647,D647)/INDEX(Мес_Раб,D647))</f>
        <v/>
      </c>
    </row>
    <row r="648">
      <c r="A648" t="inlineStr">
        <is>
          <t>Петрова</t>
        </is>
      </c>
      <c r="B648" t="n">
        <v>6</v>
      </c>
      <c r="C648" s="18">
        <f>'Календарь'!A274</f>
        <v/>
      </c>
      <c r="D648">
        <f>MONTH(C648)</f>
        <v/>
      </c>
      <c r="E648">
        <f>'Календарь'!D274</f>
        <v/>
      </c>
      <c r="F648">
        <f>INT((C648-Нед_Начало)/7)+1</f>
        <v/>
      </c>
      <c r="G648">
        <f>IF(E648=0,0,INDEX('Планы менеджеров'!$B$5:$M$16,B648,D648)/INDEX(Мес_Раб,D648))</f>
        <v/>
      </c>
    </row>
    <row r="649">
      <c r="A649" t="inlineStr">
        <is>
          <t>Петрова</t>
        </is>
      </c>
      <c r="B649" t="n">
        <v>6</v>
      </c>
      <c r="C649" s="18">
        <f>'Календарь'!A275</f>
        <v/>
      </c>
      <c r="D649">
        <f>MONTH(C649)</f>
        <v/>
      </c>
      <c r="E649">
        <f>'Календарь'!D275</f>
        <v/>
      </c>
      <c r="F649">
        <f>INT((C649-Нед_Начало)/7)+1</f>
        <v/>
      </c>
      <c r="G649">
        <f>IF(E649=0,0,INDEX('Планы менеджеров'!$B$5:$M$16,B649,D649)/INDEX(Мес_Раб,D649))</f>
        <v/>
      </c>
    </row>
    <row r="650">
      <c r="A650" t="inlineStr">
        <is>
          <t>Петрова</t>
        </is>
      </c>
      <c r="B650" t="n">
        <v>6</v>
      </c>
      <c r="C650" s="18">
        <f>'Календарь'!A276</f>
        <v/>
      </c>
      <c r="D650">
        <f>MONTH(C650)</f>
        <v/>
      </c>
      <c r="E650">
        <f>'Календарь'!D276</f>
        <v/>
      </c>
      <c r="F650">
        <f>INT((C650-Нед_Начало)/7)+1</f>
        <v/>
      </c>
      <c r="G650">
        <f>IF(E650=0,0,INDEX('Планы менеджеров'!$B$5:$M$16,B650,D650)/INDEX(Мес_Раб,D650))</f>
        <v/>
      </c>
    </row>
    <row r="651">
      <c r="A651" t="inlineStr">
        <is>
          <t>Петрова</t>
        </is>
      </c>
      <c r="B651" t="n">
        <v>6</v>
      </c>
      <c r="C651" s="18">
        <f>'Календарь'!A277</f>
        <v/>
      </c>
      <c r="D651">
        <f>MONTH(C651)</f>
        <v/>
      </c>
      <c r="E651">
        <f>'Календарь'!D277</f>
        <v/>
      </c>
      <c r="F651">
        <f>INT((C651-Нед_Начало)/7)+1</f>
        <v/>
      </c>
      <c r="G651">
        <f>IF(E651=0,0,INDEX('Планы менеджеров'!$B$5:$M$16,B651,D651)/INDEX(Мес_Раб,D651))</f>
        <v/>
      </c>
    </row>
    <row r="652">
      <c r="A652" t="inlineStr">
        <is>
          <t>Петрова</t>
        </is>
      </c>
      <c r="B652" t="n">
        <v>6</v>
      </c>
      <c r="C652" s="18">
        <f>'Календарь'!A278</f>
        <v/>
      </c>
      <c r="D652">
        <f>MONTH(C652)</f>
        <v/>
      </c>
      <c r="E652">
        <f>'Календарь'!D278</f>
        <v/>
      </c>
      <c r="F652">
        <f>INT((C652-Нед_Начало)/7)+1</f>
        <v/>
      </c>
      <c r="G652">
        <f>IF(E652=0,0,INDEX('Планы менеджеров'!$B$5:$M$16,B652,D652)/INDEX(Мес_Раб,D652))</f>
        <v/>
      </c>
    </row>
    <row r="653">
      <c r="A653" t="inlineStr">
        <is>
          <t>Петрова</t>
        </is>
      </c>
      <c r="B653" t="n">
        <v>6</v>
      </c>
      <c r="C653" s="18">
        <f>'Календарь'!A279</f>
        <v/>
      </c>
      <c r="D653">
        <f>MONTH(C653)</f>
        <v/>
      </c>
      <c r="E653">
        <f>'Календарь'!D279</f>
        <v/>
      </c>
      <c r="F653">
        <f>INT((C653-Нед_Начало)/7)+1</f>
        <v/>
      </c>
      <c r="G653">
        <f>IF(E653=0,0,INDEX('Планы менеджеров'!$B$5:$M$16,B653,D653)/INDEX(Мес_Раб,D653))</f>
        <v/>
      </c>
    </row>
    <row r="654">
      <c r="A654" t="inlineStr">
        <is>
          <t>Петрова</t>
        </is>
      </c>
      <c r="B654" t="n">
        <v>6</v>
      </c>
      <c r="C654" s="18">
        <f>'Календарь'!A280</f>
        <v/>
      </c>
      <c r="D654">
        <f>MONTH(C654)</f>
        <v/>
      </c>
      <c r="E654">
        <f>'Календарь'!D280</f>
        <v/>
      </c>
      <c r="F654">
        <f>INT((C654-Нед_Начало)/7)+1</f>
        <v/>
      </c>
      <c r="G654">
        <f>IF(E654=0,0,INDEX('Планы менеджеров'!$B$5:$M$16,B654,D654)/INDEX(Мес_Раб,D654))</f>
        <v/>
      </c>
    </row>
    <row r="655">
      <c r="A655" t="inlineStr">
        <is>
          <t>Петрова</t>
        </is>
      </c>
      <c r="B655" t="n">
        <v>6</v>
      </c>
      <c r="C655" s="18">
        <f>'Календарь'!A281</f>
        <v/>
      </c>
      <c r="D655">
        <f>MONTH(C655)</f>
        <v/>
      </c>
      <c r="E655">
        <f>'Календарь'!D281</f>
        <v/>
      </c>
      <c r="F655">
        <f>INT((C655-Нед_Начало)/7)+1</f>
        <v/>
      </c>
      <c r="G655">
        <f>IF(E655=0,0,INDEX('Планы менеджеров'!$B$5:$M$16,B655,D655)/INDEX(Мес_Раб,D655))</f>
        <v/>
      </c>
    </row>
    <row r="656">
      <c r="A656" t="inlineStr">
        <is>
          <t>Петрова</t>
        </is>
      </c>
      <c r="B656" t="n">
        <v>6</v>
      </c>
      <c r="C656" s="18">
        <f>'Календарь'!A282</f>
        <v/>
      </c>
      <c r="D656">
        <f>MONTH(C656)</f>
        <v/>
      </c>
      <c r="E656">
        <f>'Календарь'!D282</f>
        <v/>
      </c>
      <c r="F656">
        <f>INT((C656-Нед_Начало)/7)+1</f>
        <v/>
      </c>
      <c r="G656">
        <f>IF(E656=0,0,INDEX('Планы менеджеров'!$B$5:$M$16,B656,D656)/INDEX(Мес_Раб,D656))</f>
        <v/>
      </c>
    </row>
    <row r="657">
      <c r="A657" t="inlineStr">
        <is>
          <t>Петрова</t>
        </is>
      </c>
      <c r="B657" t="n">
        <v>6</v>
      </c>
      <c r="C657" s="18">
        <f>'Календарь'!A283</f>
        <v/>
      </c>
      <c r="D657">
        <f>MONTH(C657)</f>
        <v/>
      </c>
      <c r="E657">
        <f>'Календарь'!D283</f>
        <v/>
      </c>
      <c r="F657">
        <f>INT((C657-Нед_Начало)/7)+1</f>
        <v/>
      </c>
      <c r="G657">
        <f>IF(E657=0,0,INDEX('Планы менеджеров'!$B$5:$M$16,B657,D657)/INDEX(Мес_Раб,D657))</f>
        <v/>
      </c>
    </row>
    <row r="658">
      <c r="A658" t="inlineStr">
        <is>
          <t>Петрова</t>
        </is>
      </c>
      <c r="B658" t="n">
        <v>6</v>
      </c>
      <c r="C658" s="18">
        <f>'Календарь'!A284</f>
        <v/>
      </c>
      <c r="D658">
        <f>MONTH(C658)</f>
        <v/>
      </c>
      <c r="E658">
        <f>'Календарь'!D284</f>
        <v/>
      </c>
      <c r="F658">
        <f>INT((C658-Нед_Начало)/7)+1</f>
        <v/>
      </c>
      <c r="G658">
        <f>IF(E658=0,0,INDEX('Планы менеджеров'!$B$5:$M$16,B658,D658)/INDEX(Мес_Раб,D658))</f>
        <v/>
      </c>
    </row>
    <row r="659">
      <c r="A659" t="inlineStr">
        <is>
          <t>Петрова</t>
        </is>
      </c>
      <c r="B659" t="n">
        <v>6</v>
      </c>
      <c r="C659" s="18">
        <f>'Календарь'!A285</f>
        <v/>
      </c>
      <c r="D659">
        <f>MONTH(C659)</f>
        <v/>
      </c>
      <c r="E659">
        <f>'Календарь'!D285</f>
        <v/>
      </c>
      <c r="F659">
        <f>INT((C659-Нед_Начало)/7)+1</f>
        <v/>
      </c>
      <c r="G659">
        <f>IF(E659=0,0,INDEX('Планы менеджеров'!$B$5:$M$16,B659,D659)/INDEX(Мес_Раб,D659))</f>
        <v/>
      </c>
    </row>
    <row r="660">
      <c r="A660" t="inlineStr">
        <is>
          <t>Петрова</t>
        </is>
      </c>
      <c r="B660" t="n">
        <v>6</v>
      </c>
      <c r="C660" s="18">
        <f>'Календарь'!A286</f>
        <v/>
      </c>
      <c r="D660">
        <f>MONTH(C660)</f>
        <v/>
      </c>
      <c r="E660">
        <f>'Календарь'!D286</f>
        <v/>
      </c>
      <c r="F660">
        <f>INT((C660-Нед_Начало)/7)+1</f>
        <v/>
      </c>
      <c r="G660">
        <f>IF(E660=0,0,INDEX('Планы менеджеров'!$B$5:$M$16,B660,D660)/INDEX(Мес_Раб,D660))</f>
        <v/>
      </c>
    </row>
    <row r="661">
      <c r="A661" t="inlineStr">
        <is>
          <t>Петрова</t>
        </is>
      </c>
      <c r="B661" t="n">
        <v>6</v>
      </c>
      <c r="C661" s="18">
        <f>'Календарь'!A287</f>
        <v/>
      </c>
      <c r="D661">
        <f>MONTH(C661)</f>
        <v/>
      </c>
      <c r="E661">
        <f>'Календарь'!D287</f>
        <v/>
      </c>
      <c r="F661">
        <f>INT((C661-Нед_Начало)/7)+1</f>
        <v/>
      </c>
      <c r="G661">
        <f>IF(E661=0,0,INDEX('Планы менеджеров'!$B$5:$M$16,B661,D661)/INDEX(Мес_Раб,D661))</f>
        <v/>
      </c>
    </row>
    <row r="662">
      <c r="A662" t="inlineStr">
        <is>
          <t>Петрова</t>
        </is>
      </c>
      <c r="B662" t="n">
        <v>6</v>
      </c>
      <c r="C662" s="18">
        <f>'Календарь'!A288</f>
        <v/>
      </c>
      <c r="D662">
        <f>MONTH(C662)</f>
        <v/>
      </c>
      <c r="E662">
        <f>'Календарь'!D288</f>
        <v/>
      </c>
      <c r="F662">
        <f>INT((C662-Нед_Начало)/7)+1</f>
        <v/>
      </c>
      <c r="G662">
        <f>IF(E662=0,0,INDEX('Планы менеджеров'!$B$5:$M$16,B662,D662)/INDEX(Мес_Раб,D662))</f>
        <v/>
      </c>
    </row>
    <row r="663">
      <c r="A663" t="inlineStr">
        <is>
          <t>Петрова</t>
        </is>
      </c>
      <c r="B663" t="n">
        <v>6</v>
      </c>
      <c r="C663" s="18">
        <f>'Календарь'!A289</f>
        <v/>
      </c>
      <c r="D663">
        <f>MONTH(C663)</f>
        <v/>
      </c>
      <c r="E663">
        <f>'Календарь'!D289</f>
        <v/>
      </c>
      <c r="F663">
        <f>INT((C663-Нед_Начало)/7)+1</f>
        <v/>
      </c>
      <c r="G663">
        <f>IF(E663=0,0,INDEX('Планы менеджеров'!$B$5:$M$16,B663,D663)/INDEX(Мес_Раб,D663))</f>
        <v/>
      </c>
    </row>
    <row r="664">
      <c r="A664" t="inlineStr">
        <is>
          <t>Петрова</t>
        </is>
      </c>
      <c r="B664" t="n">
        <v>6</v>
      </c>
      <c r="C664" s="18">
        <f>'Календарь'!A290</f>
        <v/>
      </c>
      <c r="D664">
        <f>MONTH(C664)</f>
        <v/>
      </c>
      <c r="E664">
        <f>'Календарь'!D290</f>
        <v/>
      </c>
      <c r="F664">
        <f>INT((C664-Нед_Начало)/7)+1</f>
        <v/>
      </c>
      <c r="G664">
        <f>IF(E664=0,0,INDEX('Планы менеджеров'!$B$5:$M$16,B664,D664)/INDEX(Мес_Раб,D664))</f>
        <v/>
      </c>
    </row>
    <row r="665">
      <c r="A665" t="inlineStr">
        <is>
          <t>Петрова</t>
        </is>
      </c>
      <c r="B665" t="n">
        <v>6</v>
      </c>
      <c r="C665" s="18">
        <f>'Календарь'!A291</f>
        <v/>
      </c>
      <c r="D665">
        <f>MONTH(C665)</f>
        <v/>
      </c>
      <c r="E665">
        <f>'Календарь'!D291</f>
        <v/>
      </c>
      <c r="F665">
        <f>INT((C665-Нед_Начало)/7)+1</f>
        <v/>
      </c>
      <c r="G665">
        <f>IF(E665=0,0,INDEX('Планы менеджеров'!$B$5:$M$16,B665,D665)/INDEX(Мес_Раб,D665))</f>
        <v/>
      </c>
    </row>
    <row r="666">
      <c r="A666" t="inlineStr">
        <is>
          <t>Петрова</t>
        </is>
      </c>
      <c r="B666" t="n">
        <v>6</v>
      </c>
      <c r="C666" s="18">
        <f>'Календарь'!A292</f>
        <v/>
      </c>
      <c r="D666">
        <f>MONTH(C666)</f>
        <v/>
      </c>
      <c r="E666">
        <f>'Календарь'!D292</f>
        <v/>
      </c>
      <c r="F666">
        <f>INT((C666-Нед_Начало)/7)+1</f>
        <v/>
      </c>
      <c r="G666">
        <f>IF(E666=0,0,INDEX('Планы менеджеров'!$B$5:$M$16,B666,D666)/INDEX(Мес_Раб,D666))</f>
        <v/>
      </c>
    </row>
    <row r="667">
      <c r="A667" t="inlineStr">
        <is>
          <t>Петрова</t>
        </is>
      </c>
      <c r="B667" t="n">
        <v>6</v>
      </c>
      <c r="C667" s="18">
        <f>'Календарь'!A293</f>
        <v/>
      </c>
      <c r="D667">
        <f>MONTH(C667)</f>
        <v/>
      </c>
      <c r="E667">
        <f>'Календарь'!D293</f>
        <v/>
      </c>
      <c r="F667">
        <f>INT((C667-Нед_Начало)/7)+1</f>
        <v/>
      </c>
      <c r="G667">
        <f>IF(E667=0,0,INDEX('Планы менеджеров'!$B$5:$M$16,B667,D667)/INDEX(Мес_Раб,D667))</f>
        <v/>
      </c>
    </row>
    <row r="668">
      <c r="A668" t="inlineStr">
        <is>
          <t>Петрова</t>
        </is>
      </c>
      <c r="B668" t="n">
        <v>6</v>
      </c>
      <c r="C668" s="18">
        <f>'Календарь'!A294</f>
        <v/>
      </c>
      <c r="D668">
        <f>MONTH(C668)</f>
        <v/>
      </c>
      <c r="E668">
        <f>'Календарь'!D294</f>
        <v/>
      </c>
      <c r="F668">
        <f>INT((C668-Нед_Начало)/7)+1</f>
        <v/>
      </c>
      <c r="G668">
        <f>IF(E668=0,0,INDEX('Планы менеджеров'!$B$5:$M$16,B668,D668)/INDEX(Мес_Раб,D668))</f>
        <v/>
      </c>
    </row>
    <row r="669">
      <c r="A669" t="inlineStr">
        <is>
          <t>Петрова</t>
        </is>
      </c>
      <c r="B669" t="n">
        <v>6</v>
      </c>
      <c r="C669" s="18">
        <f>'Календарь'!A295</f>
        <v/>
      </c>
      <c r="D669">
        <f>MONTH(C669)</f>
        <v/>
      </c>
      <c r="E669">
        <f>'Календарь'!D295</f>
        <v/>
      </c>
      <c r="F669">
        <f>INT((C669-Нед_Начало)/7)+1</f>
        <v/>
      </c>
      <c r="G669">
        <f>IF(E669=0,0,INDEX('Планы менеджеров'!$B$5:$M$16,B669,D669)/INDEX(Мес_Раб,D669))</f>
        <v/>
      </c>
    </row>
    <row r="670">
      <c r="A670" t="inlineStr">
        <is>
          <t>Петрова</t>
        </is>
      </c>
      <c r="B670" t="n">
        <v>6</v>
      </c>
      <c r="C670" s="18">
        <f>'Календарь'!A296</f>
        <v/>
      </c>
      <c r="D670">
        <f>MONTH(C670)</f>
        <v/>
      </c>
      <c r="E670">
        <f>'Календарь'!D296</f>
        <v/>
      </c>
      <c r="F670">
        <f>INT((C670-Нед_Начало)/7)+1</f>
        <v/>
      </c>
      <c r="G670">
        <f>IF(E670=0,0,INDEX('Планы менеджеров'!$B$5:$M$16,B670,D670)/INDEX(Мес_Раб,D670))</f>
        <v/>
      </c>
    </row>
    <row r="671">
      <c r="A671" t="inlineStr">
        <is>
          <t>Петрова</t>
        </is>
      </c>
      <c r="B671" t="n">
        <v>6</v>
      </c>
      <c r="C671" s="18">
        <f>'Календарь'!A297</f>
        <v/>
      </c>
      <c r="D671">
        <f>MONTH(C671)</f>
        <v/>
      </c>
      <c r="E671">
        <f>'Календарь'!D297</f>
        <v/>
      </c>
      <c r="F671">
        <f>INT((C671-Нед_Начало)/7)+1</f>
        <v/>
      </c>
      <c r="G671">
        <f>IF(E671=0,0,INDEX('Планы менеджеров'!$B$5:$M$16,B671,D671)/INDEX(Мес_Раб,D671))</f>
        <v/>
      </c>
    </row>
    <row r="672">
      <c r="A672" t="inlineStr">
        <is>
          <t>Петрова</t>
        </is>
      </c>
      <c r="B672" t="n">
        <v>6</v>
      </c>
      <c r="C672" s="18">
        <f>'Календарь'!A298</f>
        <v/>
      </c>
      <c r="D672">
        <f>MONTH(C672)</f>
        <v/>
      </c>
      <c r="E672">
        <f>'Календарь'!D298</f>
        <v/>
      </c>
      <c r="F672">
        <f>INT((C672-Нед_Начало)/7)+1</f>
        <v/>
      </c>
      <c r="G672">
        <f>IF(E672=0,0,INDEX('Планы менеджеров'!$B$5:$M$16,B672,D672)/INDEX(Мес_Раб,D672))</f>
        <v/>
      </c>
    </row>
    <row r="673">
      <c r="A673" t="inlineStr">
        <is>
          <t>Петрова</t>
        </is>
      </c>
      <c r="B673" t="n">
        <v>6</v>
      </c>
      <c r="C673" s="18">
        <f>'Календарь'!A299</f>
        <v/>
      </c>
      <c r="D673">
        <f>MONTH(C673)</f>
        <v/>
      </c>
      <c r="E673">
        <f>'Календарь'!D299</f>
        <v/>
      </c>
      <c r="F673">
        <f>INT((C673-Нед_Начало)/7)+1</f>
        <v/>
      </c>
      <c r="G673">
        <f>IF(E673=0,0,INDEX('Планы менеджеров'!$B$5:$M$16,B673,D673)/INDEX(Мес_Раб,D673))</f>
        <v/>
      </c>
    </row>
    <row r="674">
      <c r="A674" t="inlineStr">
        <is>
          <t>Петрова</t>
        </is>
      </c>
      <c r="B674" t="n">
        <v>6</v>
      </c>
      <c r="C674" s="18">
        <f>'Календарь'!A300</f>
        <v/>
      </c>
      <c r="D674">
        <f>MONTH(C674)</f>
        <v/>
      </c>
      <c r="E674">
        <f>'Календарь'!D300</f>
        <v/>
      </c>
      <c r="F674">
        <f>INT((C674-Нед_Начало)/7)+1</f>
        <v/>
      </c>
      <c r="G674">
        <f>IF(E674=0,0,INDEX('Планы менеджеров'!$B$5:$M$16,B674,D674)/INDEX(Мес_Раб,D674))</f>
        <v/>
      </c>
    </row>
    <row r="675">
      <c r="A675" t="inlineStr">
        <is>
          <t>Петрова</t>
        </is>
      </c>
      <c r="B675" t="n">
        <v>6</v>
      </c>
      <c r="C675" s="18">
        <f>'Календарь'!A301</f>
        <v/>
      </c>
      <c r="D675">
        <f>MONTH(C675)</f>
        <v/>
      </c>
      <c r="E675">
        <f>'Календарь'!D301</f>
        <v/>
      </c>
      <c r="F675">
        <f>INT((C675-Нед_Начало)/7)+1</f>
        <v/>
      </c>
      <c r="G675">
        <f>IF(E675=0,0,INDEX('Планы менеджеров'!$B$5:$M$16,B675,D675)/INDEX(Мес_Раб,D675))</f>
        <v/>
      </c>
    </row>
    <row r="676">
      <c r="A676" t="inlineStr">
        <is>
          <t>Петрова</t>
        </is>
      </c>
      <c r="B676" t="n">
        <v>6</v>
      </c>
      <c r="C676" s="18">
        <f>'Календарь'!A302</f>
        <v/>
      </c>
      <c r="D676">
        <f>MONTH(C676)</f>
        <v/>
      </c>
      <c r="E676">
        <f>'Календарь'!D302</f>
        <v/>
      </c>
      <c r="F676">
        <f>INT((C676-Нед_Начало)/7)+1</f>
        <v/>
      </c>
      <c r="G676">
        <f>IF(E676=0,0,INDEX('Планы менеджеров'!$B$5:$M$16,B676,D676)/INDEX(Мес_Раб,D676))</f>
        <v/>
      </c>
    </row>
    <row r="677">
      <c r="A677" t="inlineStr">
        <is>
          <t>Петрова</t>
        </is>
      </c>
      <c r="B677" t="n">
        <v>6</v>
      </c>
      <c r="C677" s="18">
        <f>'Календарь'!A303</f>
        <v/>
      </c>
      <c r="D677">
        <f>MONTH(C677)</f>
        <v/>
      </c>
      <c r="E677">
        <f>'Календарь'!D303</f>
        <v/>
      </c>
      <c r="F677">
        <f>INT((C677-Нед_Начало)/7)+1</f>
        <v/>
      </c>
      <c r="G677">
        <f>IF(E677=0,0,INDEX('Планы менеджеров'!$B$5:$M$16,B677,D677)/INDEX(Мес_Раб,D677))</f>
        <v/>
      </c>
    </row>
    <row r="678">
      <c r="A678" t="inlineStr">
        <is>
          <t>Петрова</t>
        </is>
      </c>
      <c r="B678" t="n">
        <v>6</v>
      </c>
      <c r="C678" s="18">
        <f>'Календарь'!A304</f>
        <v/>
      </c>
      <c r="D678">
        <f>MONTH(C678)</f>
        <v/>
      </c>
      <c r="E678">
        <f>'Календарь'!D304</f>
        <v/>
      </c>
      <c r="F678">
        <f>INT((C678-Нед_Начало)/7)+1</f>
        <v/>
      </c>
      <c r="G678">
        <f>IF(E678=0,0,INDEX('Планы менеджеров'!$B$5:$M$16,B678,D678)/INDEX(Мес_Раб,D678))</f>
        <v/>
      </c>
    </row>
    <row r="679">
      <c r="A679" t="inlineStr">
        <is>
          <t>Петрова</t>
        </is>
      </c>
      <c r="B679" t="n">
        <v>6</v>
      </c>
      <c r="C679" s="18">
        <f>'Календарь'!A305</f>
        <v/>
      </c>
      <c r="D679">
        <f>MONTH(C679)</f>
        <v/>
      </c>
      <c r="E679">
        <f>'Календарь'!D305</f>
        <v/>
      </c>
      <c r="F679">
        <f>INT((C679-Нед_Начало)/7)+1</f>
        <v/>
      </c>
      <c r="G679">
        <f>IF(E679=0,0,INDEX('Планы менеджеров'!$B$5:$M$16,B679,D679)/INDEX(Мес_Раб,D679))</f>
        <v/>
      </c>
    </row>
    <row r="680">
      <c r="A680" t="inlineStr">
        <is>
          <t>Петрова</t>
        </is>
      </c>
      <c r="B680" t="n">
        <v>6</v>
      </c>
      <c r="C680" s="18">
        <f>'Календарь'!A306</f>
        <v/>
      </c>
      <c r="D680">
        <f>MONTH(C680)</f>
        <v/>
      </c>
      <c r="E680">
        <f>'Календарь'!D306</f>
        <v/>
      </c>
      <c r="F680">
        <f>INT((C680-Нед_Начало)/7)+1</f>
        <v/>
      </c>
      <c r="G680">
        <f>IF(E680=0,0,INDEX('Планы менеджеров'!$B$5:$M$16,B680,D680)/INDEX(Мес_Раб,D680))</f>
        <v/>
      </c>
    </row>
    <row r="681">
      <c r="A681" t="inlineStr">
        <is>
          <t>Петрова</t>
        </is>
      </c>
      <c r="B681" t="n">
        <v>6</v>
      </c>
      <c r="C681" s="18">
        <f>'Календарь'!A307</f>
        <v/>
      </c>
      <c r="D681">
        <f>MONTH(C681)</f>
        <v/>
      </c>
      <c r="E681">
        <f>'Календарь'!D307</f>
        <v/>
      </c>
      <c r="F681">
        <f>INT((C681-Нед_Начало)/7)+1</f>
        <v/>
      </c>
      <c r="G681">
        <f>IF(E681=0,0,INDEX('Планы менеджеров'!$B$5:$M$16,B681,D681)/INDEX(Мес_Раб,D681))</f>
        <v/>
      </c>
    </row>
    <row r="682">
      <c r="A682" t="inlineStr">
        <is>
          <t>Петрова</t>
        </is>
      </c>
      <c r="B682" t="n">
        <v>6</v>
      </c>
      <c r="C682" s="18">
        <f>'Календарь'!A308</f>
        <v/>
      </c>
      <c r="D682">
        <f>MONTH(C682)</f>
        <v/>
      </c>
      <c r="E682">
        <f>'Календарь'!D308</f>
        <v/>
      </c>
      <c r="F682">
        <f>INT((C682-Нед_Начало)/7)+1</f>
        <v/>
      </c>
      <c r="G682">
        <f>IF(E682=0,0,INDEX('Планы менеджеров'!$B$5:$M$16,B682,D682)/INDEX(Мес_Раб,D682))</f>
        <v/>
      </c>
    </row>
    <row r="683">
      <c r="A683" t="inlineStr">
        <is>
          <t>Петрова</t>
        </is>
      </c>
      <c r="B683" t="n">
        <v>6</v>
      </c>
      <c r="C683" s="18">
        <f>'Календарь'!A309</f>
        <v/>
      </c>
      <c r="D683">
        <f>MONTH(C683)</f>
        <v/>
      </c>
      <c r="E683">
        <f>'Календарь'!D309</f>
        <v/>
      </c>
      <c r="F683">
        <f>INT((C683-Нед_Начало)/7)+1</f>
        <v/>
      </c>
      <c r="G683">
        <f>IF(E683=0,0,INDEX('Планы менеджеров'!$B$5:$M$16,B683,D683)/INDEX(Мес_Раб,D683))</f>
        <v/>
      </c>
    </row>
    <row r="684">
      <c r="A684" t="inlineStr">
        <is>
          <t>Петрова</t>
        </is>
      </c>
      <c r="B684" t="n">
        <v>6</v>
      </c>
      <c r="C684" s="18">
        <f>'Календарь'!A310</f>
        <v/>
      </c>
      <c r="D684">
        <f>MONTH(C684)</f>
        <v/>
      </c>
      <c r="E684">
        <f>'Календарь'!D310</f>
        <v/>
      </c>
      <c r="F684">
        <f>INT((C684-Нед_Начало)/7)+1</f>
        <v/>
      </c>
      <c r="G684">
        <f>IF(E684=0,0,INDEX('Планы менеджеров'!$B$5:$M$16,B684,D684)/INDEX(Мес_Раб,D684))</f>
        <v/>
      </c>
    </row>
    <row r="685">
      <c r="A685" t="inlineStr">
        <is>
          <t>Петрова</t>
        </is>
      </c>
      <c r="B685" t="n">
        <v>6</v>
      </c>
      <c r="C685" s="18">
        <f>'Календарь'!A311</f>
        <v/>
      </c>
      <c r="D685">
        <f>MONTH(C685)</f>
        <v/>
      </c>
      <c r="E685">
        <f>'Календарь'!D311</f>
        <v/>
      </c>
      <c r="F685">
        <f>INT((C685-Нед_Начало)/7)+1</f>
        <v/>
      </c>
      <c r="G685">
        <f>IF(E685=0,0,INDEX('Планы менеджеров'!$B$5:$M$16,B685,D685)/INDEX(Мес_Раб,D685))</f>
        <v/>
      </c>
    </row>
    <row r="686">
      <c r="A686" t="inlineStr">
        <is>
          <t>Петрова</t>
        </is>
      </c>
      <c r="B686" t="n">
        <v>6</v>
      </c>
      <c r="C686" s="18">
        <f>'Календарь'!A312</f>
        <v/>
      </c>
      <c r="D686">
        <f>MONTH(C686)</f>
        <v/>
      </c>
      <c r="E686">
        <f>'Календарь'!D312</f>
        <v/>
      </c>
      <c r="F686">
        <f>INT((C686-Нед_Начало)/7)+1</f>
        <v/>
      </c>
      <c r="G686">
        <f>IF(E686=0,0,INDEX('Планы менеджеров'!$B$5:$M$16,B686,D686)/INDEX(Мес_Раб,D686))</f>
        <v/>
      </c>
    </row>
    <row r="687">
      <c r="A687" t="inlineStr">
        <is>
          <t>Петрова</t>
        </is>
      </c>
      <c r="B687" t="n">
        <v>6</v>
      </c>
      <c r="C687" s="18">
        <f>'Календарь'!A313</f>
        <v/>
      </c>
      <c r="D687">
        <f>MONTH(C687)</f>
        <v/>
      </c>
      <c r="E687">
        <f>'Календарь'!D313</f>
        <v/>
      </c>
      <c r="F687">
        <f>INT((C687-Нед_Начало)/7)+1</f>
        <v/>
      </c>
      <c r="G687">
        <f>IF(E687=0,0,INDEX('Планы менеджеров'!$B$5:$M$16,B687,D687)/INDEX(Мес_Раб,D687))</f>
        <v/>
      </c>
    </row>
    <row r="688">
      <c r="A688" t="inlineStr">
        <is>
          <t>Петрова</t>
        </is>
      </c>
      <c r="B688" t="n">
        <v>6</v>
      </c>
      <c r="C688" s="18">
        <f>'Календарь'!A314</f>
        <v/>
      </c>
      <c r="D688">
        <f>MONTH(C688)</f>
        <v/>
      </c>
      <c r="E688">
        <f>'Календарь'!D314</f>
        <v/>
      </c>
      <c r="F688">
        <f>INT((C688-Нед_Начало)/7)+1</f>
        <v/>
      </c>
      <c r="G688">
        <f>IF(E688=0,0,INDEX('Планы менеджеров'!$B$5:$M$16,B688,D688)/INDEX(Мес_Раб,D688))</f>
        <v/>
      </c>
    </row>
    <row r="689">
      <c r="A689" t="inlineStr">
        <is>
          <t>Петрова</t>
        </is>
      </c>
      <c r="B689" t="n">
        <v>6</v>
      </c>
      <c r="C689" s="18">
        <f>'Календарь'!A315</f>
        <v/>
      </c>
      <c r="D689">
        <f>MONTH(C689)</f>
        <v/>
      </c>
      <c r="E689">
        <f>'Календарь'!D315</f>
        <v/>
      </c>
      <c r="F689">
        <f>INT((C689-Нед_Начало)/7)+1</f>
        <v/>
      </c>
      <c r="G689">
        <f>IF(E689=0,0,INDEX('Планы менеджеров'!$B$5:$M$16,B689,D689)/INDEX(Мес_Раб,D689))</f>
        <v/>
      </c>
    </row>
    <row r="690">
      <c r="A690" t="inlineStr">
        <is>
          <t>Петрова</t>
        </is>
      </c>
      <c r="B690" t="n">
        <v>6</v>
      </c>
      <c r="C690" s="18">
        <f>'Календарь'!A316</f>
        <v/>
      </c>
      <c r="D690">
        <f>MONTH(C690)</f>
        <v/>
      </c>
      <c r="E690">
        <f>'Календарь'!D316</f>
        <v/>
      </c>
      <c r="F690">
        <f>INT((C690-Нед_Начало)/7)+1</f>
        <v/>
      </c>
      <c r="G690">
        <f>IF(E690=0,0,INDEX('Планы менеджеров'!$B$5:$M$16,B690,D690)/INDEX(Мес_Раб,D690))</f>
        <v/>
      </c>
    </row>
    <row r="691">
      <c r="A691" t="inlineStr">
        <is>
          <t>Петрова</t>
        </is>
      </c>
      <c r="B691" t="n">
        <v>6</v>
      </c>
      <c r="C691" s="18">
        <f>'Календарь'!A317</f>
        <v/>
      </c>
      <c r="D691">
        <f>MONTH(C691)</f>
        <v/>
      </c>
      <c r="E691">
        <f>'Календарь'!D317</f>
        <v/>
      </c>
      <c r="F691">
        <f>INT((C691-Нед_Начало)/7)+1</f>
        <v/>
      </c>
      <c r="G691">
        <f>IF(E691=0,0,INDEX('Планы менеджеров'!$B$5:$M$16,B691,D691)/INDEX(Мес_Раб,D691))</f>
        <v/>
      </c>
    </row>
    <row r="692">
      <c r="A692" t="inlineStr">
        <is>
          <t>Петрова</t>
        </is>
      </c>
      <c r="B692" t="n">
        <v>6</v>
      </c>
      <c r="C692" s="18">
        <f>'Календарь'!A318</f>
        <v/>
      </c>
      <c r="D692">
        <f>MONTH(C692)</f>
        <v/>
      </c>
      <c r="E692">
        <f>'Календарь'!D318</f>
        <v/>
      </c>
      <c r="F692">
        <f>INT((C692-Нед_Начало)/7)+1</f>
        <v/>
      </c>
      <c r="G692">
        <f>IF(E692=0,0,INDEX('Планы менеджеров'!$B$5:$M$16,B692,D692)/INDEX(Мес_Раб,D692))</f>
        <v/>
      </c>
    </row>
    <row r="693">
      <c r="A693" t="inlineStr">
        <is>
          <t>Петрова</t>
        </is>
      </c>
      <c r="B693" t="n">
        <v>6</v>
      </c>
      <c r="C693" s="18">
        <f>'Календарь'!A319</f>
        <v/>
      </c>
      <c r="D693">
        <f>MONTH(C693)</f>
        <v/>
      </c>
      <c r="E693">
        <f>'Календарь'!D319</f>
        <v/>
      </c>
      <c r="F693">
        <f>INT((C693-Нед_Начало)/7)+1</f>
        <v/>
      </c>
      <c r="G693">
        <f>IF(E693=0,0,INDEX('Планы менеджеров'!$B$5:$M$16,B693,D693)/INDEX(Мес_Раб,D693))</f>
        <v/>
      </c>
    </row>
    <row r="694">
      <c r="A694" t="inlineStr">
        <is>
          <t>Петрова</t>
        </is>
      </c>
      <c r="B694" t="n">
        <v>6</v>
      </c>
      <c r="C694" s="18">
        <f>'Календарь'!A320</f>
        <v/>
      </c>
      <c r="D694">
        <f>MONTH(C694)</f>
        <v/>
      </c>
      <c r="E694">
        <f>'Календарь'!D320</f>
        <v/>
      </c>
      <c r="F694">
        <f>INT((C694-Нед_Начало)/7)+1</f>
        <v/>
      </c>
      <c r="G694">
        <f>IF(E694=0,0,INDEX('Планы менеджеров'!$B$5:$M$16,B694,D694)/INDEX(Мес_Раб,D694))</f>
        <v/>
      </c>
    </row>
    <row r="695">
      <c r="A695" t="inlineStr">
        <is>
          <t>Петрова</t>
        </is>
      </c>
      <c r="B695" t="n">
        <v>6</v>
      </c>
      <c r="C695" s="18">
        <f>'Календарь'!A321</f>
        <v/>
      </c>
      <c r="D695">
        <f>MONTH(C695)</f>
        <v/>
      </c>
      <c r="E695">
        <f>'Календарь'!D321</f>
        <v/>
      </c>
      <c r="F695">
        <f>INT((C695-Нед_Начало)/7)+1</f>
        <v/>
      </c>
      <c r="G695">
        <f>IF(E695=0,0,INDEX('Планы менеджеров'!$B$5:$M$16,B695,D695)/INDEX(Мес_Раб,D695))</f>
        <v/>
      </c>
    </row>
    <row r="696">
      <c r="A696" t="inlineStr">
        <is>
          <t>Петрова</t>
        </is>
      </c>
      <c r="B696" t="n">
        <v>6</v>
      </c>
      <c r="C696" s="18">
        <f>'Календарь'!A322</f>
        <v/>
      </c>
      <c r="D696">
        <f>MONTH(C696)</f>
        <v/>
      </c>
      <c r="E696">
        <f>'Календарь'!D322</f>
        <v/>
      </c>
      <c r="F696">
        <f>INT((C696-Нед_Начало)/7)+1</f>
        <v/>
      </c>
      <c r="G696">
        <f>IF(E696=0,0,INDEX('Планы менеджеров'!$B$5:$M$16,B696,D696)/INDEX(Мес_Раб,D696))</f>
        <v/>
      </c>
    </row>
    <row r="697">
      <c r="A697" t="inlineStr">
        <is>
          <t>Петрова</t>
        </is>
      </c>
      <c r="B697" t="n">
        <v>6</v>
      </c>
      <c r="C697" s="18">
        <f>'Календарь'!A323</f>
        <v/>
      </c>
      <c r="D697">
        <f>MONTH(C697)</f>
        <v/>
      </c>
      <c r="E697">
        <f>'Календарь'!D323</f>
        <v/>
      </c>
      <c r="F697">
        <f>INT((C697-Нед_Начало)/7)+1</f>
        <v/>
      </c>
      <c r="G697">
        <f>IF(E697=0,0,INDEX('Планы менеджеров'!$B$5:$M$16,B697,D697)/INDEX(Мес_Раб,D697))</f>
        <v/>
      </c>
    </row>
    <row r="698">
      <c r="A698" t="inlineStr">
        <is>
          <t>Петрова</t>
        </is>
      </c>
      <c r="B698" t="n">
        <v>6</v>
      </c>
      <c r="C698" s="18">
        <f>'Календарь'!A324</f>
        <v/>
      </c>
      <c r="D698">
        <f>MONTH(C698)</f>
        <v/>
      </c>
      <c r="E698">
        <f>'Календарь'!D324</f>
        <v/>
      </c>
      <c r="F698">
        <f>INT((C698-Нед_Начало)/7)+1</f>
        <v/>
      </c>
      <c r="G698">
        <f>IF(E698=0,0,INDEX('Планы менеджеров'!$B$5:$M$16,B698,D698)/INDEX(Мес_Раб,D698))</f>
        <v/>
      </c>
    </row>
    <row r="699">
      <c r="A699" t="inlineStr">
        <is>
          <t>Петрова</t>
        </is>
      </c>
      <c r="B699" t="n">
        <v>6</v>
      </c>
      <c r="C699" s="18">
        <f>'Календарь'!A325</f>
        <v/>
      </c>
      <c r="D699">
        <f>MONTH(C699)</f>
        <v/>
      </c>
      <c r="E699">
        <f>'Календарь'!D325</f>
        <v/>
      </c>
      <c r="F699">
        <f>INT((C699-Нед_Начало)/7)+1</f>
        <v/>
      </c>
      <c r="G699">
        <f>IF(E699=0,0,INDEX('Планы менеджеров'!$B$5:$M$16,B699,D699)/INDEX(Мес_Раб,D699))</f>
        <v/>
      </c>
    </row>
    <row r="700">
      <c r="A700" t="inlineStr">
        <is>
          <t>Петрова</t>
        </is>
      </c>
      <c r="B700" t="n">
        <v>6</v>
      </c>
      <c r="C700" s="18">
        <f>'Календарь'!A326</f>
        <v/>
      </c>
      <c r="D700">
        <f>MONTH(C700)</f>
        <v/>
      </c>
      <c r="E700">
        <f>'Календарь'!D326</f>
        <v/>
      </c>
      <c r="F700">
        <f>INT((C700-Нед_Начало)/7)+1</f>
        <v/>
      </c>
      <c r="G700">
        <f>IF(E700=0,0,INDEX('Планы менеджеров'!$B$5:$M$16,B700,D700)/INDEX(Мес_Раб,D700))</f>
        <v/>
      </c>
    </row>
    <row r="701">
      <c r="A701" t="inlineStr">
        <is>
          <t>Петрова</t>
        </is>
      </c>
      <c r="B701" t="n">
        <v>6</v>
      </c>
      <c r="C701" s="18">
        <f>'Календарь'!A327</f>
        <v/>
      </c>
      <c r="D701">
        <f>MONTH(C701)</f>
        <v/>
      </c>
      <c r="E701">
        <f>'Календарь'!D327</f>
        <v/>
      </c>
      <c r="F701">
        <f>INT((C701-Нед_Начало)/7)+1</f>
        <v/>
      </c>
      <c r="G701">
        <f>IF(E701=0,0,INDEX('Планы менеджеров'!$B$5:$M$16,B701,D701)/INDEX(Мес_Раб,D701))</f>
        <v/>
      </c>
    </row>
    <row r="702">
      <c r="A702" t="inlineStr">
        <is>
          <t>Петрова</t>
        </is>
      </c>
      <c r="B702" t="n">
        <v>6</v>
      </c>
      <c r="C702" s="18">
        <f>'Календарь'!A328</f>
        <v/>
      </c>
      <c r="D702">
        <f>MONTH(C702)</f>
        <v/>
      </c>
      <c r="E702">
        <f>'Календарь'!D328</f>
        <v/>
      </c>
      <c r="F702">
        <f>INT((C702-Нед_Начало)/7)+1</f>
        <v/>
      </c>
      <c r="G702">
        <f>IF(E702=0,0,INDEX('Планы менеджеров'!$B$5:$M$16,B702,D702)/INDEX(Мес_Раб,D702))</f>
        <v/>
      </c>
    </row>
    <row r="703">
      <c r="A703" t="inlineStr">
        <is>
          <t>Петрова</t>
        </is>
      </c>
      <c r="B703" t="n">
        <v>6</v>
      </c>
      <c r="C703" s="18">
        <f>'Календарь'!A329</f>
        <v/>
      </c>
      <c r="D703">
        <f>MONTH(C703)</f>
        <v/>
      </c>
      <c r="E703">
        <f>'Календарь'!D329</f>
        <v/>
      </c>
      <c r="F703">
        <f>INT((C703-Нед_Начало)/7)+1</f>
        <v/>
      </c>
      <c r="G703">
        <f>IF(E703=0,0,INDEX('Планы менеджеров'!$B$5:$M$16,B703,D703)/INDEX(Мес_Раб,D703))</f>
        <v/>
      </c>
    </row>
    <row r="704">
      <c r="A704" t="inlineStr">
        <is>
          <t>Петрова</t>
        </is>
      </c>
      <c r="B704" t="n">
        <v>6</v>
      </c>
      <c r="C704" s="18">
        <f>'Календарь'!A330</f>
        <v/>
      </c>
      <c r="D704">
        <f>MONTH(C704)</f>
        <v/>
      </c>
      <c r="E704">
        <f>'Календарь'!D330</f>
        <v/>
      </c>
      <c r="F704">
        <f>INT((C704-Нед_Начало)/7)+1</f>
        <v/>
      </c>
      <c r="G704">
        <f>IF(E704=0,0,INDEX('Планы менеджеров'!$B$5:$M$16,B704,D704)/INDEX(Мес_Раб,D704))</f>
        <v/>
      </c>
    </row>
    <row r="705">
      <c r="A705" t="inlineStr">
        <is>
          <t>Петрова</t>
        </is>
      </c>
      <c r="B705" t="n">
        <v>6</v>
      </c>
      <c r="C705" s="18">
        <f>'Календарь'!A331</f>
        <v/>
      </c>
      <c r="D705">
        <f>MONTH(C705)</f>
        <v/>
      </c>
      <c r="E705">
        <f>'Календарь'!D331</f>
        <v/>
      </c>
      <c r="F705">
        <f>INT((C705-Нед_Начало)/7)+1</f>
        <v/>
      </c>
      <c r="G705">
        <f>IF(E705=0,0,INDEX('Планы менеджеров'!$B$5:$M$16,B705,D705)/INDEX(Мес_Раб,D705))</f>
        <v/>
      </c>
    </row>
    <row r="706">
      <c r="A706" t="inlineStr">
        <is>
          <t>Петрова</t>
        </is>
      </c>
      <c r="B706" t="n">
        <v>6</v>
      </c>
      <c r="C706" s="18">
        <f>'Календарь'!A332</f>
        <v/>
      </c>
      <c r="D706">
        <f>MONTH(C706)</f>
        <v/>
      </c>
      <c r="E706">
        <f>'Календарь'!D332</f>
        <v/>
      </c>
      <c r="F706">
        <f>INT((C706-Нед_Начало)/7)+1</f>
        <v/>
      </c>
      <c r="G706">
        <f>IF(E706=0,0,INDEX('Планы менеджеров'!$B$5:$M$16,B706,D706)/INDEX(Мес_Раб,D706))</f>
        <v/>
      </c>
    </row>
    <row r="707">
      <c r="A707" t="inlineStr">
        <is>
          <t>Петрова</t>
        </is>
      </c>
      <c r="B707" t="n">
        <v>6</v>
      </c>
      <c r="C707" s="18">
        <f>'Календарь'!A333</f>
        <v/>
      </c>
      <c r="D707">
        <f>MONTH(C707)</f>
        <v/>
      </c>
      <c r="E707">
        <f>'Календарь'!D333</f>
        <v/>
      </c>
      <c r="F707">
        <f>INT((C707-Нед_Начало)/7)+1</f>
        <v/>
      </c>
      <c r="G707">
        <f>IF(E707=0,0,INDEX('Планы менеджеров'!$B$5:$M$16,B707,D707)/INDEX(Мес_Раб,D707))</f>
        <v/>
      </c>
    </row>
    <row r="708">
      <c r="A708" t="inlineStr">
        <is>
          <t>Петрова</t>
        </is>
      </c>
      <c r="B708" t="n">
        <v>6</v>
      </c>
      <c r="C708" s="18">
        <f>'Календарь'!A334</f>
        <v/>
      </c>
      <c r="D708">
        <f>MONTH(C708)</f>
        <v/>
      </c>
      <c r="E708">
        <f>'Календарь'!D334</f>
        <v/>
      </c>
      <c r="F708">
        <f>INT((C708-Нед_Начало)/7)+1</f>
        <v/>
      </c>
      <c r="G708">
        <f>IF(E708=0,0,INDEX('Планы менеджеров'!$B$5:$M$16,B708,D708)/INDEX(Мес_Раб,D708))</f>
        <v/>
      </c>
    </row>
    <row r="709">
      <c r="A709" t="inlineStr">
        <is>
          <t>Петрова</t>
        </is>
      </c>
      <c r="B709" t="n">
        <v>6</v>
      </c>
      <c r="C709" s="18">
        <f>'Календарь'!A335</f>
        <v/>
      </c>
      <c r="D709">
        <f>MONTH(C709)</f>
        <v/>
      </c>
      <c r="E709">
        <f>'Календарь'!D335</f>
        <v/>
      </c>
      <c r="F709">
        <f>INT((C709-Нед_Начало)/7)+1</f>
        <v/>
      </c>
      <c r="G709">
        <f>IF(E709=0,0,INDEX('Планы менеджеров'!$B$5:$M$16,B709,D709)/INDEX(Мес_Раб,D709))</f>
        <v/>
      </c>
    </row>
    <row r="710">
      <c r="A710" t="inlineStr">
        <is>
          <t>Петрова</t>
        </is>
      </c>
      <c r="B710" t="n">
        <v>6</v>
      </c>
      <c r="C710" s="18">
        <f>'Календарь'!A336</f>
        <v/>
      </c>
      <c r="D710">
        <f>MONTH(C710)</f>
        <v/>
      </c>
      <c r="E710">
        <f>'Календарь'!D336</f>
        <v/>
      </c>
      <c r="F710">
        <f>INT((C710-Нед_Начало)/7)+1</f>
        <v/>
      </c>
      <c r="G710">
        <f>IF(E710=0,0,INDEX('Планы менеджеров'!$B$5:$M$16,B710,D710)/INDEX(Мес_Раб,D710))</f>
        <v/>
      </c>
    </row>
    <row r="711">
      <c r="A711" t="inlineStr">
        <is>
          <t>Петрова</t>
        </is>
      </c>
      <c r="B711" t="n">
        <v>6</v>
      </c>
      <c r="C711" s="18">
        <f>'Календарь'!A337</f>
        <v/>
      </c>
      <c r="D711">
        <f>MONTH(C711)</f>
        <v/>
      </c>
      <c r="E711">
        <f>'Календарь'!D337</f>
        <v/>
      </c>
      <c r="F711">
        <f>INT((C711-Нед_Начало)/7)+1</f>
        <v/>
      </c>
      <c r="G711">
        <f>IF(E711=0,0,INDEX('Планы менеджеров'!$B$5:$M$16,B711,D711)/INDEX(Мес_Раб,D711))</f>
        <v/>
      </c>
    </row>
    <row r="712">
      <c r="A712" t="inlineStr">
        <is>
          <t>Петрова</t>
        </is>
      </c>
      <c r="B712" t="n">
        <v>6</v>
      </c>
      <c r="C712" s="18">
        <f>'Календарь'!A338</f>
        <v/>
      </c>
      <c r="D712">
        <f>MONTH(C712)</f>
        <v/>
      </c>
      <c r="E712">
        <f>'Календарь'!D338</f>
        <v/>
      </c>
      <c r="F712">
        <f>INT((C712-Нед_Начало)/7)+1</f>
        <v/>
      </c>
      <c r="G712">
        <f>IF(E712=0,0,INDEX('Планы менеджеров'!$B$5:$M$16,B712,D712)/INDEX(Мес_Раб,D712))</f>
        <v/>
      </c>
    </row>
    <row r="713">
      <c r="A713" t="inlineStr">
        <is>
          <t>Петрова</t>
        </is>
      </c>
      <c r="B713" t="n">
        <v>6</v>
      </c>
      <c r="C713" s="18">
        <f>'Календарь'!A339</f>
        <v/>
      </c>
      <c r="D713">
        <f>MONTH(C713)</f>
        <v/>
      </c>
      <c r="E713">
        <f>'Календарь'!D339</f>
        <v/>
      </c>
      <c r="F713">
        <f>INT((C713-Нед_Начало)/7)+1</f>
        <v/>
      </c>
      <c r="G713">
        <f>IF(E713=0,0,INDEX('Планы менеджеров'!$B$5:$M$16,B713,D713)/INDEX(Мес_Раб,D713))</f>
        <v/>
      </c>
    </row>
    <row r="714">
      <c r="A714" t="inlineStr">
        <is>
          <t>Петрова</t>
        </is>
      </c>
      <c r="B714" t="n">
        <v>6</v>
      </c>
      <c r="C714" s="18">
        <f>'Календарь'!A340</f>
        <v/>
      </c>
      <c r="D714">
        <f>MONTH(C714)</f>
        <v/>
      </c>
      <c r="E714">
        <f>'Календарь'!D340</f>
        <v/>
      </c>
      <c r="F714">
        <f>INT((C714-Нед_Начало)/7)+1</f>
        <v/>
      </c>
      <c r="G714">
        <f>IF(E714=0,0,INDEX('Планы менеджеров'!$B$5:$M$16,B714,D714)/INDEX(Мес_Раб,D714))</f>
        <v/>
      </c>
    </row>
    <row r="715">
      <c r="A715" t="inlineStr">
        <is>
          <t>Петрова</t>
        </is>
      </c>
      <c r="B715" t="n">
        <v>6</v>
      </c>
      <c r="C715" s="18">
        <f>'Календарь'!A341</f>
        <v/>
      </c>
      <c r="D715">
        <f>MONTH(C715)</f>
        <v/>
      </c>
      <c r="E715">
        <f>'Календарь'!D341</f>
        <v/>
      </c>
      <c r="F715">
        <f>INT((C715-Нед_Начало)/7)+1</f>
        <v/>
      </c>
      <c r="G715">
        <f>IF(E715=0,0,INDEX('Планы менеджеров'!$B$5:$M$16,B715,D715)/INDEX(Мес_Раб,D715))</f>
        <v/>
      </c>
    </row>
    <row r="716">
      <c r="A716" t="inlineStr">
        <is>
          <t>Петрова</t>
        </is>
      </c>
      <c r="B716" t="n">
        <v>6</v>
      </c>
      <c r="C716" s="18">
        <f>'Календарь'!A342</f>
        <v/>
      </c>
      <c r="D716">
        <f>MONTH(C716)</f>
        <v/>
      </c>
      <c r="E716">
        <f>'Календарь'!D342</f>
        <v/>
      </c>
      <c r="F716">
        <f>INT((C716-Нед_Начало)/7)+1</f>
        <v/>
      </c>
      <c r="G716">
        <f>IF(E716=0,0,INDEX('Планы менеджеров'!$B$5:$M$16,B716,D716)/INDEX(Мес_Раб,D716))</f>
        <v/>
      </c>
    </row>
    <row r="717">
      <c r="A717" t="inlineStr">
        <is>
          <t>Петрова</t>
        </is>
      </c>
      <c r="B717" t="n">
        <v>6</v>
      </c>
      <c r="C717" s="18">
        <f>'Календарь'!A343</f>
        <v/>
      </c>
      <c r="D717">
        <f>MONTH(C717)</f>
        <v/>
      </c>
      <c r="E717">
        <f>'Календарь'!D343</f>
        <v/>
      </c>
      <c r="F717">
        <f>INT((C717-Нед_Начало)/7)+1</f>
        <v/>
      </c>
      <c r="G717">
        <f>IF(E717=0,0,INDEX('Планы менеджеров'!$B$5:$M$16,B717,D717)/INDEX(Мес_Раб,D717))</f>
        <v/>
      </c>
    </row>
    <row r="718">
      <c r="A718" t="inlineStr">
        <is>
          <t>Петрова</t>
        </is>
      </c>
      <c r="B718" t="n">
        <v>6</v>
      </c>
      <c r="C718" s="18">
        <f>'Календарь'!A344</f>
        <v/>
      </c>
      <c r="D718">
        <f>MONTH(C718)</f>
        <v/>
      </c>
      <c r="E718">
        <f>'Календарь'!D344</f>
        <v/>
      </c>
      <c r="F718">
        <f>INT((C718-Нед_Начало)/7)+1</f>
        <v/>
      </c>
      <c r="G718">
        <f>IF(E718=0,0,INDEX('Планы менеджеров'!$B$5:$M$16,B718,D718)/INDEX(Мес_Раб,D718))</f>
        <v/>
      </c>
    </row>
    <row r="719">
      <c r="A719" t="inlineStr">
        <is>
          <t>Петрова</t>
        </is>
      </c>
      <c r="B719" t="n">
        <v>6</v>
      </c>
      <c r="C719" s="18">
        <f>'Календарь'!A345</f>
        <v/>
      </c>
      <c r="D719">
        <f>MONTH(C719)</f>
        <v/>
      </c>
      <c r="E719">
        <f>'Календарь'!D345</f>
        <v/>
      </c>
      <c r="F719">
        <f>INT((C719-Нед_Начало)/7)+1</f>
        <v/>
      </c>
      <c r="G719">
        <f>IF(E719=0,0,INDEX('Планы менеджеров'!$B$5:$M$16,B719,D719)/INDEX(Мес_Раб,D719))</f>
        <v/>
      </c>
    </row>
    <row r="720">
      <c r="A720" t="inlineStr">
        <is>
          <t>Петрова</t>
        </is>
      </c>
      <c r="B720" t="n">
        <v>6</v>
      </c>
      <c r="C720" s="18">
        <f>'Календарь'!A346</f>
        <v/>
      </c>
      <c r="D720">
        <f>MONTH(C720)</f>
        <v/>
      </c>
      <c r="E720">
        <f>'Календарь'!D346</f>
        <v/>
      </c>
      <c r="F720">
        <f>INT((C720-Нед_Начало)/7)+1</f>
        <v/>
      </c>
      <c r="G720">
        <f>IF(E720=0,0,INDEX('Планы менеджеров'!$B$5:$M$16,B720,D720)/INDEX(Мес_Раб,D720))</f>
        <v/>
      </c>
    </row>
    <row r="721">
      <c r="A721" t="inlineStr">
        <is>
          <t>Петрова</t>
        </is>
      </c>
      <c r="B721" t="n">
        <v>6</v>
      </c>
      <c r="C721" s="18">
        <f>'Календарь'!A347</f>
        <v/>
      </c>
      <c r="D721">
        <f>MONTH(C721)</f>
        <v/>
      </c>
      <c r="E721">
        <f>'Календарь'!D347</f>
        <v/>
      </c>
      <c r="F721">
        <f>INT((C721-Нед_Начало)/7)+1</f>
        <v/>
      </c>
      <c r="G721">
        <f>IF(E721=0,0,INDEX('Планы менеджеров'!$B$5:$M$16,B721,D721)/INDEX(Мес_Раб,D721))</f>
        <v/>
      </c>
    </row>
    <row r="722">
      <c r="A722" t="inlineStr">
        <is>
          <t>Петрова</t>
        </is>
      </c>
      <c r="B722" t="n">
        <v>6</v>
      </c>
      <c r="C722" s="18">
        <f>'Календарь'!A348</f>
        <v/>
      </c>
      <c r="D722">
        <f>MONTH(C722)</f>
        <v/>
      </c>
      <c r="E722">
        <f>'Календарь'!D348</f>
        <v/>
      </c>
      <c r="F722">
        <f>INT((C722-Нед_Начало)/7)+1</f>
        <v/>
      </c>
      <c r="G722">
        <f>IF(E722=0,0,INDEX('Планы менеджеров'!$B$5:$M$16,B722,D722)/INDEX(Мес_Раб,D722))</f>
        <v/>
      </c>
    </row>
    <row r="723">
      <c r="A723" t="inlineStr">
        <is>
          <t>Петрова</t>
        </is>
      </c>
      <c r="B723" t="n">
        <v>6</v>
      </c>
      <c r="C723" s="18">
        <f>'Календарь'!A349</f>
        <v/>
      </c>
      <c r="D723">
        <f>MONTH(C723)</f>
        <v/>
      </c>
      <c r="E723">
        <f>'Календарь'!D349</f>
        <v/>
      </c>
      <c r="F723">
        <f>INT((C723-Нед_Начало)/7)+1</f>
        <v/>
      </c>
      <c r="G723">
        <f>IF(E723=0,0,INDEX('Планы менеджеров'!$B$5:$M$16,B723,D723)/INDEX(Мес_Раб,D723))</f>
        <v/>
      </c>
    </row>
    <row r="724">
      <c r="A724" t="inlineStr">
        <is>
          <t>Петрова</t>
        </is>
      </c>
      <c r="B724" t="n">
        <v>6</v>
      </c>
      <c r="C724" s="18">
        <f>'Календарь'!A350</f>
        <v/>
      </c>
      <c r="D724">
        <f>MONTH(C724)</f>
        <v/>
      </c>
      <c r="E724">
        <f>'Календарь'!D350</f>
        <v/>
      </c>
      <c r="F724">
        <f>INT((C724-Нед_Начало)/7)+1</f>
        <v/>
      </c>
      <c r="G724">
        <f>IF(E724=0,0,INDEX('Планы менеджеров'!$B$5:$M$16,B724,D724)/INDEX(Мес_Раб,D724))</f>
        <v/>
      </c>
    </row>
    <row r="725">
      <c r="A725" t="inlineStr">
        <is>
          <t>Петрова</t>
        </is>
      </c>
      <c r="B725" t="n">
        <v>6</v>
      </c>
      <c r="C725" s="18">
        <f>'Календарь'!A351</f>
        <v/>
      </c>
      <c r="D725">
        <f>MONTH(C725)</f>
        <v/>
      </c>
      <c r="E725">
        <f>'Календарь'!D351</f>
        <v/>
      </c>
      <c r="F725">
        <f>INT((C725-Нед_Начало)/7)+1</f>
        <v/>
      </c>
      <c r="G725">
        <f>IF(E725=0,0,INDEX('Планы менеджеров'!$B$5:$M$16,B725,D725)/INDEX(Мес_Раб,D725))</f>
        <v/>
      </c>
    </row>
    <row r="726">
      <c r="A726" t="inlineStr">
        <is>
          <t>Петрова</t>
        </is>
      </c>
      <c r="B726" t="n">
        <v>6</v>
      </c>
      <c r="C726" s="18">
        <f>'Календарь'!A352</f>
        <v/>
      </c>
      <c r="D726">
        <f>MONTH(C726)</f>
        <v/>
      </c>
      <c r="E726">
        <f>'Календарь'!D352</f>
        <v/>
      </c>
      <c r="F726">
        <f>INT((C726-Нед_Начало)/7)+1</f>
        <v/>
      </c>
      <c r="G726">
        <f>IF(E726=0,0,INDEX('Планы менеджеров'!$B$5:$M$16,B726,D726)/INDEX(Мес_Раб,D726))</f>
        <v/>
      </c>
    </row>
    <row r="727">
      <c r="A727" t="inlineStr">
        <is>
          <t>Петрова</t>
        </is>
      </c>
      <c r="B727" t="n">
        <v>6</v>
      </c>
      <c r="C727" s="18">
        <f>'Календарь'!A353</f>
        <v/>
      </c>
      <c r="D727">
        <f>MONTH(C727)</f>
        <v/>
      </c>
      <c r="E727">
        <f>'Календарь'!D353</f>
        <v/>
      </c>
      <c r="F727">
        <f>INT((C727-Нед_Начало)/7)+1</f>
        <v/>
      </c>
      <c r="G727">
        <f>IF(E727=0,0,INDEX('Планы менеджеров'!$B$5:$M$16,B727,D727)/INDEX(Мес_Раб,D727))</f>
        <v/>
      </c>
    </row>
    <row r="728">
      <c r="A728" t="inlineStr">
        <is>
          <t>Петрова</t>
        </is>
      </c>
      <c r="B728" t="n">
        <v>6</v>
      </c>
      <c r="C728" s="18">
        <f>'Календарь'!A354</f>
        <v/>
      </c>
      <c r="D728">
        <f>MONTH(C728)</f>
        <v/>
      </c>
      <c r="E728">
        <f>'Календарь'!D354</f>
        <v/>
      </c>
      <c r="F728">
        <f>INT((C728-Нед_Начало)/7)+1</f>
        <v/>
      </c>
      <c r="G728">
        <f>IF(E728=0,0,INDEX('Планы менеджеров'!$B$5:$M$16,B728,D728)/INDEX(Мес_Раб,D728))</f>
        <v/>
      </c>
    </row>
    <row r="729">
      <c r="A729" t="inlineStr">
        <is>
          <t>Петрова</t>
        </is>
      </c>
      <c r="B729" t="n">
        <v>6</v>
      </c>
      <c r="C729" s="18">
        <f>'Календарь'!A355</f>
        <v/>
      </c>
      <c r="D729">
        <f>MONTH(C729)</f>
        <v/>
      </c>
      <c r="E729">
        <f>'Календарь'!D355</f>
        <v/>
      </c>
      <c r="F729">
        <f>INT((C729-Нед_Начало)/7)+1</f>
        <v/>
      </c>
      <c r="G729">
        <f>IF(E729=0,0,INDEX('Планы менеджеров'!$B$5:$M$16,B729,D729)/INDEX(Мес_Раб,D729))</f>
        <v/>
      </c>
    </row>
    <row r="730">
      <c r="A730" t="inlineStr">
        <is>
          <t>Петрова</t>
        </is>
      </c>
      <c r="B730" t="n">
        <v>6</v>
      </c>
      <c r="C730" s="18">
        <f>'Календарь'!A356</f>
        <v/>
      </c>
      <c r="D730">
        <f>MONTH(C730)</f>
        <v/>
      </c>
      <c r="E730">
        <f>'Календарь'!D356</f>
        <v/>
      </c>
      <c r="F730">
        <f>INT((C730-Нед_Начало)/7)+1</f>
        <v/>
      </c>
      <c r="G730">
        <f>IF(E730=0,0,INDEX('Планы менеджеров'!$B$5:$M$16,B730,D730)/INDEX(Мес_Раб,D730))</f>
        <v/>
      </c>
    </row>
    <row r="731">
      <c r="A731" t="inlineStr">
        <is>
          <t>Петрова</t>
        </is>
      </c>
      <c r="B731" t="n">
        <v>6</v>
      </c>
      <c r="C731" s="18">
        <f>'Календарь'!A357</f>
        <v/>
      </c>
      <c r="D731">
        <f>MONTH(C731)</f>
        <v/>
      </c>
      <c r="E731">
        <f>'Календарь'!D357</f>
        <v/>
      </c>
      <c r="F731">
        <f>INT((C731-Нед_Начало)/7)+1</f>
        <v/>
      </c>
      <c r="G731">
        <f>IF(E731=0,0,INDEX('Планы менеджеров'!$B$5:$M$16,B731,D731)/INDEX(Мес_Раб,D731))</f>
        <v/>
      </c>
    </row>
    <row r="732">
      <c r="A732" t="inlineStr">
        <is>
          <t>Петрова</t>
        </is>
      </c>
      <c r="B732" t="n">
        <v>6</v>
      </c>
      <c r="C732" s="18">
        <f>'Календарь'!A358</f>
        <v/>
      </c>
      <c r="D732">
        <f>MONTH(C732)</f>
        <v/>
      </c>
      <c r="E732">
        <f>'Календарь'!D358</f>
        <v/>
      </c>
      <c r="F732">
        <f>INT((C732-Нед_Начало)/7)+1</f>
        <v/>
      </c>
      <c r="G732">
        <f>IF(E732=0,0,INDEX('Планы менеджеров'!$B$5:$M$16,B732,D732)/INDEX(Мес_Раб,D732))</f>
        <v/>
      </c>
    </row>
    <row r="733">
      <c r="A733" t="inlineStr">
        <is>
          <t>Петрова</t>
        </is>
      </c>
      <c r="B733" t="n">
        <v>6</v>
      </c>
      <c r="C733" s="18">
        <f>'Календарь'!A359</f>
        <v/>
      </c>
      <c r="D733">
        <f>MONTH(C733)</f>
        <v/>
      </c>
      <c r="E733">
        <f>'Календарь'!D359</f>
        <v/>
      </c>
      <c r="F733">
        <f>INT((C733-Нед_Начало)/7)+1</f>
        <v/>
      </c>
      <c r="G733">
        <f>IF(E733=0,0,INDEX('Планы менеджеров'!$B$5:$M$16,B733,D733)/INDEX(Мес_Раб,D733))</f>
        <v/>
      </c>
    </row>
    <row r="734">
      <c r="A734" t="inlineStr">
        <is>
          <t>Петрова</t>
        </is>
      </c>
      <c r="B734" t="n">
        <v>6</v>
      </c>
      <c r="C734" s="18">
        <f>'Календарь'!A360</f>
        <v/>
      </c>
      <c r="D734">
        <f>MONTH(C734)</f>
        <v/>
      </c>
      <c r="E734">
        <f>'Календарь'!D360</f>
        <v/>
      </c>
      <c r="F734">
        <f>INT((C734-Нед_Начало)/7)+1</f>
        <v/>
      </c>
      <c r="G734">
        <f>IF(E734=0,0,INDEX('Планы менеджеров'!$B$5:$M$16,B734,D734)/INDEX(Мес_Раб,D734))</f>
        <v/>
      </c>
    </row>
    <row r="735">
      <c r="A735" t="inlineStr">
        <is>
          <t>Петрова</t>
        </is>
      </c>
      <c r="B735" t="n">
        <v>6</v>
      </c>
      <c r="C735" s="18">
        <f>'Календарь'!A361</f>
        <v/>
      </c>
      <c r="D735">
        <f>MONTH(C735)</f>
        <v/>
      </c>
      <c r="E735">
        <f>'Календарь'!D361</f>
        <v/>
      </c>
      <c r="F735">
        <f>INT((C735-Нед_Начало)/7)+1</f>
        <v/>
      </c>
      <c r="G735">
        <f>IF(E735=0,0,INDEX('Планы менеджеров'!$B$5:$M$16,B735,D735)/INDEX(Мес_Раб,D735))</f>
        <v/>
      </c>
    </row>
    <row r="736">
      <c r="A736" t="inlineStr">
        <is>
          <t>Петрова</t>
        </is>
      </c>
      <c r="B736" t="n">
        <v>6</v>
      </c>
      <c r="C736" s="18">
        <f>'Календарь'!A362</f>
        <v/>
      </c>
      <c r="D736">
        <f>MONTH(C736)</f>
        <v/>
      </c>
      <c r="E736">
        <f>'Календарь'!D362</f>
        <v/>
      </c>
      <c r="F736">
        <f>INT((C736-Нед_Начало)/7)+1</f>
        <v/>
      </c>
      <c r="G736">
        <f>IF(E736=0,0,INDEX('Планы менеджеров'!$B$5:$M$16,B736,D736)/INDEX(Мес_Раб,D736))</f>
        <v/>
      </c>
    </row>
    <row r="737">
      <c r="A737" t="inlineStr">
        <is>
          <t>Петрова</t>
        </is>
      </c>
      <c r="B737" t="n">
        <v>6</v>
      </c>
      <c r="C737" s="18">
        <f>'Календарь'!A363</f>
        <v/>
      </c>
      <c r="D737">
        <f>MONTH(C737)</f>
        <v/>
      </c>
      <c r="E737">
        <f>'Календарь'!D363</f>
        <v/>
      </c>
      <c r="F737">
        <f>INT((C737-Нед_Начало)/7)+1</f>
        <v/>
      </c>
      <c r="G737">
        <f>IF(E737=0,0,INDEX('Планы менеджеров'!$B$5:$M$16,B737,D737)/INDEX(Мес_Раб,D737))</f>
        <v/>
      </c>
    </row>
    <row r="738">
      <c r="A738" t="inlineStr">
        <is>
          <t>Петрова</t>
        </is>
      </c>
      <c r="B738" t="n">
        <v>6</v>
      </c>
      <c r="C738" s="18">
        <f>'Календарь'!A364</f>
        <v/>
      </c>
      <c r="D738">
        <f>MONTH(C738)</f>
        <v/>
      </c>
      <c r="E738">
        <f>'Календарь'!D364</f>
        <v/>
      </c>
      <c r="F738">
        <f>INT((C738-Нед_Начало)/7)+1</f>
        <v/>
      </c>
      <c r="G738">
        <f>IF(E738=0,0,INDEX('Планы менеджеров'!$B$5:$M$16,B738,D738)/INDEX(Мес_Раб,D738))</f>
        <v/>
      </c>
    </row>
    <row r="739">
      <c r="A739" t="inlineStr">
        <is>
          <t>Петрова</t>
        </is>
      </c>
      <c r="B739" t="n">
        <v>6</v>
      </c>
      <c r="C739" s="18">
        <f>'Календарь'!A365</f>
        <v/>
      </c>
      <c r="D739">
        <f>MONTH(C739)</f>
        <v/>
      </c>
      <c r="E739">
        <f>'Календарь'!D365</f>
        <v/>
      </c>
      <c r="F739">
        <f>INT((C739-Нед_Начало)/7)+1</f>
        <v/>
      </c>
      <c r="G739">
        <f>IF(E739=0,0,INDEX('Планы менеджеров'!$B$5:$M$16,B739,D739)/INDEX(Мес_Раб,D739))</f>
        <v/>
      </c>
    </row>
    <row r="740">
      <c r="A740" t="inlineStr">
        <is>
          <t>Петрова</t>
        </is>
      </c>
      <c r="B740" t="n">
        <v>6</v>
      </c>
      <c r="C740" s="18">
        <f>'Календарь'!A366</f>
        <v/>
      </c>
      <c r="D740">
        <f>MONTH(C740)</f>
        <v/>
      </c>
      <c r="E740">
        <f>'Календарь'!D366</f>
        <v/>
      </c>
      <c r="F740">
        <f>INT((C740-Нед_Начало)/7)+1</f>
        <v/>
      </c>
      <c r="G740">
        <f>IF(E740=0,0,INDEX('Планы менеджеров'!$B$5:$M$16,B740,D740)/INDEX(Мес_Раб,D740))</f>
        <v/>
      </c>
    </row>
    <row r="741">
      <c r="A741" t="inlineStr">
        <is>
          <t>Петрова</t>
        </is>
      </c>
      <c r="B741" t="n">
        <v>6</v>
      </c>
      <c r="C741" s="18">
        <f>'Календарь'!A367</f>
        <v/>
      </c>
      <c r="D741">
        <f>MONTH(C741)</f>
        <v/>
      </c>
      <c r="E741">
        <f>'Календарь'!D367</f>
        <v/>
      </c>
      <c r="F741">
        <f>INT((C741-Нед_Начало)/7)+1</f>
        <v/>
      </c>
      <c r="G741">
        <f>IF(E741=0,0,INDEX('Планы менеджеров'!$B$5:$M$16,B741,D741)/INDEX(Мес_Раб,D741))</f>
        <v/>
      </c>
    </row>
    <row r="742">
      <c r="A742" t="inlineStr">
        <is>
          <t>Петрова</t>
        </is>
      </c>
      <c r="B742" t="n">
        <v>6</v>
      </c>
      <c r="C742" s="18">
        <f>'Календарь'!A368</f>
        <v/>
      </c>
      <c r="D742">
        <f>MONTH(C742)</f>
        <v/>
      </c>
      <c r="E742">
        <f>'Календарь'!D368</f>
        <v/>
      </c>
      <c r="F742">
        <f>INT((C742-Нед_Начало)/7)+1</f>
        <v/>
      </c>
      <c r="G742">
        <f>IF(E742=0,0,INDEX('Планы менеджеров'!$B$5:$M$16,B742,D742)/INDEX(Мес_Раб,D742))</f>
        <v/>
      </c>
    </row>
    <row r="743">
      <c r="A743" t="inlineStr">
        <is>
          <t>Петрова</t>
        </is>
      </c>
      <c r="B743" t="n">
        <v>6</v>
      </c>
      <c r="C743" s="18">
        <f>'Календарь'!A369</f>
        <v/>
      </c>
      <c r="D743">
        <f>MONTH(C743)</f>
        <v/>
      </c>
      <c r="E743">
        <f>'Календарь'!D369</f>
        <v/>
      </c>
      <c r="F743">
        <f>INT((C743-Нед_Начало)/7)+1</f>
        <v/>
      </c>
      <c r="G743">
        <f>IF(E743=0,0,INDEX('Планы менеджеров'!$B$5:$M$16,B743,D743)/INDEX(Мес_Раб,D743))</f>
        <v/>
      </c>
    </row>
    <row r="744">
      <c r="A744" t="inlineStr">
        <is>
          <t>Петрова</t>
        </is>
      </c>
      <c r="B744" t="n">
        <v>6</v>
      </c>
      <c r="C744" s="18">
        <f>'Календарь'!A370</f>
        <v/>
      </c>
      <c r="D744">
        <f>MONTH(C744)</f>
        <v/>
      </c>
      <c r="E744">
        <f>'Календарь'!D370</f>
        <v/>
      </c>
      <c r="F744">
        <f>INT((C744-Нед_Начало)/7)+1</f>
        <v/>
      </c>
      <c r="G744">
        <f>IF(E744=0,0,INDEX('Планы менеджеров'!$B$5:$M$16,B744,D744)/INDEX(Мес_Раб,D744))</f>
        <v/>
      </c>
    </row>
    <row r="745">
      <c r="A745" t="inlineStr">
        <is>
          <t>Петрова</t>
        </is>
      </c>
      <c r="B745" t="n">
        <v>6</v>
      </c>
      <c r="C745" s="18">
        <f>'Календарь'!A371</f>
        <v/>
      </c>
      <c r="D745">
        <f>MONTH(C745)</f>
        <v/>
      </c>
      <c r="E745">
        <f>'Календарь'!D371</f>
        <v/>
      </c>
      <c r="F745">
        <f>INT((C745-Нед_Начало)/7)+1</f>
        <v/>
      </c>
      <c r="G745">
        <f>IF(E745=0,0,INDEX('Планы менеджеров'!$B$5:$M$16,B745,D745)/INDEX(Мес_Раб,D745))</f>
        <v/>
      </c>
    </row>
    <row r="746">
      <c r="A746" t="inlineStr">
        <is>
          <t>Петрова</t>
        </is>
      </c>
      <c r="B746" t="n">
        <v>6</v>
      </c>
      <c r="C746" s="18">
        <f>'Календарь'!A372</f>
        <v/>
      </c>
      <c r="D746">
        <f>MONTH(C746)</f>
        <v/>
      </c>
      <c r="E746">
        <f>'Календарь'!D372</f>
        <v/>
      </c>
      <c r="F746">
        <f>INT((C746-Нед_Начало)/7)+1</f>
        <v/>
      </c>
      <c r="G746">
        <f>IF(E746=0,0,INDEX('Планы менеджеров'!$B$5:$M$16,B746,D746)/INDEX(Мес_Раб,D746))</f>
        <v/>
      </c>
    </row>
    <row r="747">
      <c r="A747" t="inlineStr">
        <is>
          <t>Сидоров</t>
        </is>
      </c>
      <c r="B747" t="n">
        <v>7</v>
      </c>
      <c r="C747" s="18">
        <f>'Календарь'!A2</f>
        <v/>
      </c>
      <c r="D747">
        <f>MONTH(C747)</f>
        <v/>
      </c>
      <c r="E747">
        <f>'Календарь'!D2</f>
        <v/>
      </c>
      <c r="F747">
        <f>INT((C747-Нед_Начало)/7)+1</f>
        <v/>
      </c>
      <c r="G747">
        <f>IF(E747=0,0,INDEX('Планы менеджеров'!$B$5:$M$16,B747,D747)/INDEX(Мес_Раб,D747))</f>
        <v/>
      </c>
    </row>
    <row r="748">
      <c r="A748" t="inlineStr">
        <is>
          <t>Сидоров</t>
        </is>
      </c>
      <c r="B748" t="n">
        <v>7</v>
      </c>
      <c r="C748" s="18">
        <f>'Календарь'!A3</f>
        <v/>
      </c>
      <c r="D748">
        <f>MONTH(C748)</f>
        <v/>
      </c>
      <c r="E748">
        <f>'Календарь'!D3</f>
        <v/>
      </c>
      <c r="F748">
        <f>INT((C748-Нед_Начало)/7)+1</f>
        <v/>
      </c>
      <c r="G748">
        <f>IF(E748=0,0,INDEX('Планы менеджеров'!$B$5:$M$16,B748,D748)/INDEX(Мес_Раб,D748))</f>
        <v/>
      </c>
    </row>
    <row r="749">
      <c r="A749" t="inlineStr">
        <is>
          <t>Сидоров</t>
        </is>
      </c>
      <c r="B749" t="n">
        <v>7</v>
      </c>
      <c r="C749" s="18">
        <f>'Календарь'!A4</f>
        <v/>
      </c>
      <c r="D749">
        <f>MONTH(C749)</f>
        <v/>
      </c>
      <c r="E749">
        <f>'Календарь'!D4</f>
        <v/>
      </c>
      <c r="F749">
        <f>INT((C749-Нед_Начало)/7)+1</f>
        <v/>
      </c>
      <c r="G749">
        <f>IF(E749=0,0,INDEX('Планы менеджеров'!$B$5:$M$16,B749,D749)/INDEX(Мес_Раб,D749))</f>
        <v/>
      </c>
    </row>
    <row r="750">
      <c r="A750" t="inlineStr">
        <is>
          <t>Сидоров</t>
        </is>
      </c>
      <c r="B750" t="n">
        <v>7</v>
      </c>
      <c r="C750" s="18">
        <f>'Календарь'!A5</f>
        <v/>
      </c>
      <c r="D750">
        <f>MONTH(C750)</f>
        <v/>
      </c>
      <c r="E750">
        <f>'Календарь'!D5</f>
        <v/>
      </c>
      <c r="F750">
        <f>INT((C750-Нед_Начало)/7)+1</f>
        <v/>
      </c>
      <c r="G750">
        <f>IF(E750=0,0,INDEX('Планы менеджеров'!$B$5:$M$16,B750,D750)/INDEX(Мес_Раб,D750))</f>
        <v/>
      </c>
    </row>
    <row r="751">
      <c r="A751" t="inlineStr">
        <is>
          <t>Сидоров</t>
        </is>
      </c>
      <c r="B751" t="n">
        <v>7</v>
      </c>
      <c r="C751" s="18">
        <f>'Календарь'!A6</f>
        <v/>
      </c>
      <c r="D751">
        <f>MONTH(C751)</f>
        <v/>
      </c>
      <c r="E751">
        <f>'Календарь'!D6</f>
        <v/>
      </c>
      <c r="F751">
        <f>INT((C751-Нед_Начало)/7)+1</f>
        <v/>
      </c>
      <c r="G751">
        <f>IF(E751=0,0,INDEX('Планы менеджеров'!$B$5:$M$16,B751,D751)/INDEX(Мес_Раб,D751))</f>
        <v/>
      </c>
    </row>
    <row r="752">
      <c r="A752" t="inlineStr">
        <is>
          <t>Сидоров</t>
        </is>
      </c>
      <c r="B752" t="n">
        <v>7</v>
      </c>
      <c r="C752" s="18">
        <f>'Календарь'!A7</f>
        <v/>
      </c>
      <c r="D752">
        <f>MONTH(C752)</f>
        <v/>
      </c>
      <c r="E752">
        <f>'Календарь'!D7</f>
        <v/>
      </c>
      <c r="F752">
        <f>INT((C752-Нед_Начало)/7)+1</f>
        <v/>
      </c>
      <c r="G752">
        <f>IF(E752=0,0,INDEX('Планы менеджеров'!$B$5:$M$16,B752,D752)/INDEX(Мес_Раб,D752))</f>
        <v/>
      </c>
    </row>
    <row r="753">
      <c r="A753" t="inlineStr">
        <is>
          <t>Сидоров</t>
        </is>
      </c>
      <c r="B753" t="n">
        <v>7</v>
      </c>
      <c r="C753" s="18">
        <f>'Календарь'!A8</f>
        <v/>
      </c>
      <c r="D753">
        <f>MONTH(C753)</f>
        <v/>
      </c>
      <c r="E753">
        <f>'Календарь'!D8</f>
        <v/>
      </c>
      <c r="F753">
        <f>INT((C753-Нед_Начало)/7)+1</f>
        <v/>
      </c>
      <c r="G753">
        <f>IF(E753=0,0,INDEX('Планы менеджеров'!$B$5:$M$16,B753,D753)/INDEX(Мес_Раб,D753))</f>
        <v/>
      </c>
    </row>
    <row r="754">
      <c r="A754" t="inlineStr">
        <is>
          <t>Сидоров</t>
        </is>
      </c>
      <c r="B754" t="n">
        <v>7</v>
      </c>
      <c r="C754" s="18">
        <f>'Календарь'!A9</f>
        <v/>
      </c>
      <c r="D754">
        <f>MONTH(C754)</f>
        <v/>
      </c>
      <c r="E754">
        <f>'Календарь'!D9</f>
        <v/>
      </c>
      <c r="F754">
        <f>INT((C754-Нед_Начало)/7)+1</f>
        <v/>
      </c>
      <c r="G754">
        <f>IF(E754=0,0,INDEX('Планы менеджеров'!$B$5:$M$16,B754,D754)/INDEX(Мес_Раб,D754))</f>
        <v/>
      </c>
    </row>
    <row r="755">
      <c r="A755" t="inlineStr">
        <is>
          <t>Сидоров</t>
        </is>
      </c>
      <c r="B755" t="n">
        <v>7</v>
      </c>
      <c r="C755" s="18">
        <f>'Календарь'!A10</f>
        <v/>
      </c>
      <c r="D755">
        <f>MONTH(C755)</f>
        <v/>
      </c>
      <c r="E755">
        <f>'Календарь'!D10</f>
        <v/>
      </c>
      <c r="F755">
        <f>INT((C755-Нед_Начало)/7)+1</f>
        <v/>
      </c>
      <c r="G755">
        <f>IF(E755=0,0,INDEX('Планы менеджеров'!$B$5:$M$16,B755,D755)/INDEX(Мес_Раб,D755))</f>
        <v/>
      </c>
    </row>
    <row r="756">
      <c r="A756" t="inlineStr">
        <is>
          <t>Сидоров</t>
        </is>
      </c>
      <c r="B756" t="n">
        <v>7</v>
      </c>
      <c r="C756" s="18">
        <f>'Календарь'!A11</f>
        <v/>
      </c>
      <c r="D756">
        <f>MONTH(C756)</f>
        <v/>
      </c>
      <c r="E756">
        <f>'Календарь'!D11</f>
        <v/>
      </c>
      <c r="F756">
        <f>INT((C756-Нед_Начало)/7)+1</f>
        <v/>
      </c>
      <c r="G756">
        <f>IF(E756=0,0,INDEX('Планы менеджеров'!$B$5:$M$16,B756,D756)/INDEX(Мес_Раб,D756))</f>
        <v/>
      </c>
    </row>
    <row r="757">
      <c r="A757" t="inlineStr">
        <is>
          <t>Сидоров</t>
        </is>
      </c>
      <c r="B757" t="n">
        <v>7</v>
      </c>
      <c r="C757" s="18">
        <f>'Календарь'!A12</f>
        <v/>
      </c>
      <c r="D757">
        <f>MONTH(C757)</f>
        <v/>
      </c>
      <c r="E757">
        <f>'Календарь'!D12</f>
        <v/>
      </c>
      <c r="F757">
        <f>INT((C757-Нед_Начало)/7)+1</f>
        <v/>
      </c>
      <c r="G757">
        <f>IF(E757=0,0,INDEX('Планы менеджеров'!$B$5:$M$16,B757,D757)/INDEX(Мес_Раб,D757))</f>
        <v/>
      </c>
    </row>
    <row r="758">
      <c r="A758" t="inlineStr">
        <is>
          <t>Сидоров</t>
        </is>
      </c>
      <c r="B758" t="n">
        <v>7</v>
      </c>
      <c r="C758" s="18">
        <f>'Календарь'!A13</f>
        <v/>
      </c>
      <c r="D758">
        <f>MONTH(C758)</f>
        <v/>
      </c>
      <c r="E758">
        <f>'Календарь'!D13</f>
        <v/>
      </c>
      <c r="F758">
        <f>INT((C758-Нед_Начало)/7)+1</f>
        <v/>
      </c>
      <c r="G758">
        <f>IF(E758=0,0,INDEX('Планы менеджеров'!$B$5:$M$16,B758,D758)/INDEX(Мес_Раб,D758))</f>
        <v/>
      </c>
    </row>
    <row r="759">
      <c r="A759" t="inlineStr">
        <is>
          <t>Сидоров</t>
        </is>
      </c>
      <c r="B759" t="n">
        <v>7</v>
      </c>
      <c r="C759" s="18">
        <f>'Календарь'!A14</f>
        <v/>
      </c>
      <c r="D759">
        <f>MONTH(C759)</f>
        <v/>
      </c>
      <c r="E759">
        <f>'Календарь'!D14</f>
        <v/>
      </c>
      <c r="F759">
        <f>INT((C759-Нед_Начало)/7)+1</f>
        <v/>
      </c>
      <c r="G759">
        <f>IF(E759=0,0,INDEX('Планы менеджеров'!$B$5:$M$16,B759,D759)/INDEX(Мес_Раб,D759))</f>
        <v/>
      </c>
    </row>
    <row r="760">
      <c r="A760" t="inlineStr">
        <is>
          <t>Сидоров</t>
        </is>
      </c>
      <c r="B760" t="n">
        <v>7</v>
      </c>
      <c r="C760" s="18">
        <f>'Календарь'!A15</f>
        <v/>
      </c>
      <c r="D760">
        <f>MONTH(C760)</f>
        <v/>
      </c>
      <c r="E760">
        <f>'Календарь'!D15</f>
        <v/>
      </c>
      <c r="F760">
        <f>INT((C760-Нед_Начало)/7)+1</f>
        <v/>
      </c>
      <c r="G760">
        <f>IF(E760=0,0,INDEX('Планы менеджеров'!$B$5:$M$16,B760,D760)/INDEX(Мес_Раб,D760))</f>
        <v/>
      </c>
    </row>
    <row r="761">
      <c r="A761" t="inlineStr">
        <is>
          <t>Сидоров</t>
        </is>
      </c>
      <c r="B761" t="n">
        <v>7</v>
      </c>
      <c r="C761" s="18">
        <f>'Календарь'!A16</f>
        <v/>
      </c>
      <c r="D761">
        <f>MONTH(C761)</f>
        <v/>
      </c>
      <c r="E761">
        <f>'Календарь'!D16</f>
        <v/>
      </c>
      <c r="F761">
        <f>INT((C761-Нед_Начало)/7)+1</f>
        <v/>
      </c>
      <c r="G761">
        <f>IF(E761=0,0,INDEX('Планы менеджеров'!$B$5:$M$16,B761,D761)/INDEX(Мес_Раб,D761))</f>
        <v/>
      </c>
    </row>
    <row r="762">
      <c r="A762" t="inlineStr">
        <is>
          <t>Сидоров</t>
        </is>
      </c>
      <c r="B762" t="n">
        <v>7</v>
      </c>
      <c r="C762" s="18">
        <f>'Календарь'!A17</f>
        <v/>
      </c>
      <c r="D762">
        <f>MONTH(C762)</f>
        <v/>
      </c>
      <c r="E762">
        <f>'Календарь'!D17</f>
        <v/>
      </c>
      <c r="F762">
        <f>INT((C762-Нед_Начало)/7)+1</f>
        <v/>
      </c>
      <c r="G762">
        <f>IF(E762=0,0,INDEX('Планы менеджеров'!$B$5:$M$16,B762,D762)/INDEX(Мес_Раб,D762))</f>
        <v/>
      </c>
    </row>
    <row r="763">
      <c r="A763" t="inlineStr">
        <is>
          <t>Сидоров</t>
        </is>
      </c>
      <c r="B763" t="n">
        <v>7</v>
      </c>
      <c r="C763" s="18">
        <f>'Календарь'!A18</f>
        <v/>
      </c>
      <c r="D763">
        <f>MONTH(C763)</f>
        <v/>
      </c>
      <c r="E763">
        <f>'Календарь'!D18</f>
        <v/>
      </c>
      <c r="F763">
        <f>INT((C763-Нед_Начало)/7)+1</f>
        <v/>
      </c>
      <c r="G763">
        <f>IF(E763=0,0,INDEX('Планы менеджеров'!$B$5:$M$16,B763,D763)/INDEX(Мес_Раб,D763))</f>
        <v/>
      </c>
    </row>
    <row r="764">
      <c r="A764" t="inlineStr">
        <is>
          <t>Сидоров</t>
        </is>
      </c>
      <c r="B764" t="n">
        <v>7</v>
      </c>
      <c r="C764" s="18">
        <f>'Календарь'!A19</f>
        <v/>
      </c>
      <c r="D764">
        <f>MONTH(C764)</f>
        <v/>
      </c>
      <c r="E764">
        <f>'Календарь'!D19</f>
        <v/>
      </c>
      <c r="F764">
        <f>INT((C764-Нед_Начало)/7)+1</f>
        <v/>
      </c>
      <c r="G764">
        <f>IF(E764=0,0,INDEX('Планы менеджеров'!$B$5:$M$16,B764,D764)/INDEX(Мес_Раб,D764))</f>
        <v/>
      </c>
    </row>
    <row r="765">
      <c r="A765" t="inlineStr">
        <is>
          <t>Сидоров</t>
        </is>
      </c>
      <c r="B765" t="n">
        <v>7</v>
      </c>
      <c r="C765" s="18">
        <f>'Календарь'!A20</f>
        <v/>
      </c>
      <c r="D765">
        <f>MONTH(C765)</f>
        <v/>
      </c>
      <c r="E765">
        <f>'Календарь'!D20</f>
        <v/>
      </c>
      <c r="F765">
        <f>INT((C765-Нед_Начало)/7)+1</f>
        <v/>
      </c>
      <c r="G765">
        <f>IF(E765=0,0,INDEX('Планы менеджеров'!$B$5:$M$16,B765,D765)/INDEX(Мес_Раб,D765))</f>
        <v/>
      </c>
    </row>
    <row r="766">
      <c r="A766" t="inlineStr">
        <is>
          <t>Сидоров</t>
        </is>
      </c>
      <c r="B766" t="n">
        <v>7</v>
      </c>
      <c r="C766" s="18">
        <f>'Календарь'!A21</f>
        <v/>
      </c>
      <c r="D766">
        <f>MONTH(C766)</f>
        <v/>
      </c>
      <c r="E766">
        <f>'Календарь'!D21</f>
        <v/>
      </c>
      <c r="F766">
        <f>INT((C766-Нед_Начало)/7)+1</f>
        <v/>
      </c>
      <c r="G766">
        <f>IF(E766=0,0,INDEX('Планы менеджеров'!$B$5:$M$16,B766,D766)/INDEX(Мес_Раб,D766))</f>
        <v/>
      </c>
    </row>
    <row r="767">
      <c r="A767" t="inlineStr">
        <is>
          <t>Сидоров</t>
        </is>
      </c>
      <c r="B767" t="n">
        <v>7</v>
      </c>
      <c r="C767" s="18">
        <f>'Календарь'!A22</f>
        <v/>
      </c>
      <c r="D767">
        <f>MONTH(C767)</f>
        <v/>
      </c>
      <c r="E767">
        <f>'Календарь'!D22</f>
        <v/>
      </c>
      <c r="F767">
        <f>INT((C767-Нед_Начало)/7)+1</f>
        <v/>
      </c>
      <c r="G767">
        <f>IF(E767=0,0,INDEX('Планы менеджеров'!$B$5:$M$16,B767,D767)/INDEX(Мес_Раб,D767))</f>
        <v/>
      </c>
    </row>
    <row r="768">
      <c r="A768" t="inlineStr">
        <is>
          <t>Сидоров</t>
        </is>
      </c>
      <c r="B768" t="n">
        <v>7</v>
      </c>
      <c r="C768" s="18">
        <f>'Календарь'!A23</f>
        <v/>
      </c>
      <c r="D768">
        <f>MONTH(C768)</f>
        <v/>
      </c>
      <c r="E768">
        <f>'Календарь'!D23</f>
        <v/>
      </c>
      <c r="F768">
        <f>INT((C768-Нед_Начало)/7)+1</f>
        <v/>
      </c>
      <c r="G768">
        <f>IF(E768=0,0,INDEX('Планы менеджеров'!$B$5:$M$16,B768,D768)/INDEX(Мес_Раб,D768))</f>
        <v/>
      </c>
    </row>
    <row r="769">
      <c r="A769" t="inlineStr">
        <is>
          <t>Сидоров</t>
        </is>
      </c>
      <c r="B769" t="n">
        <v>7</v>
      </c>
      <c r="C769" s="18">
        <f>'Календарь'!A24</f>
        <v/>
      </c>
      <c r="D769">
        <f>MONTH(C769)</f>
        <v/>
      </c>
      <c r="E769">
        <f>'Календарь'!D24</f>
        <v/>
      </c>
      <c r="F769">
        <f>INT((C769-Нед_Начало)/7)+1</f>
        <v/>
      </c>
      <c r="G769">
        <f>IF(E769=0,0,INDEX('Планы менеджеров'!$B$5:$M$16,B769,D769)/INDEX(Мес_Раб,D769))</f>
        <v/>
      </c>
    </row>
    <row r="770">
      <c r="A770" t="inlineStr">
        <is>
          <t>Сидоров</t>
        </is>
      </c>
      <c r="B770" t="n">
        <v>7</v>
      </c>
      <c r="C770" s="18">
        <f>'Календарь'!A25</f>
        <v/>
      </c>
      <c r="D770">
        <f>MONTH(C770)</f>
        <v/>
      </c>
      <c r="E770">
        <f>'Календарь'!D25</f>
        <v/>
      </c>
      <c r="F770">
        <f>INT((C770-Нед_Начало)/7)+1</f>
        <v/>
      </c>
      <c r="G770">
        <f>IF(E770=0,0,INDEX('Планы менеджеров'!$B$5:$M$16,B770,D770)/INDEX(Мес_Раб,D770))</f>
        <v/>
      </c>
    </row>
    <row r="771">
      <c r="A771" t="inlineStr">
        <is>
          <t>Сидоров</t>
        </is>
      </c>
      <c r="B771" t="n">
        <v>7</v>
      </c>
      <c r="C771" s="18">
        <f>'Календарь'!A26</f>
        <v/>
      </c>
      <c r="D771">
        <f>MONTH(C771)</f>
        <v/>
      </c>
      <c r="E771">
        <f>'Календарь'!D26</f>
        <v/>
      </c>
      <c r="F771">
        <f>INT((C771-Нед_Начало)/7)+1</f>
        <v/>
      </c>
      <c r="G771">
        <f>IF(E771=0,0,INDEX('Планы менеджеров'!$B$5:$M$16,B771,D771)/INDEX(Мес_Раб,D771))</f>
        <v/>
      </c>
    </row>
    <row r="772">
      <c r="A772" t="inlineStr">
        <is>
          <t>Сидоров</t>
        </is>
      </c>
      <c r="B772" t="n">
        <v>7</v>
      </c>
      <c r="C772" s="18">
        <f>'Календарь'!A27</f>
        <v/>
      </c>
      <c r="D772">
        <f>MONTH(C772)</f>
        <v/>
      </c>
      <c r="E772">
        <f>'Календарь'!D27</f>
        <v/>
      </c>
      <c r="F772">
        <f>INT((C772-Нед_Начало)/7)+1</f>
        <v/>
      </c>
      <c r="G772">
        <f>IF(E772=0,0,INDEX('Планы менеджеров'!$B$5:$M$16,B772,D772)/INDEX(Мес_Раб,D772))</f>
        <v/>
      </c>
    </row>
    <row r="773">
      <c r="A773" t="inlineStr">
        <is>
          <t>Сидоров</t>
        </is>
      </c>
      <c r="B773" t="n">
        <v>7</v>
      </c>
      <c r="C773" s="18">
        <f>'Календарь'!A28</f>
        <v/>
      </c>
      <c r="D773">
        <f>MONTH(C773)</f>
        <v/>
      </c>
      <c r="E773">
        <f>'Календарь'!D28</f>
        <v/>
      </c>
      <c r="F773">
        <f>INT((C773-Нед_Начало)/7)+1</f>
        <v/>
      </c>
      <c r="G773">
        <f>IF(E773=0,0,INDEX('Планы менеджеров'!$B$5:$M$16,B773,D773)/INDEX(Мес_Раб,D773))</f>
        <v/>
      </c>
    </row>
    <row r="774">
      <c r="A774" t="inlineStr">
        <is>
          <t>Сидоров</t>
        </is>
      </c>
      <c r="B774" t="n">
        <v>7</v>
      </c>
      <c r="C774" s="18">
        <f>'Календарь'!A29</f>
        <v/>
      </c>
      <c r="D774">
        <f>MONTH(C774)</f>
        <v/>
      </c>
      <c r="E774">
        <f>'Календарь'!D29</f>
        <v/>
      </c>
      <c r="F774">
        <f>INT((C774-Нед_Начало)/7)+1</f>
        <v/>
      </c>
      <c r="G774">
        <f>IF(E774=0,0,INDEX('Планы менеджеров'!$B$5:$M$16,B774,D774)/INDEX(Мес_Раб,D774))</f>
        <v/>
      </c>
    </row>
    <row r="775">
      <c r="A775" t="inlineStr">
        <is>
          <t>Сидоров</t>
        </is>
      </c>
      <c r="B775" t="n">
        <v>7</v>
      </c>
      <c r="C775" s="18">
        <f>'Календарь'!A30</f>
        <v/>
      </c>
      <c r="D775">
        <f>MONTH(C775)</f>
        <v/>
      </c>
      <c r="E775">
        <f>'Календарь'!D30</f>
        <v/>
      </c>
      <c r="F775">
        <f>INT((C775-Нед_Начало)/7)+1</f>
        <v/>
      </c>
      <c r="G775">
        <f>IF(E775=0,0,INDEX('Планы менеджеров'!$B$5:$M$16,B775,D775)/INDEX(Мес_Раб,D775))</f>
        <v/>
      </c>
    </row>
    <row r="776">
      <c r="A776" t="inlineStr">
        <is>
          <t>Сидоров</t>
        </is>
      </c>
      <c r="B776" t="n">
        <v>7</v>
      </c>
      <c r="C776" s="18">
        <f>'Календарь'!A31</f>
        <v/>
      </c>
      <c r="D776">
        <f>MONTH(C776)</f>
        <v/>
      </c>
      <c r="E776">
        <f>'Календарь'!D31</f>
        <v/>
      </c>
      <c r="F776">
        <f>INT((C776-Нед_Начало)/7)+1</f>
        <v/>
      </c>
      <c r="G776">
        <f>IF(E776=0,0,INDEX('Планы менеджеров'!$B$5:$M$16,B776,D776)/INDEX(Мес_Раб,D776))</f>
        <v/>
      </c>
    </row>
    <row r="777">
      <c r="A777" t="inlineStr">
        <is>
          <t>Сидоров</t>
        </is>
      </c>
      <c r="B777" t="n">
        <v>7</v>
      </c>
      <c r="C777" s="18">
        <f>'Календарь'!A32</f>
        <v/>
      </c>
      <c r="D777">
        <f>MONTH(C777)</f>
        <v/>
      </c>
      <c r="E777">
        <f>'Календарь'!D32</f>
        <v/>
      </c>
      <c r="F777">
        <f>INT((C777-Нед_Начало)/7)+1</f>
        <v/>
      </c>
      <c r="G777">
        <f>IF(E777=0,0,INDEX('Планы менеджеров'!$B$5:$M$16,B777,D777)/INDEX(Мес_Раб,D777))</f>
        <v/>
      </c>
    </row>
    <row r="778">
      <c r="A778" t="inlineStr">
        <is>
          <t>Сидоров</t>
        </is>
      </c>
      <c r="B778" t="n">
        <v>7</v>
      </c>
      <c r="C778" s="18">
        <f>'Календарь'!A33</f>
        <v/>
      </c>
      <c r="D778">
        <f>MONTH(C778)</f>
        <v/>
      </c>
      <c r="E778">
        <f>'Календарь'!D33</f>
        <v/>
      </c>
      <c r="F778">
        <f>INT((C778-Нед_Начало)/7)+1</f>
        <v/>
      </c>
      <c r="G778">
        <f>IF(E778=0,0,INDEX('Планы менеджеров'!$B$5:$M$16,B778,D778)/INDEX(Мес_Раб,D778))</f>
        <v/>
      </c>
    </row>
    <row r="779">
      <c r="A779" t="inlineStr">
        <is>
          <t>Сидоров</t>
        </is>
      </c>
      <c r="B779" t="n">
        <v>7</v>
      </c>
      <c r="C779" s="18">
        <f>'Календарь'!A34</f>
        <v/>
      </c>
      <c r="D779">
        <f>MONTH(C779)</f>
        <v/>
      </c>
      <c r="E779">
        <f>'Календарь'!D34</f>
        <v/>
      </c>
      <c r="F779">
        <f>INT((C779-Нед_Начало)/7)+1</f>
        <v/>
      </c>
      <c r="G779">
        <f>IF(E779=0,0,INDEX('Планы менеджеров'!$B$5:$M$16,B779,D779)/INDEX(Мес_Раб,D779))</f>
        <v/>
      </c>
    </row>
    <row r="780">
      <c r="A780" t="inlineStr">
        <is>
          <t>Сидоров</t>
        </is>
      </c>
      <c r="B780" t="n">
        <v>7</v>
      </c>
      <c r="C780" s="18">
        <f>'Календарь'!A35</f>
        <v/>
      </c>
      <c r="D780">
        <f>MONTH(C780)</f>
        <v/>
      </c>
      <c r="E780">
        <f>'Календарь'!D35</f>
        <v/>
      </c>
      <c r="F780">
        <f>INT((C780-Нед_Начало)/7)+1</f>
        <v/>
      </c>
      <c r="G780">
        <f>IF(E780=0,0,INDEX('Планы менеджеров'!$B$5:$M$16,B780,D780)/INDEX(Мес_Раб,D780))</f>
        <v/>
      </c>
    </row>
    <row r="781">
      <c r="A781" t="inlineStr">
        <is>
          <t>Сидоров</t>
        </is>
      </c>
      <c r="B781" t="n">
        <v>7</v>
      </c>
      <c r="C781" s="18">
        <f>'Календарь'!A36</f>
        <v/>
      </c>
      <c r="D781">
        <f>MONTH(C781)</f>
        <v/>
      </c>
      <c r="E781">
        <f>'Календарь'!D36</f>
        <v/>
      </c>
      <c r="F781">
        <f>INT((C781-Нед_Начало)/7)+1</f>
        <v/>
      </c>
      <c r="G781">
        <f>IF(E781=0,0,INDEX('Планы менеджеров'!$B$5:$M$16,B781,D781)/INDEX(Мес_Раб,D781))</f>
        <v/>
      </c>
    </row>
    <row r="782">
      <c r="A782" t="inlineStr">
        <is>
          <t>Сидоров</t>
        </is>
      </c>
      <c r="B782" t="n">
        <v>7</v>
      </c>
      <c r="C782" s="18">
        <f>'Календарь'!A37</f>
        <v/>
      </c>
      <c r="D782">
        <f>MONTH(C782)</f>
        <v/>
      </c>
      <c r="E782">
        <f>'Календарь'!D37</f>
        <v/>
      </c>
      <c r="F782">
        <f>INT((C782-Нед_Начало)/7)+1</f>
        <v/>
      </c>
      <c r="G782">
        <f>IF(E782=0,0,INDEX('Планы менеджеров'!$B$5:$M$16,B782,D782)/INDEX(Мес_Раб,D782))</f>
        <v/>
      </c>
    </row>
    <row r="783">
      <c r="A783" t="inlineStr">
        <is>
          <t>Сидоров</t>
        </is>
      </c>
      <c r="B783" t="n">
        <v>7</v>
      </c>
      <c r="C783" s="18">
        <f>'Календарь'!A38</f>
        <v/>
      </c>
      <c r="D783">
        <f>MONTH(C783)</f>
        <v/>
      </c>
      <c r="E783">
        <f>'Календарь'!D38</f>
        <v/>
      </c>
      <c r="F783">
        <f>INT((C783-Нед_Начало)/7)+1</f>
        <v/>
      </c>
      <c r="G783">
        <f>IF(E783=0,0,INDEX('Планы менеджеров'!$B$5:$M$16,B783,D783)/INDEX(Мес_Раб,D783))</f>
        <v/>
      </c>
    </row>
    <row r="784">
      <c r="A784" t="inlineStr">
        <is>
          <t>Сидоров</t>
        </is>
      </c>
      <c r="B784" t="n">
        <v>7</v>
      </c>
      <c r="C784" s="18">
        <f>'Календарь'!A39</f>
        <v/>
      </c>
      <c r="D784">
        <f>MONTH(C784)</f>
        <v/>
      </c>
      <c r="E784">
        <f>'Календарь'!D39</f>
        <v/>
      </c>
      <c r="F784">
        <f>INT((C784-Нед_Начало)/7)+1</f>
        <v/>
      </c>
      <c r="G784">
        <f>IF(E784=0,0,INDEX('Планы менеджеров'!$B$5:$M$16,B784,D784)/INDEX(Мес_Раб,D784))</f>
        <v/>
      </c>
    </row>
    <row r="785">
      <c r="A785" t="inlineStr">
        <is>
          <t>Сидоров</t>
        </is>
      </c>
      <c r="B785" t="n">
        <v>7</v>
      </c>
      <c r="C785" s="18">
        <f>'Календарь'!A40</f>
        <v/>
      </c>
      <c r="D785">
        <f>MONTH(C785)</f>
        <v/>
      </c>
      <c r="E785">
        <f>'Календарь'!D40</f>
        <v/>
      </c>
      <c r="F785">
        <f>INT((C785-Нед_Начало)/7)+1</f>
        <v/>
      </c>
      <c r="G785">
        <f>IF(E785=0,0,INDEX('Планы менеджеров'!$B$5:$M$16,B785,D785)/INDEX(Мес_Раб,D785))</f>
        <v/>
      </c>
    </row>
    <row r="786">
      <c r="A786" t="inlineStr">
        <is>
          <t>Сидоров</t>
        </is>
      </c>
      <c r="B786" t="n">
        <v>7</v>
      </c>
      <c r="C786" s="18">
        <f>'Календарь'!A41</f>
        <v/>
      </c>
      <c r="D786">
        <f>MONTH(C786)</f>
        <v/>
      </c>
      <c r="E786">
        <f>'Календарь'!D41</f>
        <v/>
      </c>
      <c r="F786">
        <f>INT((C786-Нед_Начало)/7)+1</f>
        <v/>
      </c>
      <c r="G786">
        <f>IF(E786=0,0,INDEX('Планы менеджеров'!$B$5:$M$16,B786,D786)/INDEX(Мес_Раб,D786))</f>
        <v/>
      </c>
    </row>
    <row r="787">
      <c r="A787" t="inlineStr">
        <is>
          <t>Сидоров</t>
        </is>
      </c>
      <c r="B787" t="n">
        <v>7</v>
      </c>
      <c r="C787" s="18">
        <f>'Календарь'!A42</f>
        <v/>
      </c>
      <c r="D787">
        <f>MONTH(C787)</f>
        <v/>
      </c>
      <c r="E787">
        <f>'Календарь'!D42</f>
        <v/>
      </c>
      <c r="F787">
        <f>INT((C787-Нед_Начало)/7)+1</f>
        <v/>
      </c>
      <c r="G787">
        <f>IF(E787=0,0,INDEX('Планы менеджеров'!$B$5:$M$16,B787,D787)/INDEX(Мес_Раб,D787))</f>
        <v/>
      </c>
    </row>
    <row r="788">
      <c r="A788" t="inlineStr">
        <is>
          <t>Сидоров</t>
        </is>
      </c>
      <c r="B788" t="n">
        <v>7</v>
      </c>
      <c r="C788" s="18">
        <f>'Календарь'!A43</f>
        <v/>
      </c>
      <c r="D788">
        <f>MONTH(C788)</f>
        <v/>
      </c>
      <c r="E788">
        <f>'Календарь'!D43</f>
        <v/>
      </c>
      <c r="F788">
        <f>INT((C788-Нед_Начало)/7)+1</f>
        <v/>
      </c>
      <c r="G788">
        <f>IF(E788=0,0,INDEX('Планы менеджеров'!$B$5:$M$16,B788,D788)/INDEX(Мес_Раб,D788))</f>
        <v/>
      </c>
    </row>
    <row r="789">
      <c r="A789" t="inlineStr">
        <is>
          <t>Сидоров</t>
        </is>
      </c>
      <c r="B789" t="n">
        <v>7</v>
      </c>
      <c r="C789" s="18">
        <f>'Календарь'!A44</f>
        <v/>
      </c>
      <c r="D789">
        <f>MONTH(C789)</f>
        <v/>
      </c>
      <c r="E789">
        <f>'Календарь'!D44</f>
        <v/>
      </c>
      <c r="F789">
        <f>INT((C789-Нед_Начало)/7)+1</f>
        <v/>
      </c>
      <c r="G789">
        <f>IF(E789=0,0,INDEX('Планы менеджеров'!$B$5:$M$16,B789,D789)/INDEX(Мес_Раб,D789))</f>
        <v/>
      </c>
    </row>
    <row r="790">
      <c r="A790" t="inlineStr">
        <is>
          <t>Сидоров</t>
        </is>
      </c>
      <c r="B790" t="n">
        <v>7</v>
      </c>
      <c r="C790" s="18">
        <f>'Календарь'!A45</f>
        <v/>
      </c>
      <c r="D790">
        <f>MONTH(C790)</f>
        <v/>
      </c>
      <c r="E790">
        <f>'Календарь'!D45</f>
        <v/>
      </c>
      <c r="F790">
        <f>INT((C790-Нед_Начало)/7)+1</f>
        <v/>
      </c>
      <c r="G790">
        <f>IF(E790=0,0,INDEX('Планы менеджеров'!$B$5:$M$16,B790,D790)/INDEX(Мес_Раб,D790))</f>
        <v/>
      </c>
    </row>
    <row r="791">
      <c r="A791" t="inlineStr">
        <is>
          <t>Сидоров</t>
        </is>
      </c>
      <c r="B791" t="n">
        <v>7</v>
      </c>
      <c r="C791" s="18">
        <f>'Календарь'!A46</f>
        <v/>
      </c>
      <c r="D791">
        <f>MONTH(C791)</f>
        <v/>
      </c>
      <c r="E791">
        <f>'Календарь'!D46</f>
        <v/>
      </c>
      <c r="F791">
        <f>INT((C791-Нед_Начало)/7)+1</f>
        <v/>
      </c>
      <c r="G791">
        <f>IF(E791=0,0,INDEX('Планы менеджеров'!$B$5:$M$16,B791,D791)/INDEX(Мес_Раб,D791))</f>
        <v/>
      </c>
    </row>
    <row r="792">
      <c r="A792" t="inlineStr">
        <is>
          <t>Сидоров</t>
        </is>
      </c>
      <c r="B792" t="n">
        <v>7</v>
      </c>
      <c r="C792" s="18">
        <f>'Календарь'!A47</f>
        <v/>
      </c>
      <c r="D792">
        <f>MONTH(C792)</f>
        <v/>
      </c>
      <c r="E792">
        <f>'Календарь'!D47</f>
        <v/>
      </c>
      <c r="F792">
        <f>INT((C792-Нед_Начало)/7)+1</f>
        <v/>
      </c>
      <c r="G792">
        <f>IF(E792=0,0,INDEX('Планы менеджеров'!$B$5:$M$16,B792,D792)/INDEX(Мес_Раб,D792))</f>
        <v/>
      </c>
    </row>
    <row r="793">
      <c r="A793" t="inlineStr">
        <is>
          <t>Сидоров</t>
        </is>
      </c>
      <c r="B793" t="n">
        <v>7</v>
      </c>
      <c r="C793" s="18">
        <f>'Календарь'!A48</f>
        <v/>
      </c>
      <c r="D793">
        <f>MONTH(C793)</f>
        <v/>
      </c>
      <c r="E793">
        <f>'Календарь'!D48</f>
        <v/>
      </c>
      <c r="F793">
        <f>INT((C793-Нед_Начало)/7)+1</f>
        <v/>
      </c>
      <c r="G793">
        <f>IF(E793=0,0,INDEX('Планы менеджеров'!$B$5:$M$16,B793,D793)/INDEX(Мес_Раб,D793))</f>
        <v/>
      </c>
    </row>
    <row r="794">
      <c r="A794" t="inlineStr">
        <is>
          <t>Сидоров</t>
        </is>
      </c>
      <c r="B794" t="n">
        <v>7</v>
      </c>
      <c r="C794" s="18">
        <f>'Календарь'!A49</f>
        <v/>
      </c>
      <c r="D794">
        <f>MONTH(C794)</f>
        <v/>
      </c>
      <c r="E794">
        <f>'Календарь'!D49</f>
        <v/>
      </c>
      <c r="F794">
        <f>INT((C794-Нед_Начало)/7)+1</f>
        <v/>
      </c>
      <c r="G794">
        <f>IF(E794=0,0,INDEX('Планы менеджеров'!$B$5:$M$16,B794,D794)/INDEX(Мес_Раб,D794))</f>
        <v/>
      </c>
    </row>
    <row r="795">
      <c r="A795" t="inlineStr">
        <is>
          <t>Сидоров</t>
        </is>
      </c>
      <c r="B795" t="n">
        <v>7</v>
      </c>
      <c r="C795" s="18">
        <f>'Календарь'!A50</f>
        <v/>
      </c>
      <c r="D795">
        <f>MONTH(C795)</f>
        <v/>
      </c>
      <c r="E795">
        <f>'Календарь'!D50</f>
        <v/>
      </c>
      <c r="F795">
        <f>INT((C795-Нед_Начало)/7)+1</f>
        <v/>
      </c>
      <c r="G795">
        <f>IF(E795=0,0,INDEX('Планы менеджеров'!$B$5:$M$16,B795,D795)/INDEX(Мес_Раб,D795))</f>
        <v/>
      </c>
    </row>
    <row r="796">
      <c r="A796" t="inlineStr">
        <is>
          <t>Сидоров</t>
        </is>
      </c>
      <c r="B796" t="n">
        <v>7</v>
      </c>
      <c r="C796" s="18">
        <f>'Календарь'!A51</f>
        <v/>
      </c>
      <c r="D796">
        <f>MONTH(C796)</f>
        <v/>
      </c>
      <c r="E796">
        <f>'Календарь'!D51</f>
        <v/>
      </c>
      <c r="F796">
        <f>INT((C796-Нед_Начало)/7)+1</f>
        <v/>
      </c>
      <c r="G796">
        <f>IF(E796=0,0,INDEX('Планы менеджеров'!$B$5:$M$16,B796,D796)/INDEX(Мес_Раб,D796))</f>
        <v/>
      </c>
    </row>
    <row r="797">
      <c r="A797" t="inlineStr">
        <is>
          <t>Сидоров</t>
        </is>
      </c>
      <c r="B797" t="n">
        <v>7</v>
      </c>
      <c r="C797" s="18">
        <f>'Календарь'!A52</f>
        <v/>
      </c>
      <c r="D797">
        <f>MONTH(C797)</f>
        <v/>
      </c>
      <c r="E797">
        <f>'Календарь'!D52</f>
        <v/>
      </c>
      <c r="F797">
        <f>INT((C797-Нед_Начало)/7)+1</f>
        <v/>
      </c>
      <c r="G797">
        <f>IF(E797=0,0,INDEX('Планы менеджеров'!$B$5:$M$16,B797,D797)/INDEX(Мес_Раб,D797))</f>
        <v/>
      </c>
    </row>
    <row r="798">
      <c r="A798" t="inlineStr">
        <is>
          <t>Сидоров</t>
        </is>
      </c>
      <c r="B798" t="n">
        <v>7</v>
      </c>
      <c r="C798" s="18">
        <f>'Календарь'!A53</f>
        <v/>
      </c>
      <c r="D798">
        <f>MONTH(C798)</f>
        <v/>
      </c>
      <c r="E798">
        <f>'Календарь'!D53</f>
        <v/>
      </c>
      <c r="F798">
        <f>INT((C798-Нед_Начало)/7)+1</f>
        <v/>
      </c>
      <c r="G798">
        <f>IF(E798=0,0,INDEX('Планы менеджеров'!$B$5:$M$16,B798,D798)/INDEX(Мес_Раб,D798))</f>
        <v/>
      </c>
    </row>
    <row r="799">
      <c r="A799" t="inlineStr">
        <is>
          <t>Сидоров</t>
        </is>
      </c>
      <c r="B799" t="n">
        <v>7</v>
      </c>
      <c r="C799" s="18">
        <f>'Календарь'!A54</f>
        <v/>
      </c>
      <c r="D799">
        <f>MONTH(C799)</f>
        <v/>
      </c>
      <c r="E799">
        <f>'Календарь'!D54</f>
        <v/>
      </c>
      <c r="F799">
        <f>INT((C799-Нед_Начало)/7)+1</f>
        <v/>
      </c>
      <c r="G799">
        <f>IF(E799=0,0,INDEX('Планы менеджеров'!$B$5:$M$16,B799,D799)/INDEX(Мес_Раб,D799))</f>
        <v/>
      </c>
    </row>
    <row r="800">
      <c r="A800" t="inlineStr">
        <is>
          <t>Сидоров</t>
        </is>
      </c>
      <c r="B800" t="n">
        <v>7</v>
      </c>
      <c r="C800" s="18">
        <f>'Календарь'!A55</f>
        <v/>
      </c>
      <c r="D800">
        <f>MONTH(C800)</f>
        <v/>
      </c>
      <c r="E800">
        <f>'Календарь'!D55</f>
        <v/>
      </c>
      <c r="F800">
        <f>INT((C800-Нед_Начало)/7)+1</f>
        <v/>
      </c>
      <c r="G800">
        <f>IF(E800=0,0,INDEX('Планы менеджеров'!$B$5:$M$16,B800,D800)/INDEX(Мес_Раб,D800))</f>
        <v/>
      </c>
    </row>
    <row r="801">
      <c r="A801" t="inlineStr">
        <is>
          <t>Сидоров</t>
        </is>
      </c>
      <c r="B801" t="n">
        <v>7</v>
      </c>
      <c r="C801" s="18">
        <f>'Календарь'!A56</f>
        <v/>
      </c>
      <c r="D801">
        <f>MONTH(C801)</f>
        <v/>
      </c>
      <c r="E801">
        <f>'Календарь'!D56</f>
        <v/>
      </c>
      <c r="F801">
        <f>INT((C801-Нед_Начало)/7)+1</f>
        <v/>
      </c>
      <c r="G801">
        <f>IF(E801=0,0,INDEX('Планы менеджеров'!$B$5:$M$16,B801,D801)/INDEX(Мес_Раб,D801))</f>
        <v/>
      </c>
    </row>
    <row r="802">
      <c r="A802" t="inlineStr">
        <is>
          <t>Сидоров</t>
        </is>
      </c>
      <c r="B802" t="n">
        <v>7</v>
      </c>
      <c r="C802" s="18">
        <f>'Календарь'!A57</f>
        <v/>
      </c>
      <c r="D802">
        <f>MONTH(C802)</f>
        <v/>
      </c>
      <c r="E802">
        <f>'Календарь'!D57</f>
        <v/>
      </c>
      <c r="F802">
        <f>INT((C802-Нед_Начало)/7)+1</f>
        <v/>
      </c>
      <c r="G802">
        <f>IF(E802=0,0,INDEX('Планы менеджеров'!$B$5:$M$16,B802,D802)/INDEX(Мес_Раб,D802))</f>
        <v/>
      </c>
    </row>
    <row r="803">
      <c r="A803" t="inlineStr">
        <is>
          <t>Сидоров</t>
        </is>
      </c>
      <c r="B803" t="n">
        <v>7</v>
      </c>
      <c r="C803" s="18">
        <f>'Календарь'!A58</f>
        <v/>
      </c>
      <c r="D803">
        <f>MONTH(C803)</f>
        <v/>
      </c>
      <c r="E803">
        <f>'Календарь'!D58</f>
        <v/>
      </c>
      <c r="F803">
        <f>INT((C803-Нед_Начало)/7)+1</f>
        <v/>
      </c>
      <c r="G803">
        <f>IF(E803=0,0,INDEX('Планы менеджеров'!$B$5:$M$16,B803,D803)/INDEX(Мес_Раб,D803))</f>
        <v/>
      </c>
    </row>
    <row r="804">
      <c r="A804" t="inlineStr">
        <is>
          <t>Сидоров</t>
        </is>
      </c>
      <c r="B804" t="n">
        <v>7</v>
      </c>
      <c r="C804" s="18">
        <f>'Календарь'!A59</f>
        <v/>
      </c>
      <c r="D804">
        <f>MONTH(C804)</f>
        <v/>
      </c>
      <c r="E804">
        <f>'Календарь'!D59</f>
        <v/>
      </c>
      <c r="F804">
        <f>INT((C804-Нед_Начало)/7)+1</f>
        <v/>
      </c>
      <c r="G804">
        <f>IF(E804=0,0,INDEX('Планы менеджеров'!$B$5:$M$16,B804,D804)/INDEX(Мес_Раб,D804))</f>
        <v/>
      </c>
    </row>
    <row r="805">
      <c r="A805" t="inlineStr">
        <is>
          <t>Сидоров</t>
        </is>
      </c>
      <c r="B805" t="n">
        <v>7</v>
      </c>
      <c r="C805" s="18">
        <f>'Календарь'!A60</f>
        <v/>
      </c>
      <c r="D805">
        <f>MONTH(C805)</f>
        <v/>
      </c>
      <c r="E805">
        <f>'Календарь'!D60</f>
        <v/>
      </c>
      <c r="F805">
        <f>INT((C805-Нед_Начало)/7)+1</f>
        <v/>
      </c>
      <c r="G805">
        <f>IF(E805=0,0,INDEX('Планы менеджеров'!$B$5:$M$16,B805,D805)/INDEX(Мес_Раб,D805))</f>
        <v/>
      </c>
    </row>
    <row r="806">
      <c r="A806" t="inlineStr">
        <is>
          <t>Сидоров</t>
        </is>
      </c>
      <c r="B806" t="n">
        <v>7</v>
      </c>
      <c r="C806" s="18">
        <f>'Календарь'!A61</f>
        <v/>
      </c>
      <c r="D806">
        <f>MONTH(C806)</f>
        <v/>
      </c>
      <c r="E806">
        <f>'Календарь'!D61</f>
        <v/>
      </c>
      <c r="F806">
        <f>INT((C806-Нед_Начало)/7)+1</f>
        <v/>
      </c>
      <c r="G806">
        <f>IF(E806=0,0,INDEX('Планы менеджеров'!$B$5:$M$16,B806,D806)/INDEX(Мес_Раб,D806))</f>
        <v/>
      </c>
    </row>
    <row r="807">
      <c r="A807" t="inlineStr">
        <is>
          <t>Сидоров</t>
        </is>
      </c>
      <c r="B807" t="n">
        <v>7</v>
      </c>
      <c r="C807" s="18">
        <f>'Календарь'!A62</f>
        <v/>
      </c>
      <c r="D807">
        <f>MONTH(C807)</f>
        <v/>
      </c>
      <c r="E807">
        <f>'Календарь'!D62</f>
        <v/>
      </c>
      <c r="F807">
        <f>INT((C807-Нед_Начало)/7)+1</f>
        <v/>
      </c>
      <c r="G807">
        <f>IF(E807=0,0,INDEX('Планы менеджеров'!$B$5:$M$16,B807,D807)/INDEX(Мес_Раб,D807))</f>
        <v/>
      </c>
    </row>
    <row r="808">
      <c r="A808" t="inlineStr">
        <is>
          <t>Сидоров</t>
        </is>
      </c>
      <c r="B808" t="n">
        <v>7</v>
      </c>
      <c r="C808" s="18">
        <f>'Календарь'!A63</f>
        <v/>
      </c>
      <c r="D808">
        <f>MONTH(C808)</f>
        <v/>
      </c>
      <c r="E808">
        <f>'Календарь'!D63</f>
        <v/>
      </c>
      <c r="F808">
        <f>INT((C808-Нед_Начало)/7)+1</f>
        <v/>
      </c>
      <c r="G808">
        <f>IF(E808=0,0,INDEX('Планы менеджеров'!$B$5:$M$16,B808,D808)/INDEX(Мес_Раб,D808))</f>
        <v/>
      </c>
    </row>
    <row r="809">
      <c r="A809" t="inlineStr">
        <is>
          <t>Сидоров</t>
        </is>
      </c>
      <c r="B809" t="n">
        <v>7</v>
      </c>
      <c r="C809" s="18">
        <f>'Календарь'!A64</f>
        <v/>
      </c>
      <c r="D809">
        <f>MONTH(C809)</f>
        <v/>
      </c>
      <c r="E809">
        <f>'Календарь'!D64</f>
        <v/>
      </c>
      <c r="F809">
        <f>INT((C809-Нед_Начало)/7)+1</f>
        <v/>
      </c>
      <c r="G809">
        <f>IF(E809=0,0,INDEX('Планы менеджеров'!$B$5:$M$16,B809,D809)/INDEX(Мес_Раб,D809))</f>
        <v/>
      </c>
    </row>
    <row r="810">
      <c r="A810" t="inlineStr">
        <is>
          <t>Сидоров</t>
        </is>
      </c>
      <c r="B810" t="n">
        <v>7</v>
      </c>
      <c r="C810" s="18">
        <f>'Календарь'!A65</f>
        <v/>
      </c>
      <c r="D810">
        <f>MONTH(C810)</f>
        <v/>
      </c>
      <c r="E810">
        <f>'Календарь'!D65</f>
        <v/>
      </c>
      <c r="F810">
        <f>INT((C810-Нед_Начало)/7)+1</f>
        <v/>
      </c>
      <c r="G810">
        <f>IF(E810=0,0,INDEX('Планы менеджеров'!$B$5:$M$16,B810,D810)/INDEX(Мес_Раб,D810))</f>
        <v/>
      </c>
    </row>
    <row r="811">
      <c r="A811" t="inlineStr">
        <is>
          <t>Сидоров</t>
        </is>
      </c>
      <c r="B811" t="n">
        <v>7</v>
      </c>
      <c r="C811" s="18">
        <f>'Календарь'!A66</f>
        <v/>
      </c>
      <c r="D811">
        <f>MONTH(C811)</f>
        <v/>
      </c>
      <c r="E811">
        <f>'Календарь'!D66</f>
        <v/>
      </c>
      <c r="F811">
        <f>INT((C811-Нед_Начало)/7)+1</f>
        <v/>
      </c>
      <c r="G811">
        <f>IF(E811=0,0,INDEX('Планы менеджеров'!$B$5:$M$16,B811,D811)/INDEX(Мес_Раб,D811))</f>
        <v/>
      </c>
    </row>
    <row r="812">
      <c r="A812" t="inlineStr">
        <is>
          <t>Сидоров</t>
        </is>
      </c>
      <c r="B812" t="n">
        <v>7</v>
      </c>
      <c r="C812" s="18">
        <f>'Календарь'!A67</f>
        <v/>
      </c>
      <c r="D812">
        <f>MONTH(C812)</f>
        <v/>
      </c>
      <c r="E812">
        <f>'Календарь'!D67</f>
        <v/>
      </c>
      <c r="F812">
        <f>INT((C812-Нед_Начало)/7)+1</f>
        <v/>
      </c>
      <c r="G812">
        <f>IF(E812=0,0,INDEX('Планы менеджеров'!$B$5:$M$16,B812,D812)/INDEX(Мес_Раб,D812))</f>
        <v/>
      </c>
    </row>
    <row r="813">
      <c r="A813" t="inlineStr">
        <is>
          <t>Сидоров</t>
        </is>
      </c>
      <c r="B813" t="n">
        <v>7</v>
      </c>
      <c r="C813" s="18">
        <f>'Календарь'!A68</f>
        <v/>
      </c>
      <c r="D813">
        <f>MONTH(C813)</f>
        <v/>
      </c>
      <c r="E813">
        <f>'Календарь'!D68</f>
        <v/>
      </c>
      <c r="F813">
        <f>INT((C813-Нед_Начало)/7)+1</f>
        <v/>
      </c>
      <c r="G813">
        <f>IF(E813=0,0,INDEX('Планы менеджеров'!$B$5:$M$16,B813,D813)/INDEX(Мес_Раб,D813))</f>
        <v/>
      </c>
    </row>
    <row r="814">
      <c r="A814" t="inlineStr">
        <is>
          <t>Сидоров</t>
        </is>
      </c>
      <c r="B814" t="n">
        <v>7</v>
      </c>
      <c r="C814" s="18">
        <f>'Календарь'!A69</f>
        <v/>
      </c>
      <c r="D814">
        <f>MONTH(C814)</f>
        <v/>
      </c>
      <c r="E814">
        <f>'Календарь'!D69</f>
        <v/>
      </c>
      <c r="F814">
        <f>INT((C814-Нед_Начало)/7)+1</f>
        <v/>
      </c>
      <c r="G814">
        <f>IF(E814=0,0,INDEX('Планы менеджеров'!$B$5:$M$16,B814,D814)/INDEX(Мес_Раб,D814))</f>
        <v/>
      </c>
    </row>
    <row r="815">
      <c r="A815" t="inlineStr">
        <is>
          <t>Сидоров</t>
        </is>
      </c>
      <c r="B815" t="n">
        <v>7</v>
      </c>
      <c r="C815" s="18">
        <f>'Календарь'!A70</f>
        <v/>
      </c>
      <c r="D815">
        <f>MONTH(C815)</f>
        <v/>
      </c>
      <c r="E815">
        <f>'Календарь'!D70</f>
        <v/>
      </c>
      <c r="F815">
        <f>INT((C815-Нед_Начало)/7)+1</f>
        <v/>
      </c>
      <c r="G815">
        <f>IF(E815=0,0,INDEX('Планы менеджеров'!$B$5:$M$16,B815,D815)/INDEX(Мес_Раб,D815))</f>
        <v/>
      </c>
    </row>
    <row r="816">
      <c r="A816" t="inlineStr">
        <is>
          <t>Сидоров</t>
        </is>
      </c>
      <c r="B816" t="n">
        <v>7</v>
      </c>
      <c r="C816" s="18">
        <f>'Календарь'!A71</f>
        <v/>
      </c>
      <c r="D816">
        <f>MONTH(C816)</f>
        <v/>
      </c>
      <c r="E816">
        <f>'Календарь'!D71</f>
        <v/>
      </c>
      <c r="F816">
        <f>INT((C816-Нед_Начало)/7)+1</f>
        <v/>
      </c>
      <c r="G816">
        <f>IF(E816=0,0,INDEX('Планы менеджеров'!$B$5:$M$16,B816,D816)/INDEX(Мес_Раб,D816))</f>
        <v/>
      </c>
    </row>
    <row r="817">
      <c r="A817" t="inlineStr">
        <is>
          <t>Сидоров</t>
        </is>
      </c>
      <c r="B817" t="n">
        <v>7</v>
      </c>
      <c r="C817" s="18">
        <f>'Календарь'!A72</f>
        <v/>
      </c>
      <c r="D817">
        <f>MONTH(C817)</f>
        <v/>
      </c>
      <c r="E817">
        <f>'Календарь'!D72</f>
        <v/>
      </c>
      <c r="F817">
        <f>INT((C817-Нед_Начало)/7)+1</f>
        <v/>
      </c>
      <c r="G817">
        <f>IF(E817=0,0,INDEX('Планы менеджеров'!$B$5:$M$16,B817,D817)/INDEX(Мес_Раб,D817))</f>
        <v/>
      </c>
    </row>
    <row r="818">
      <c r="A818" t="inlineStr">
        <is>
          <t>Сидоров</t>
        </is>
      </c>
      <c r="B818" t="n">
        <v>7</v>
      </c>
      <c r="C818" s="18">
        <f>'Календарь'!A73</f>
        <v/>
      </c>
      <c r="D818">
        <f>MONTH(C818)</f>
        <v/>
      </c>
      <c r="E818">
        <f>'Календарь'!D73</f>
        <v/>
      </c>
      <c r="F818">
        <f>INT((C818-Нед_Начало)/7)+1</f>
        <v/>
      </c>
      <c r="G818">
        <f>IF(E818=0,0,INDEX('Планы менеджеров'!$B$5:$M$16,B818,D818)/INDEX(Мес_Раб,D818))</f>
        <v/>
      </c>
    </row>
    <row r="819">
      <c r="A819" t="inlineStr">
        <is>
          <t>Сидоров</t>
        </is>
      </c>
      <c r="B819" t="n">
        <v>7</v>
      </c>
      <c r="C819" s="18">
        <f>'Календарь'!A74</f>
        <v/>
      </c>
      <c r="D819">
        <f>MONTH(C819)</f>
        <v/>
      </c>
      <c r="E819">
        <f>'Календарь'!D74</f>
        <v/>
      </c>
      <c r="F819">
        <f>INT((C819-Нед_Начало)/7)+1</f>
        <v/>
      </c>
      <c r="G819">
        <f>IF(E819=0,0,INDEX('Планы менеджеров'!$B$5:$M$16,B819,D819)/INDEX(Мес_Раб,D819))</f>
        <v/>
      </c>
    </row>
    <row r="820">
      <c r="A820" t="inlineStr">
        <is>
          <t>Сидоров</t>
        </is>
      </c>
      <c r="B820" t="n">
        <v>7</v>
      </c>
      <c r="C820" s="18">
        <f>'Календарь'!A75</f>
        <v/>
      </c>
      <c r="D820">
        <f>MONTH(C820)</f>
        <v/>
      </c>
      <c r="E820">
        <f>'Календарь'!D75</f>
        <v/>
      </c>
      <c r="F820">
        <f>INT((C820-Нед_Начало)/7)+1</f>
        <v/>
      </c>
      <c r="G820">
        <f>IF(E820=0,0,INDEX('Планы менеджеров'!$B$5:$M$16,B820,D820)/INDEX(Мес_Раб,D820))</f>
        <v/>
      </c>
    </row>
    <row r="821">
      <c r="A821" t="inlineStr">
        <is>
          <t>Сидоров</t>
        </is>
      </c>
      <c r="B821" t="n">
        <v>7</v>
      </c>
      <c r="C821" s="18">
        <f>'Календарь'!A76</f>
        <v/>
      </c>
      <c r="D821">
        <f>MONTH(C821)</f>
        <v/>
      </c>
      <c r="E821">
        <f>'Календарь'!D76</f>
        <v/>
      </c>
      <c r="F821">
        <f>INT((C821-Нед_Начало)/7)+1</f>
        <v/>
      </c>
      <c r="G821">
        <f>IF(E821=0,0,INDEX('Планы менеджеров'!$B$5:$M$16,B821,D821)/INDEX(Мес_Раб,D821))</f>
        <v/>
      </c>
    </row>
    <row r="822">
      <c r="A822" t="inlineStr">
        <is>
          <t>Сидоров</t>
        </is>
      </c>
      <c r="B822" t="n">
        <v>7</v>
      </c>
      <c r="C822" s="18">
        <f>'Календарь'!A77</f>
        <v/>
      </c>
      <c r="D822">
        <f>MONTH(C822)</f>
        <v/>
      </c>
      <c r="E822">
        <f>'Календарь'!D77</f>
        <v/>
      </c>
      <c r="F822">
        <f>INT((C822-Нед_Начало)/7)+1</f>
        <v/>
      </c>
      <c r="G822">
        <f>IF(E822=0,0,INDEX('Планы менеджеров'!$B$5:$M$16,B822,D822)/INDEX(Мес_Раб,D822))</f>
        <v/>
      </c>
    </row>
    <row r="823">
      <c r="A823" t="inlineStr">
        <is>
          <t>Сидоров</t>
        </is>
      </c>
      <c r="B823" t="n">
        <v>7</v>
      </c>
      <c r="C823" s="18">
        <f>'Календарь'!A78</f>
        <v/>
      </c>
      <c r="D823">
        <f>MONTH(C823)</f>
        <v/>
      </c>
      <c r="E823">
        <f>'Календарь'!D78</f>
        <v/>
      </c>
      <c r="F823">
        <f>INT((C823-Нед_Начало)/7)+1</f>
        <v/>
      </c>
      <c r="G823">
        <f>IF(E823=0,0,INDEX('Планы менеджеров'!$B$5:$M$16,B823,D823)/INDEX(Мес_Раб,D823))</f>
        <v/>
      </c>
    </row>
    <row r="824">
      <c r="A824" t="inlineStr">
        <is>
          <t>Сидоров</t>
        </is>
      </c>
      <c r="B824" t="n">
        <v>7</v>
      </c>
      <c r="C824" s="18">
        <f>'Календарь'!A79</f>
        <v/>
      </c>
      <c r="D824">
        <f>MONTH(C824)</f>
        <v/>
      </c>
      <c r="E824">
        <f>'Календарь'!D79</f>
        <v/>
      </c>
      <c r="F824">
        <f>INT((C824-Нед_Начало)/7)+1</f>
        <v/>
      </c>
      <c r="G824">
        <f>IF(E824=0,0,INDEX('Планы менеджеров'!$B$5:$M$16,B824,D824)/INDEX(Мес_Раб,D824))</f>
        <v/>
      </c>
    </row>
    <row r="825">
      <c r="A825" t="inlineStr">
        <is>
          <t>Сидоров</t>
        </is>
      </c>
      <c r="B825" t="n">
        <v>7</v>
      </c>
      <c r="C825" s="18">
        <f>'Календарь'!A80</f>
        <v/>
      </c>
      <c r="D825">
        <f>MONTH(C825)</f>
        <v/>
      </c>
      <c r="E825">
        <f>'Календарь'!D80</f>
        <v/>
      </c>
      <c r="F825">
        <f>INT((C825-Нед_Начало)/7)+1</f>
        <v/>
      </c>
      <c r="G825">
        <f>IF(E825=0,0,INDEX('Планы менеджеров'!$B$5:$M$16,B825,D825)/INDEX(Мес_Раб,D825))</f>
        <v/>
      </c>
    </row>
    <row r="826">
      <c r="A826" t="inlineStr">
        <is>
          <t>Сидоров</t>
        </is>
      </c>
      <c r="B826" t="n">
        <v>7</v>
      </c>
      <c r="C826" s="18">
        <f>'Календарь'!A81</f>
        <v/>
      </c>
      <c r="D826">
        <f>MONTH(C826)</f>
        <v/>
      </c>
      <c r="E826">
        <f>'Календарь'!D81</f>
        <v/>
      </c>
      <c r="F826">
        <f>INT((C826-Нед_Начало)/7)+1</f>
        <v/>
      </c>
      <c r="G826">
        <f>IF(E826=0,0,INDEX('Планы менеджеров'!$B$5:$M$16,B826,D826)/INDEX(Мес_Раб,D826))</f>
        <v/>
      </c>
    </row>
    <row r="827">
      <c r="A827" t="inlineStr">
        <is>
          <t>Сидоров</t>
        </is>
      </c>
      <c r="B827" t="n">
        <v>7</v>
      </c>
      <c r="C827" s="18">
        <f>'Календарь'!A82</f>
        <v/>
      </c>
      <c r="D827">
        <f>MONTH(C827)</f>
        <v/>
      </c>
      <c r="E827">
        <f>'Календарь'!D82</f>
        <v/>
      </c>
      <c r="F827">
        <f>INT((C827-Нед_Начало)/7)+1</f>
        <v/>
      </c>
      <c r="G827">
        <f>IF(E827=0,0,INDEX('Планы менеджеров'!$B$5:$M$16,B827,D827)/INDEX(Мес_Раб,D827))</f>
        <v/>
      </c>
    </row>
    <row r="828">
      <c r="A828" t="inlineStr">
        <is>
          <t>Сидоров</t>
        </is>
      </c>
      <c r="B828" t="n">
        <v>7</v>
      </c>
      <c r="C828" s="18">
        <f>'Календарь'!A83</f>
        <v/>
      </c>
      <c r="D828">
        <f>MONTH(C828)</f>
        <v/>
      </c>
      <c r="E828">
        <f>'Календарь'!D83</f>
        <v/>
      </c>
      <c r="F828">
        <f>INT((C828-Нед_Начало)/7)+1</f>
        <v/>
      </c>
      <c r="G828">
        <f>IF(E828=0,0,INDEX('Планы менеджеров'!$B$5:$M$16,B828,D828)/INDEX(Мес_Раб,D828))</f>
        <v/>
      </c>
    </row>
    <row r="829">
      <c r="A829" t="inlineStr">
        <is>
          <t>Сидоров</t>
        </is>
      </c>
      <c r="B829" t="n">
        <v>7</v>
      </c>
      <c r="C829" s="18">
        <f>'Календарь'!A84</f>
        <v/>
      </c>
      <c r="D829">
        <f>MONTH(C829)</f>
        <v/>
      </c>
      <c r="E829">
        <f>'Календарь'!D84</f>
        <v/>
      </c>
      <c r="F829">
        <f>INT((C829-Нед_Начало)/7)+1</f>
        <v/>
      </c>
      <c r="G829">
        <f>IF(E829=0,0,INDEX('Планы менеджеров'!$B$5:$M$16,B829,D829)/INDEX(Мес_Раб,D829))</f>
        <v/>
      </c>
    </row>
    <row r="830">
      <c r="A830" t="inlineStr">
        <is>
          <t>Сидоров</t>
        </is>
      </c>
      <c r="B830" t="n">
        <v>7</v>
      </c>
      <c r="C830" s="18">
        <f>'Календарь'!A85</f>
        <v/>
      </c>
      <c r="D830">
        <f>MONTH(C830)</f>
        <v/>
      </c>
      <c r="E830">
        <f>'Календарь'!D85</f>
        <v/>
      </c>
      <c r="F830">
        <f>INT((C830-Нед_Начало)/7)+1</f>
        <v/>
      </c>
      <c r="G830">
        <f>IF(E830=0,0,INDEX('Планы менеджеров'!$B$5:$M$16,B830,D830)/INDEX(Мес_Раб,D830))</f>
        <v/>
      </c>
    </row>
    <row r="831">
      <c r="A831" t="inlineStr">
        <is>
          <t>Сидоров</t>
        </is>
      </c>
      <c r="B831" t="n">
        <v>7</v>
      </c>
      <c r="C831" s="18">
        <f>'Календарь'!A86</f>
        <v/>
      </c>
      <c r="D831">
        <f>MONTH(C831)</f>
        <v/>
      </c>
      <c r="E831">
        <f>'Календарь'!D86</f>
        <v/>
      </c>
      <c r="F831">
        <f>INT((C831-Нед_Начало)/7)+1</f>
        <v/>
      </c>
      <c r="G831">
        <f>IF(E831=0,0,INDEX('Планы менеджеров'!$B$5:$M$16,B831,D831)/INDEX(Мес_Раб,D831))</f>
        <v/>
      </c>
    </row>
    <row r="832">
      <c r="A832" t="inlineStr">
        <is>
          <t>Сидоров</t>
        </is>
      </c>
      <c r="B832" t="n">
        <v>7</v>
      </c>
      <c r="C832" s="18">
        <f>'Календарь'!A87</f>
        <v/>
      </c>
      <c r="D832">
        <f>MONTH(C832)</f>
        <v/>
      </c>
      <c r="E832">
        <f>'Календарь'!D87</f>
        <v/>
      </c>
      <c r="F832">
        <f>INT((C832-Нед_Начало)/7)+1</f>
        <v/>
      </c>
      <c r="G832">
        <f>IF(E832=0,0,INDEX('Планы менеджеров'!$B$5:$M$16,B832,D832)/INDEX(Мес_Раб,D832))</f>
        <v/>
      </c>
    </row>
    <row r="833">
      <c r="A833" t="inlineStr">
        <is>
          <t>Сидоров</t>
        </is>
      </c>
      <c r="B833" t="n">
        <v>7</v>
      </c>
      <c r="C833" s="18">
        <f>'Календарь'!A88</f>
        <v/>
      </c>
      <c r="D833">
        <f>MONTH(C833)</f>
        <v/>
      </c>
      <c r="E833">
        <f>'Календарь'!D88</f>
        <v/>
      </c>
      <c r="F833">
        <f>INT((C833-Нед_Начало)/7)+1</f>
        <v/>
      </c>
      <c r="G833">
        <f>IF(E833=0,0,INDEX('Планы менеджеров'!$B$5:$M$16,B833,D833)/INDEX(Мес_Раб,D833))</f>
        <v/>
      </c>
    </row>
    <row r="834">
      <c r="A834" t="inlineStr">
        <is>
          <t>Сидоров</t>
        </is>
      </c>
      <c r="B834" t="n">
        <v>7</v>
      </c>
      <c r="C834" s="18">
        <f>'Календарь'!A89</f>
        <v/>
      </c>
      <c r="D834">
        <f>MONTH(C834)</f>
        <v/>
      </c>
      <c r="E834">
        <f>'Календарь'!D89</f>
        <v/>
      </c>
      <c r="F834">
        <f>INT((C834-Нед_Начало)/7)+1</f>
        <v/>
      </c>
      <c r="G834">
        <f>IF(E834=0,0,INDEX('Планы менеджеров'!$B$5:$M$16,B834,D834)/INDEX(Мес_Раб,D834))</f>
        <v/>
      </c>
    </row>
    <row r="835">
      <c r="A835" t="inlineStr">
        <is>
          <t>Сидоров</t>
        </is>
      </c>
      <c r="B835" t="n">
        <v>7</v>
      </c>
      <c r="C835" s="18">
        <f>'Календарь'!A90</f>
        <v/>
      </c>
      <c r="D835">
        <f>MONTH(C835)</f>
        <v/>
      </c>
      <c r="E835">
        <f>'Календарь'!D90</f>
        <v/>
      </c>
      <c r="F835">
        <f>INT((C835-Нед_Начало)/7)+1</f>
        <v/>
      </c>
      <c r="G835">
        <f>IF(E835=0,0,INDEX('Планы менеджеров'!$B$5:$M$16,B835,D835)/INDEX(Мес_Раб,D835))</f>
        <v/>
      </c>
    </row>
    <row r="836">
      <c r="A836" t="inlineStr">
        <is>
          <t>Сидоров</t>
        </is>
      </c>
      <c r="B836" t="n">
        <v>7</v>
      </c>
      <c r="C836" s="18">
        <f>'Календарь'!A91</f>
        <v/>
      </c>
      <c r="D836">
        <f>MONTH(C836)</f>
        <v/>
      </c>
      <c r="E836">
        <f>'Календарь'!D91</f>
        <v/>
      </c>
      <c r="F836">
        <f>INT((C836-Нед_Начало)/7)+1</f>
        <v/>
      </c>
      <c r="G836">
        <f>IF(E836=0,0,INDEX('Планы менеджеров'!$B$5:$M$16,B836,D836)/INDEX(Мес_Раб,D836))</f>
        <v/>
      </c>
    </row>
    <row r="837">
      <c r="A837" t="inlineStr">
        <is>
          <t>Сидоров</t>
        </is>
      </c>
      <c r="B837" t="n">
        <v>7</v>
      </c>
      <c r="C837" s="18">
        <f>'Календарь'!A92</f>
        <v/>
      </c>
      <c r="D837">
        <f>MONTH(C837)</f>
        <v/>
      </c>
      <c r="E837">
        <f>'Календарь'!D92</f>
        <v/>
      </c>
      <c r="F837">
        <f>INT((C837-Нед_Начало)/7)+1</f>
        <v/>
      </c>
      <c r="G837">
        <f>IF(E837=0,0,INDEX('Планы менеджеров'!$B$5:$M$16,B837,D837)/INDEX(Мес_Раб,D837))</f>
        <v/>
      </c>
    </row>
    <row r="838">
      <c r="A838" t="inlineStr">
        <is>
          <t>Сидоров</t>
        </is>
      </c>
      <c r="B838" t="n">
        <v>7</v>
      </c>
      <c r="C838" s="18">
        <f>'Календарь'!A93</f>
        <v/>
      </c>
      <c r="D838">
        <f>MONTH(C838)</f>
        <v/>
      </c>
      <c r="E838">
        <f>'Календарь'!D93</f>
        <v/>
      </c>
      <c r="F838">
        <f>INT((C838-Нед_Начало)/7)+1</f>
        <v/>
      </c>
      <c r="G838">
        <f>IF(E838=0,0,INDEX('Планы менеджеров'!$B$5:$M$16,B838,D838)/INDEX(Мес_Раб,D838))</f>
        <v/>
      </c>
    </row>
    <row r="839">
      <c r="A839" t="inlineStr">
        <is>
          <t>Сидоров</t>
        </is>
      </c>
      <c r="B839" t="n">
        <v>7</v>
      </c>
      <c r="C839" s="18">
        <f>'Календарь'!A94</f>
        <v/>
      </c>
      <c r="D839">
        <f>MONTH(C839)</f>
        <v/>
      </c>
      <c r="E839">
        <f>'Календарь'!D94</f>
        <v/>
      </c>
      <c r="F839">
        <f>INT((C839-Нед_Начало)/7)+1</f>
        <v/>
      </c>
      <c r="G839">
        <f>IF(E839=0,0,INDEX('Планы менеджеров'!$B$5:$M$16,B839,D839)/INDEX(Мес_Раб,D839))</f>
        <v/>
      </c>
    </row>
    <row r="840">
      <c r="A840" t="inlineStr">
        <is>
          <t>Сидоров</t>
        </is>
      </c>
      <c r="B840" t="n">
        <v>7</v>
      </c>
      <c r="C840" s="18">
        <f>'Календарь'!A95</f>
        <v/>
      </c>
      <c r="D840">
        <f>MONTH(C840)</f>
        <v/>
      </c>
      <c r="E840">
        <f>'Календарь'!D95</f>
        <v/>
      </c>
      <c r="F840">
        <f>INT((C840-Нед_Начало)/7)+1</f>
        <v/>
      </c>
      <c r="G840">
        <f>IF(E840=0,0,INDEX('Планы менеджеров'!$B$5:$M$16,B840,D840)/INDEX(Мес_Раб,D840))</f>
        <v/>
      </c>
    </row>
    <row r="841">
      <c r="A841" t="inlineStr">
        <is>
          <t>Сидоров</t>
        </is>
      </c>
      <c r="B841" t="n">
        <v>7</v>
      </c>
      <c r="C841" s="18">
        <f>'Календарь'!A96</f>
        <v/>
      </c>
      <c r="D841">
        <f>MONTH(C841)</f>
        <v/>
      </c>
      <c r="E841">
        <f>'Календарь'!D96</f>
        <v/>
      </c>
      <c r="F841">
        <f>INT((C841-Нед_Начало)/7)+1</f>
        <v/>
      </c>
      <c r="G841">
        <f>IF(E841=0,0,INDEX('Планы менеджеров'!$B$5:$M$16,B841,D841)/INDEX(Мес_Раб,D841))</f>
        <v/>
      </c>
    </row>
    <row r="842">
      <c r="A842" t="inlineStr">
        <is>
          <t>Сидоров</t>
        </is>
      </c>
      <c r="B842" t="n">
        <v>7</v>
      </c>
      <c r="C842" s="18">
        <f>'Календарь'!A97</f>
        <v/>
      </c>
      <c r="D842">
        <f>MONTH(C842)</f>
        <v/>
      </c>
      <c r="E842">
        <f>'Календарь'!D97</f>
        <v/>
      </c>
      <c r="F842">
        <f>INT((C842-Нед_Начало)/7)+1</f>
        <v/>
      </c>
      <c r="G842">
        <f>IF(E842=0,0,INDEX('Планы менеджеров'!$B$5:$M$16,B842,D842)/INDEX(Мес_Раб,D842))</f>
        <v/>
      </c>
    </row>
    <row r="843">
      <c r="A843" t="inlineStr">
        <is>
          <t>Сидоров</t>
        </is>
      </c>
      <c r="B843" t="n">
        <v>7</v>
      </c>
      <c r="C843" s="18">
        <f>'Календарь'!A98</f>
        <v/>
      </c>
      <c r="D843">
        <f>MONTH(C843)</f>
        <v/>
      </c>
      <c r="E843">
        <f>'Календарь'!D98</f>
        <v/>
      </c>
      <c r="F843">
        <f>INT((C843-Нед_Начало)/7)+1</f>
        <v/>
      </c>
      <c r="G843">
        <f>IF(E843=0,0,INDEX('Планы менеджеров'!$B$5:$M$16,B843,D843)/INDEX(Мес_Раб,D843))</f>
        <v/>
      </c>
    </row>
    <row r="844">
      <c r="A844" t="inlineStr">
        <is>
          <t>Сидоров</t>
        </is>
      </c>
      <c r="B844" t="n">
        <v>7</v>
      </c>
      <c r="C844" s="18">
        <f>'Календарь'!A99</f>
        <v/>
      </c>
      <c r="D844">
        <f>MONTH(C844)</f>
        <v/>
      </c>
      <c r="E844">
        <f>'Календарь'!D99</f>
        <v/>
      </c>
      <c r="F844">
        <f>INT((C844-Нед_Начало)/7)+1</f>
        <v/>
      </c>
      <c r="G844">
        <f>IF(E844=0,0,INDEX('Планы менеджеров'!$B$5:$M$16,B844,D844)/INDEX(Мес_Раб,D844))</f>
        <v/>
      </c>
    </row>
    <row r="845">
      <c r="A845" t="inlineStr">
        <is>
          <t>Сидоров</t>
        </is>
      </c>
      <c r="B845" t="n">
        <v>7</v>
      </c>
      <c r="C845" s="18">
        <f>'Календарь'!A100</f>
        <v/>
      </c>
      <c r="D845">
        <f>MONTH(C845)</f>
        <v/>
      </c>
      <c r="E845">
        <f>'Календарь'!D100</f>
        <v/>
      </c>
      <c r="F845">
        <f>INT((C845-Нед_Начало)/7)+1</f>
        <v/>
      </c>
      <c r="G845">
        <f>IF(E845=0,0,INDEX('Планы менеджеров'!$B$5:$M$16,B845,D845)/INDEX(Мес_Раб,D845))</f>
        <v/>
      </c>
    </row>
    <row r="846">
      <c r="A846" t="inlineStr">
        <is>
          <t>Сидоров</t>
        </is>
      </c>
      <c r="B846" t="n">
        <v>7</v>
      </c>
      <c r="C846" s="18">
        <f>'Календарь'!A101</f>
        <v/>
      </c>
      <c r="D846">
        <f>MONTH(C846)</f>
        <v/>
      </c>
      <c r="E846">
        <f>'Календарь'!D101</f>
        <v/>
      </c>
      <c r="F846">
        <f>INT((C846-Нед_Начало)/7)+1</f>
        <v/>
      </c>
      <c r="G846">
        <f>IF(E846=0,0,INDEX('Планы менеджеров'!$B$5:$M$16,B846,D846)/INDEX(Мес_Раб,D846))</f>
        <v/>
      </c>
    </row>
    <row r="847">
      <c r="A847" t="inlineStr">
        <is>
          <t>Сидоров</t>
        </is>
      </c>
      <c r="B847" t="n">
        <v>7</v>
      </c>
      <c r="C847" s="18">
        <f>'Календарь'!A102</f>
        <v/>
      </c>
      <c r="D847">
        <f>MONTH(C847)</f>
        <v/>
      </c>
      <c r="E847">
        <f>'Календарь'!D102</f>
        <v/>
      </c>
      <c r="F847">
        <f>INT((C847-Нед_Начало)/7)+1</f>
        <v/>
      </c>
      <c r="G847">
        <f>IF(E847=0,0,INDEX('Планы менеджеров'!$B$5:$M$16,B847,D847)/INDEX(Мес_Раб,D847))</f>
        <v/>
      </c>
    </row>
    <row r="848">
      <c r="A848" t="inlineStr">
        <is>
          <t>Сидоров</t>
        </is>
      </c>
      <c r="B848" t="n">
        <v>7</v>
      </c>
      <c r="C848" s="18">
        <f>'Календарь'!A103</f>
        <v/>
      </c>
      <c r="D848">
        <f>MONTH(C848)</f>
        <v/>
      </c>
      <c r="E848">
        <f>'Календарь'!D103</f>
        <v/>
      </c>
      <c r="F848">
        <f>INT((C848-Нед_Начало)/7)+1</f>
        <v/>
      </c>
      <c r="G848">
        <f>IF(E848=0,0,INDEX('Планы менеджеров'!$B$5:$M$16,B848,D848)/INDEX(Мес_Раб,D848))</f>
        <v/>
      </c>
    </row>
    <row r="849">
      <c r="A849" t="inlineStr">
        <is>
          <t>Сидоров</t>
        </is>
      </c>
      <c r="B849" t="n">
        <v>7</v>
      </c>
      <c r="C849" s="18">
        <f>'Календарь'!A104</f>
        <v/>
      </c>
      <c r="D849">
        <f>MONTH(C849)</f>
        <v/>
      </c>
      <c r="E849">
        <f>'Календарь'!D104</f>
        <v/>
      </c>
      <c r="F849">
        <f>INT((C849-Нед_Начало)/7)+1</f>
        <v/>
      </c>
      <c r="G849">
        <f>IF(E849=0,0,INDEX('Планы менеджеров'!$B$5:$M$16,B849,D849)/INDEX(Мес_Раб,D849))</f>
        <v/>
      </c>
    </row>
    <row r="850">
      <c r="A850" t="inlineStr">
        <is>
          <t>Сидоров</t>
        </is>
      </c>
      <c r="B850" t="n">
        <v>7</v>
      </c>
      <c r="C850" s="18">
        <f>'Календарь'!A105</f>
        <v/>
      </c>
      <c r="D850">
        <f>MONTH(C850)</f>
        <v/>
      </c>
      <c r="E850">
        <f>'Календарь'!D105</f>
        <v/>
      </c>
      <c r="F850">
        <f>INT((C850-Нед_Начало)/7)+1</f>
        <v/>
      </c>
      <c r="G850">
        <f>IF(E850=0,0,INDEX('Планы менеджеров'!$B$5:$M$16,B850,D850)/INDEX(Мес_Раб,D850))</f>
        <v/>
      </c>
    </row>
    <row r="851">
      <c r="A851" t="inlineStr">
        <is>
          <t>Сидоров</t>
        </is>
      </c>
      <c r="B851" t="n">
        <v>7</v>
      </c>
      <c r="C851" s="18">
        <f>'Календарь'!A106</f>
        <v/>
      </c>
      <c r="D851">
        <f>MONTH(C851)</f>
        <v/>
      </c>
      <c r="E851">
        <f>'Календарь'!D106</f>
        <v/>
      </c>
      <c r="F851">
        <f>INT((C851-Нед_Начало)/7)+1</f>
        <v/>
      </c>
      <c r="G851">
        <f>IF(E851=0,0,INDEX('Планы менеджеров'!$B$5:$M$16,B851,D851)/INDEX(Мес_Раб,D851))</f>
        <v/>
      </c>
    </row>
    <row r="852">
      <c r="A852" t="inlineStr">
        <is>
          <t>Сидоров</t>
        </is>
      </c>
      <c r="B852" t="n">
        <v>7</v>
      </c>
      <c r="C852" s="18">
        <f>'Календарь'!A107</f>
        <v/>
      </c>
      <c r="D852">
        <f>MONTH(C852)</f>
        <v/>
      </c>
      <c r="E852">
        <f>'Календарь'!D107</f>
        <v/>
      </c>
      <c r="F852">
        <f>INT((C852-Нед_Начало)/7)+1</f>
        <v/>
      </c>
      <c r="G852">
        <f>IF(E852=0,0,INDEX('Планы менеджеров'!$B$5:$M$16,B852,D852)/INDEX(Мес_Раб,D852))</f>
        <v/>
      </c>
    </row>
    <row r="853">
      <c r="A853" t="inlineStr">
        <is>
          <t>Сидоров</t>
        </is>
      </c>
      <c r="B853" t="n">
        <v>7</v>
      </c>
      <c r="C853" s="18">
        <f>'Календарь'!A108</f>
        <v/>
      </c>
      <c r="D853">
        <f>MONTH(C853)</f>
        <v/>
      </c>
      <c r="E853">
        <f>'Календарь'!D108</f>
        <v/>
      </c>
      <c r="F853">
        <f>INT((C853-Нед_Начало)/7)+1</f>
        <v/>
      </c>
      <c r="G853">
        <f>IF(E853=0,0,INDEX('Планы менеджеров'!$B$5:$M$16,B853,D853)/INDEX(Мес_Раб,D853))</f>
        <v/>
      </c>
    </row>
    <row r="854">
      <c r="A854" t="inlineStr">
        <is>
          <t>Сидоров</t>
        </is>
      </c>
      <c r="B854" t="n">
        <v>7</v>
      </c>
      <c r="C854" s="18">
        <f>'Календарь'!A109</f>
        <v/>
      </c>
      <c r="D854">
        <f>MONTH(C854)</f>
        <v/>
      </c>
      <c r="E854">
        <f>'Календарь'!D109</f>
        <v/>
      </c>
      <c r="F854">
        <f>INT((C854-Нед_Начало)/7)+1</f>
        <v/>
      </c>
      <c r="G854">
        <f>IF(E854=0,0,INDEX('Планы менеджеров'!$B$5:$M$16,B854,D854)/INDEX(Мес_Раб,D854))</f>
        <v/>
      </c>
    </row>
    <row r="855">
      <c r="A855" t="inlineStr">
        <is>
          <t>Сидоров</t>
        </is>
      </c>
      <c r="B855" t="n">
        <v>7</v>
      </c>
      <c r="C855" s="18">
        <f>'Календарь'!A110</f>
        <v/>
      </c>
      <c r="D855">
        <f>MONTH(C855)</f>
        <v/>
      </c>
      <c r="E855">
        <f>'Календарь'!D110</f>
        <v/>
      </c>
      <c r="F855">
        <f>INT((C855-Нед_Начало)/7)+1</f>
        <v/>
      </c>
      <c r="G855">
        <f>IF(E855=0,0,INDEX('Планы менеджеров'!$B$5:$M$16,B855,D855)/INDEX(Мес_Раб,D855))</f>
        <v/>
      </c>
    </row>
    <row r="856">
      <c r="A856" t="inlineStr">
        <is>
          <t>Сидоров</t>
        </is>
      </c>
      <c r="B856" t="n">
        <v>7</v>
      </c>
      <c r="C856" s="18">
        <f>'Календарь'!A111</f>
        <v/>
      </c>
      <c r="D856">
        <f>MONTH(C856)</f>
        <v/>
      </c>
      <c r="E856">
        <f>'Календарь'!D111</f>
        <v/>
      </c>
      <c r="F856">
        <f>INT((C856-Нед_Начало)/7)+1</f>
        <v/>
      </c>
      <c r="G856">
        <f>IF(E856=0,0,INDEX('Планы менеджеров'!$B$5:$M$16,B856,D856)/INDEX(Мес_Раб,D856))</f>
        <v/>
      </c>
    </row>
    <row r="857">
      <c r="A857" t="inlineStr">
        <is>
          <t>Сидоров</t>
        </is>
      </c>
      <c r="B857" t="n">
        <v>7</v>
      </c>
      <c r="C857" s="18">
        <f>'Календарь'!A112</f>
        <v/>
      </c>
      <c r="D857">
        <f>MONTH(C857)</f>
        <v/>
      </c>
      <c r="E857">
        <f>'Календарь'!D112</f>
        <v/>
      </c>
      <c r="F857">
        <f>INT((C857-Нед_Начало)/7)+1</f>
        <v/>
      </c>
      <c r="G857">
        <f>IF(E857=0,0,INDEX('Планы менеджеров'!$B$5:$M$16,B857,D857)/INDEX(Мес_Раб,D857))</f>
        <v/>
      </c>
    </row>
    <row r="858">
      <c r="A858" t="inlineStr">
        <is>
          <t>Сидоров</t>
        </is>
      </c>
      <c r="B858" t="n">
        <v>7</v>
      </c>
      <c r="C858" s="18">
        <f>'Календарь'!A113</f>
        <v/>
      </c>
      <c r="D858">
        <f>MONTH(C858)</f>
        <v/>
      </c>
      <c r="E858">
        <f>'Календарь'!D113</f>
        <v/>
      </c>
      <c r="F858">
        <f>INT((C858-Нед_Начало)/7)+1</f>
        <v/>
      </c>
      <c r="G858">
        <f>IF(E858=0,0,INDEX('Планы менеджеров'!$B$5:$M$16,B858,D858)/INDEX(Мес_Раб,D858))</f>
        <v/>
      </c>
    </row>
    <row r="859">
      <c r="A859" t="inlineStr">
        <is>
          <t>Сидоров</t>
        </is>
      </c>
      <c r="B859" t="n">
        <v>7</v>
      </c>
      <c r="C859" s="18">
        <f>'Календарь'!A114</f>
        <v/>
      </c>
      <c r="D859">
        <f>MONTH(C859)</f>
        <v/>
      </c>
      <c r="E859">
        <f>'Календарь'!D114</f>
        <v/>
      </c>
      <c r="F859">
        <f>INT((C859-Нед_Начало)/7)+1</f>
        <v/>
      </c>
      <c r="G859">
        <f>IF(E859=0,0,INDEX('Планы менеджеров'!$B$5:$M$16,B859,D859)/INDEX(Мес_Раб,D859))</f>
        <v/>
      </c>
    </row>
    <row r="860">
      <c r="A860" t="inlineStr">
        <is>
          <t>Сидоров</t>
        </is>
      </c>
      <c r="B860" t="n">
        <v>7</v>
      </c>
      <c r="C860" s="18">
        <f>'Календарь'!A115</f>
        <v/>
      </c>
      <c r="D860">
        <f>MONTH(C860)</f>
        <v/>
      </c>
      <c r="E860">
        <f>'Календарь'!D115</f>
        <v/>
      </c>
      <c r="F860">
        <f>INT((C860-Нед_Начало)/7)+1</f>
        <v/>
      </c>
      <c r="G860">
        <f>IF(E860=0,0,INDEX('Планы менеджеров'!$B$5:$M$16,B860,D860)/INDEX(Мес_Раб,D860))</f>
        <v/>
      </c>
    </row>
    <row r="861">
      <c r="A861" t="inlineStr">
        <is>
          <t>Сидоров</t>
        </is>
      </c>
      <c r="B861" t="n">
        <v>7</v>
      </c>
      <c r="C861" s="18">
        <f>'Календарь'!A116</f>
        <v/>
      </c>
      <c r="D861">
        <f>MONTH(C861)</f>
        <v/>
      </c>
      <c r="E861">
        <f>'Календарь'!D116</f>
        <v/>
      </c>
      <c r="F861">
        <f>INT((C861-Нед_Начало)/7)+1</f>
        <v/>
      </c>
      <c r="G861">
        <f>IF(E861=0,0,INDEX('Планы менеджеров'!$B$5:$M$16,B861,D861)/INDEX(Мес_Раб,D861))</f>
        <v/>
      </c>
    </row>
    <row r="862">
      <c r="A862" t="inlineStr">
        <is>
          <t>Сидоров</t>
        </is>
      </c>
      <c r="B862" t="n">
        <v>7</v>
      </c>
      <c r="C862" s="18">
        <f>'Календарь'!A117</f>
        <v/>
      </c>
      <c r="D862">
        <f>MONTH(C862)</f>
        <v/>
      </c>
      <c r="E862">
        <f>'Календарь'!D117</f>
        <v/>
      </c>
      <c r="F862">
        <f>INT((C862-Нед_Начало)/7)+1</f>
        <v/>
      </c>
      <c r="G862">
        <f>IF(E862=0,0,INDEX('Планы менеджеров'!$B$5:$M$16,B862,D862)/INDEX(Мес_Раб,D862))</f>
        <v/>
      </c>
    </row>
    <row r="863">
      <c r="A863" t="inlineStr">
        <is>
          <t>Сидоров</t>
        </is>
      </c>
      <c r="B863" t="n">
        <v>7</v>
      </c>
      <c r="C863" s="18">
        <f>'Календарь'!A118</f>
        <v/>
      </c>
      <c r="D863">
        <f>MONTH(C863)</f>
        <v/>
      </c>
      <c r="E863">
        <f>'Календарь'!D118</f>
        <v/>
      </c>
      <c r="F863">
        <f>INT((C863-Нед_Начало)/7)+1</f>
        <v/>
      </c>
      <c r="G863">
        <f>IF(E863=0,0,INDEX('Планы менеджеров'!$B$5:$M$16,B863,D863)/INDEX(Мес_Раб,D863))</f>
        <v/>
      </c>
    </row>
    <row r="864">
      <c r="A864" t="inlineStr">
        <is>
          <t>Сидоров</t>
        </is>
      </c>
      <c r="B864" t="n">
        <v>7</v>
      </c>
      <c r="C864" s="18">
        <f>'Календарь'!A119</f>
        <v/>
      </c>
      <c r="D864">
        <f>MONTH(C864)</f>
        <v/>
      </c>
      <c r="E864">
        <f>'Календарь'!D119</f>
        <v/>
      </c>
      <c r="F864">
        <f>INT((C864-Нед_Начало)/7)+1</f>
        <v/>
      </c>
      <c r="G864">
        <f>IF(E864=0,0,INDEX('Планы менеджеров'!$B$5:$M$16,B864,D864)/INDEX(Мес_Раб,D864))</f>
        <v/>
      </c>
    </row>
    <row r="865">
      <c r="A865" t="inlineStr">
        <is>
          <t>Сидоров</t>
        </is>
      </c>
      <c r="B865" t="n">
        <v>7</v>
      </c>
      <c r="C865" s="18">
        <f>'Календарь'!A120</f>
        <v/>
      </c>
      <c r="D865">
        <f>MONTH(C865)</f>
        <v/>
      </c>
      <c r="E865">
        <f>'Календарь'!D120</f>
        <v/>
      </c>
      <c r="F865">
        <f>INT((C865-Нед_Начало)/7)+1</f>
        <v/>
      </c>
      <c r="G865">
        <f>IF(E865=0,0,INDEX('Планы менеджеров'!$B$5:$M$16,B865,D865)/INDEX(Мес_Раб,D865))</f>
        <v/>
      </c>
    </row>
    <row r="866">
      <c r="A866" t="inlineStr">
        <is>
          <t>Сидоров</t>
        </is>
      </c>
      <c r="B866" t="n">
        <v>7</v>
      </c>
      <c r="C866" s="18">
        <f>'Календарь'!A121</f>
        <v/>
      </c>
      <c r="D866">
        <f>MONTH(C866)</f>
        <v/>
      </c>
      <c r="E866">
        <f>'Календарь'!D121</f>
        <v/>
      </c>
      <c r="F866">
        <f>INT((C866-Нед_Начало)/7)+1</f>
        <v/>
      </c>
      <c r="G866">
        <f>IF(E866=0,0,INDEX('Планы менеджеров'!$B$5:$M$16,B866,D866)/INDEX(Мес_Раб,D866))</f>
        <v/>
      </c>
    </row>
    <row r="867">
      <c r="A867" t="inlineStr">
        <is>
          <t>Сидоров</t>
        </is>
      </c>
      <c r="B867" t="n">
        <v>7</v>
      </c>
      <c r="C867" s="18">
        <f>'Календарь'!A122</f>
        <v/>
      </c>
      <c r="D867">
        <f>MONTH(C867)</f>
        <v/>
      </c>
      <c r="E867">
        <f>'Календарь'!D122</f>
        <v/>
      </c>
      <c r="F867">
        <f>INT((C867-Нед_Начало)/7)+1</f>
        <v/>
      </c>
      <c r="G867">
        <f>IF(E867=0,0,INDEX('Планы менеджеров'!$B$5:$M$16,B867,D867)/INDEX(Мес_Раб,D867))</f>
        <v/>
      </c>
    </row>
    <row r="868">
      <c r="A868" t="inlineStr">
        <is>
          <t>Сидоров</t>
        </is>
      </c>
      <c r="B868" t="n">
        <v>7</v>
      </c>
      <c r="C868" s="18">
        <f>'Календарь'!A123</f>
        <v/>
      </c>
      <c r="D868">
        <f>MONTH(C868)</f>
        <v/>
      </c>
      <c r="E868">
        <f>'Календарь'!D123</f>
        <v/>
      </c>
      <c r="F868">
        <f>INT((C868-Нед_Начало)/7)+1</f>
        <v/>
      </c>
      <c r="G868">
        <f>IF(E868=0,0,INDEX('Планы менеджеров'!$B$5:$M$16,B868,D868)/INDEX(Мес_Раб,D868))</f>
        <v/>
      </c>
    </row>
    <row r="869">
      <c r="A869" t="inlineStr">
        <is>
          <t>Сидоров</t>
        </is>
      </c>
      <c r="B869" t="n">
        <v>7</v>
      </c>
      <c r="C869" s="18">
        <f>'Календарь'!A124</f>
        <v/>
      </c>
      <c r="D869">
        <f>MONTH(C869)</f>
        <v/>
      </c>
      <c r="E869">
        <f>'Календарь'!D124</f>
        <v/>
      </c>
      <c r="F869">
        <f>INT((C869-Нед_Начало)/7)+1</f>
        <v/>
      </c>
      <c r="G869">
        <f>IF(E869=0,0,INDEX('Планы менеджеров'!$B$5:$M$16,B869,D869)/INDEX(Мес_Раб,D869))</f>
        <v/>
      </c>
    </row>
    <row r="870">
      <c r="A870" t="inlineStr">
        <is>
          <t>Сидоров</t>
        </is>
      </c>
      <c r="B870" t="n">
        <v>7</v>
      </c>
      <c r="C870" s="18">
        <f>'Календарь'!A125</f>
        <v/>
      </c>
      <c r="D870">
        <f>MONTH(C870)</f>
        <v/>
      </c>
      <c r="E870">
        <f>'Календарь'!D125</f>
        <v/>
      </c>
      <c r="F870">
        <f>INT((C870-Нед_Начало)/7)+1</f>
        <v/>
      </c>
      <c r="G870">
        <f>IF(E870=0,0,INDEX('Планы менеджеров'!$B$5:$M$16,B870,D870)/INDEX(Мес_Раб,D870))</f>
        <v/>
      </c>
    </row>
    <row r="871">
      <c r="A871" t="inlineStr">
        <is>
          <t>Сидоров</t>
        </is>
      </c>
      <c r="B871" t="n">
        <v>7</v>
      </c>
      <c r="C871" s="18">
        <f>'Календарь'!A126</f>
        <v/>
      </c>
      <c r="D871">
        <f>MONTH(C871)</f>
        <v/>
      </c>
      <c r="E871">
        <f>'Календарь'!D126</f>
        <v/>
      </c>
      <c r="F871">
        <f>INT((C871-Нед_Начало)/7)+1</f>
        <v/>
      </c>
      <c r="G871">
        <f>IF(E871=0,0,INDEX('Планы менеджеров'!$B$5:$M$16,B871,D871)/INDEX(Мес_Раб,D871))</f>
        <v/>
      </c>
    </row>
    <row r="872">
      <c r="A872" t="inlineStr">
        <is>
          <t>Сидоров</t>
        </is>
      </c>
      <c r="B872" t="n">
        <v>7</v>
      </c>
      <c r="C872" s="18">
        <f>'Календарь'!A127</f>
        <v/>
      </c>
      <c r="D872">
        <f>MONTH(C872)</f>
        <v/>
      </c>
      <c r="E872">
        <f>'Календарь'!D127</f>
        <v/>
      </c>
      <c r="F872">
        <f>INT((C872-Нед_Начало)/7)+1</f>
        <v/>
      </c>
      <c r="G872">
        <f>IF(E872=0,0,INDEX('Планы менеджеров'!$B$5:$M$16,B872,D872)/INDEX(Мес_Раб,D872))</f>
        <v/>
      </c>
    </row>
    <row r="873">
      <c r="A873" t="inlineStr">
        <is>
          <t>Сидоров</t>
        </is>
      </c>
      <c r="B873" t="n">
        <v>7</v>
      </c>
      <c r="C873" s="18">
        <f>'Календарь'!A128</f>
        <v/>
      </c>
      <c r="D873">
        <f>MONTH(C873)</f>
        <v/>
      </c>
      <c r="E873">
        <f>'Календарь'!D128</f>
        <v/>
      </c>
      <c r="F873">
        <f>INT((C873-Нед_Начало)/7)+1</f>
        <v/>
      </c>
      <c r="G873">
        <f>IF(E873=0,0,INDEX('Планы менеджеров'!$B$5:$M$16,B873,D873)/INDEX(Мес_Раб,D873))</f>
        <v/>
      </c>
    </row>
    <row r="874">
      <c r="A874" t="inlineStr">
        <is>
          <t>Сидоров</t>
        </is>
      </c>
      <c r="B874" t="n">
        <v>7</v>
      </c>
      <c r="C874" s="18">
        <f>'Календарь'!A129</f>
        <v/>
      </c>
      <c r="D874">
        <f>MONTH(C874)</f>
        <v/>
      </c>
      <c r="E874">
        <f>'Календарь'!D129</f>
        <v/>
      </c>
      <c r="F874">
        <f>INT((C874-Нед_Начало)/7)+1</f>
        <v/>
      </c>
      <c r="G874">
        <f>IF(E874=0,0,INDEX('Планы менеджеров'!$B$5:$M$16,B874,D874)/INDEX(Мес_Раб,D874))</f>
        <v/>
      </c>
    </row>
    <row r="875">
      <c r="A875" t="inlineStr">
        <is>
          <t>Сидоров</t>
        </is>
      </c>
      <c r="B875" t="n">
        <v>7</v>
      </c>
      <c r="C875" s="18">
        <f>'Календарь'!A130</f>
        <v/>
      </c>
      <c r="D875">
        <f>MONTH(C875)</f>
        <v/>
      </c>
      <c r="E875">
        <f>'Календарь'!D130</f>
        <v/>
      </c>
      <c r="F875">
        <f>INT((C875-Нед_Начало)/7)+1</f>
        <v/>
      </c>
      <c r="G875">
        <f>IF(E875=0,0,INDEX('Планы менеджеров'!$B$5:$M$16,B875,D875)/INDEX(Мес_Раб,D875))</f>
        <v/>
      </c>
    </row>
    <row r="876">
      <c r="A876" t="inlineStr">
        <is>
          <t>Сидоров</t>
        </is>
      </c>
      <c r="B876" t="n">
        <v>7</v>
      </c>
      <c r="C876" s="18">
        <f>'Календарь'!A131</f>
        <v/>
      </c>
      <c r="D876">
        <f>MONTH(C876)</f>
        <v/>
      </c>
      <c r="E876">
        <f>'Календарь'!D131</f>
        <v/>
      </c>
      <c r="F876">
        <f>INT((C876-Нед_Начало)/7)+1</f>
        <v/>
      </c>
      <c r="G876">
        <f>IF(E876=0,0,INDEX('Планы менеджеров'!$B$5:$M$16,B876,D876)/INDEX(Мес_Раб,D876))</f>
        <v/>
      </c>
    </row>
    <row r="877">
      <c r="A877" t="inlineStr">
        <is>
          <t>Сидоров</t>
        </is>
      </c>
      <c r="B877" t="n">
        <v>7</v>
      </c>
      <c r="C877" s="18">
        <f>'Календарь'!A132</f>
        <v/>
      </c>
      <c r="D877">
        <f>MONTH(C877)</f>
        <v/>
      </c>
      <c r="E877">
        <f>'Календарь'!D132</f>
        <v/>
      </c>
      <c r="F877">
        <f>INT((C877-Нед_Начало)/7)+1</f>
        <v/>
      </c>
      <c r="G877">
        <f>IF(E877=0,0,INDEX('Планы менеджеров'!$B$5:$M$16,B877,D877)/INDEX(Мес_Раб,D877))</f>
        <v/>
      </c>
    </row>
    <row r="878">
      <c r="A878" t="inlineStr">
        <is>
          <t>Сидоров</t>
        </is>
      </c>
      <c r="B878" t="n">
        <v>7</v>
      </c>
      <c r="C878" s="18">
        <f>'Календарь'!A133</f>
        <v/>
      </c>
      <c r="D878">
        <f>MONTH(C878)</f>
        <v/>
      </c>
      <c r="E878">
        <f>'Календарь'!D133</f>
        <v/>
      </c>
      <c r="F878">
        <f>INT((C878-Нед_Начало)/7)+1</f>
        <v/>
      </c>
      <c r="G878">
        <f>IF(E878=0,0,INDEX('Планы менеджеров'!$B$5:$M$16,B878,D878)/INDEX(Мес_Раб,D878))</f>
        <v/>
      </c>
    </row>
    <row r="879">
      <c r="A879" t="inlineStr">
        <is>
          <t>Сидоров</t>
        </is>
      </c>
      <c r="B879" t="n">
        <v>7</v>
      </c>
      <c r="C879" s="18">
        <f>'Календарь'!A134</f>
        <v/>
      </c>
      <c r="D879">
        <f>MONTH(C879)</f>
        <v/>
      </c>
      <c r="E879">
        <f>'Календарь'!D134</f>
        <v/>
      </c>
      <c r="F879">
        <f>INT((C879-Нед_Начало)/7)+1</f>
        <v/>
      </c>
      <c r="G879">
        <f>IF(E879=0,0,INDEX('Планы менеджеров'!$B$5:$M$16,B879,D879)/INDEX(Мес_Раб,D879))</f>
        <v/>
      </c>
    </row>
    <row r="880">
      <c r="A880" t="inlineStr">
        <is>
          <t>Сидоров</t>
        </is>
      </c>
      <c r="B880" t="n">
        <v>7</v>
      </c>
      <c r="C880" s="18">
        <f>'Календарь'!A135</f>
        <v/>
      </c>
      <c r="D880">
        <f>MONTH(C880)</f>
        <v/>
      </c>
      <c r="E880">
        <f>'Календарь'!D135</f>
        <v/>
      </c>
      <c r="F880">
        <f>INT((C880-Нед_Начало)/7)+1</f>
        <v/>
      </c>
      <c r="G880">
        <f>IF(E880=0,0,INDEX('Планы менеджеров'!$B$5:$M$16,B880,D880)/INDEX(Мес_Раб,D880))</f>
        <v/>
      </c>
    </row>
    <row r="881">
      <c r="A881" t="inlineStr">
        <is>
          <t>Сидоров</t>
        </is>
      </c>
      <c r="B881" t="n">
        <v>7</v>
      </c>
      <c r="C881" s="18">
        <f>'Календарь'!A136</f>
        <v/>
      </c>
      <c r="D881">
        <f>MONTH(C881)</f>
        <v/>
      </c>
      <c r="E881">
        <f>'Календарь'!D136</f>
        <v/>
      </c>
      <c r="F881">
        <f>INT((C881-Нед_Начало)/7)+1</f>
        <v/>
      </c>
      <c r="G881">
        <f>IF(E881=0,0,INDEX('Планы менеджеров'!$B$5:$M$16,B881,D881)/INDEX(Мес_Раб,D881))</f>
        <v/>
      </c>
    </row>
    <row r="882">
      <c r="A882" t="inlineStr">
        <is>
          <t>Сидоров</t>
        </is>
      </c>
      <c r="B882" t="n">
        <v>7</v>
      </c>
      <c r="C882" s="18">
        <f>'Календарь'!A137</f>
        <v/>
      </c>
      <c r="D882">
        <f>MONTH(C882)</f>
        <v/>
      </c>
      <c r="E882">
        <f>'Календарь'!D137</f>
        <v/>
      </c>
      <c r="F882">
        <f>INT((C882-Нед_Начало)/7)+1</f>
        <v/>
      </c>
      <c r="G882">
        <f>IF(E882=0,0,INDEX('Планы менеджеров'!$B$5:$M$16,B882,D882)/INDEX(Мес_Раб,D882))</f>
        <v/>
      </c>
    </row>
    <row r="883">
      <c r="A883" t="inlineStr">
        <is>
          <t>Сидоров</t>
        </is>
      </c>
      <c r="B883" t="n">
        <v>7</v>
      </c>
      <c r="C883" s="18">
        <f>'Календарь'!A138</f>
        <v/>
      </c>
      <c r="D883">
        <f>MONTH(C883)</f>
        <v/>
      </c>
      <c r="E883">
        <f>'Календарь'!D138</f>
        <v/>
      </c>
      <c r="F883">
        <f>INT((C883-Нед_Начало)/7)+1</f>
        <v/>
      </c>
      <c r="G883">
        <f>IF(E883=0,0,INDEX('Планы менеджеров'!$B$5:$M$16,B883,D883)/INDEX(Мес_Раб,D883))</f>
        <v/>
      </c>
    </row>
    <row r="884">
      <c r="A884" t="inlineStr">
        <is>
          <t>Сидоров</t>
        </is>
      </c>
      <c r="B884" t="n">
        <v>7</v>
      </c>
      <c r="C884" s="18">
        <f>'Календарь'!A139</f>
        <v/>
      </c>
      <c r="D884">
        <f>MONTH(C884)</f>
        <v/>
      </c>
      <c r="E884">
        <f>'Календарь'!D139</f>
        <v/>
      </c>
      <c r="F884">
        <f>INT((C884-Нед_Начало)/7)+1</f>
        <v/>
      </c>
      <c r="G884">
        <f>IF(E884=0,0,INDEX('Планы менеджеров'!$B$5:$M$16,B884,D884)/INDEX(Мес_Раб,D884))</f>
        <v/>
      </c>
    </row>
    <row r="885">
      <c r="A885" t="inlineStr">
        <is>
          <t>Сидоров</t>
        </is>
      </c>
      <c r="B885" t="n">
        <v>7</v>
      </c>
      <c r="C885" s="18">
        <f>'Календарь'!A140</f>
        <v/>
      </c>
      <c r="D885">
        <f>MONTH(C885)</f>
        <v/>
      </c>
      <c r="E885">
        <f>'Календарь'!D140</f>
        <v/>
      </c>
      <c r="F885">
        <f>INT((C885-Нед_Начало)/7)+1</f>
        <v/>
      </c>
      <c r="G885">
        <f>IF(E885=0,0,INDEX('Планы менеджеров'!$B$5:$M$16,B885,D885)/INDEX(Мес_Раб,D885))</f>
        <v/>
      </c>
    </row>
    <row r="886">
      <c r="A886" t="inlineStr">
        <is>
          <t>Сидоров</t>
        </is>
      </c>
      <c r="B886" t="n">
        <v>7</v>
      </c>
      <c r="C886" s="18">
        <f>'Календарь'!A141</f>
        <v/>
      </c>
      <c r="D886">
        <f>MONTH(C886)</f>
        <v/>
      </c>
      <c r="E886">
        <f>'Календарь'!D141</f>
        <v/>
      </c>
      <c r="F886">
        <f>INT((C886-Нед_Начало)/7)+1</f>
        <v/>
      </c>
      <c r="G886">
        <f>IF(E886=0,0,INDEX('Планы менеджеров'!$B$5:$M$16,B886,D886)/INDEX(Мес_Раб,D886))</f>
        <v/>
      </c>
    </row>
    <row r="887">
      <c r="A887" t="inlineStr">
        <is>
          <t>Сидоров</t>
        </is>
      </c>
      <c r="B887" t="n">
        <v>7</v>
      </c>
      <c r="C887" s="18">
        <f>'Календарь'!A142</f>
        <v/>
      </c>
      <c r="D887">
        <f>MONTH(C887)</f>
        <v/>
      </c>
      <c r="E887">
        <f>'Календарь'!D142</f>
        <v/>
      </c>
      <c r="F887">
        <f>INT((C887-Нед_Начало)/7)+1</f>
        <v/>
      </c>
      <c r="G887">
        <f>IF(E887=0,0,INDEX('Планы менеджеров'!$B$5:$M$16,B887,D887)/INDEX(Мес_Раб,D887))</f>
        <v/>
      </c>
    </row>
    <row r="888">
      <c r="A888" t="inlineStr">
        <is>
          <t>Сидоров</t>
        </is>
      </c>
      <c r="B888" t="n">
        <v>7</v>
      </c>
      <c r="C888" s="18">
        <f>'Календарь'!A143</f>
        <v/>
      </c>
      <c r="D888">
        <f>MONTH(C888)</f>
        <v/>
      </c>
      <c r="E888">
        <f>'Календарь'!D143</f>
        <v/>
      </c>
      <c r="F888">
        <f>INT((C888-Нед_Начало)/7)+1</f>
        <v/>
      </c>
      <c r="G888">
        <f>IF(E888=0,0,INDEX('Планы менеджеров'!$B$5:$M$16,B888,D888)/INDEX(Мес_Раб,D888))</f>
        <v/>
      </c>
    </row>
    <row r="889">
      <c r="A889" t="inlineStr">
        <is>
          <t>Сидоров</t>
        </is>
      </c>
      <c r="B889" t="n">
        <v>7</v>
      </c>
      <c r="C889" s="18">
        <f>'Календарь'!A144</f>
        <v/>
      </c>
      <c r="D889">
        <f>MONTH(C889)</f>
        <v/>
      </c>
      <c r="E889">
        <f>'Календарь'!D144</f>
        <v/>
      </c>
      <c r="F889">
        <f>INT((C889-Нед_Начало)/7)+1</f>
        <v/>
      </c>
      <c r="G889">
        <f>IF(E889=0,0,INDEX('Планы менеджеров'!$B$5:$M$16,B889,D889)/INDEX(Мес_Раб,D889))</f>
        <v/>
      </c>
    </row>
    <row r="890">
      <c r="A890" t="inlineStr">
        <is>
          <t>Сидоров</t>
        </is>
      </c>
      <c r="B890" t="n">
        <v>7</v>
      </c>
      <c r="C890" s="18">
        <f>'Календарь'!A145</f>
        <v/>
      </c>
      <c r="D890">
        <f>MONTH(C890)</f>
        <v/>
      </c>
      <c r="E890">
        <f>'Календарь'!D145</f>
        <v/>
      </c>
      <c r="F890">
        <f>INT((C890-Нед_Начало)/7)+1</f>
        <v/>
      </c>
      <c r="G890">
        <f>IF(E890=0,0,INDEX('Планы менеджеров'!$B$5:$M$16,B890,D890)/INDEX(Мес_Раб,D890))</f>
        <v/>
      </c>
    </row>
    <row r="891">
      <c r="A891" t="inlineStr">
        <is>
          <t>Сидоров</t>
        </is>
      </c>
      <c r="B891" t="n">
        <v>7</v>
      </c>
      <c r="C891" s="18">
        <f>'Календарь'!A146</f>
        <v/>
      </c>
      <c r="D891">
        <f>MONTH(C891)</f>
        <v/>
      </c>
      <c r="E891">
        <f>'Календарь'!D146</f>
        <v/>
      </c>
      <c r="F891">
        <f>INT((C891-Нед_Начало)/7)+1</f>
        <v/>
      </c>
      <c r="G891">
        <f>IF(E891=0,0,INDEX('Планы менеджеров'!$B$5:$M$16,B891,D891)/INDEX(Мес_Раб,D891))</f>
        <v/>
      </c>
    </row>
    <row r="892">
      <c r="A892" t="inlineStr">
        <is>
          <t>Сидоров</t>
        </is>
      </c>
      <c r="B892" t="n">
        <v>7</v>
      </c>
      <c r="C892" s="18">
        <f>'Календарь'!A147</f>
        <v/>
      </c>
      <c r="D892">
        <f>MONTH(C892)</f>
        <v/>
      </c>
      <c r="E892">
        <f>'Календарь'!D147</f>
        <v/>
      </c>
      <c r="F892">
        <f>INT((C892-Нед_Начало)/7)+1</f>
        <v/>
      </c>
      <c r="G892">
        <f>IF(E892=0,0,INDEX('Планы менеджеров'!$B$5:$M$16,B892,D892)/INDEX(Мес_Раб,D892))</f>
        <v/>
      </c>
    </row>
    <row r="893">
      <c r="A893" t="inlineStr">
        <is>
          <t>Сидоров</t>
        </is>
      </c>
      <c r="B893" t="n">
        <v>7</v>
      </c>
      <c r="C893" s="18">
        <f>'Календарь'!A148</f>
        <v/>
      </c>
      <c r="D893">
        <f>MONTH(C893)</f>
        <v/>
      </c>
      <c r="E893">
        <f>'Календарь'!D148</f>
        <v/>
      </c>
      <c r="F893">
        <f>INT((C893-Нед_Начало)/7)+1</f>
        <v/>
      </c>
      <c r="G893">
        <f>IF(E893=0,0,INDEX('Планы менеджеров'!$B$5:$M$16,B893,D893)/INDEX(Мес_Раб,D893))</f>
        <v/>
      </c>
    </row>
    <row r="894">
      <c r="A894" t="inlineStr">
        <is>
          <t>Сидоров</t>
        </is>
      </c>
      <c r="B894" t="n">
        <v>7</v>
      </c>
      <c r="C894" s="18">
        <f>'Календарь'!A149</f>
        <v/>
      </c>
      <c r="D894">
        <f>MONTH(C894)</f>
        <v/>
      </c>
      <c r="E894">
        <f>'Календарь'!D149</f>
        <v/>
      </c>
      <c r="F894">
        <f>INT((C894-Нед_Начало)/7)+1</f>
        <v/>
      </c>
      <c r="G894">
        <f>IF(E894=0,0,INDEX('Планы менеджеров'!$B$5:$M$16,B894,D894)/INDEX(Мес_Раб,D894))</f>
        <v/>
      </c>
    </row>
    <row r="895">
      <c r="A895" t="inlineStr">
        <is>
          <t>Сидоров</t>
        </is>
      </c>
      <c r="B895" t="n">
        <v>7</v>
      </c>
      <c r="C895" s="18">
        <f>'Календарь'!A150</f>
        <v/>
      </c>
      <c r="D895">
        <f>MONTH(C895)</f>
        <v/>
      </c>
      <c r="E895">
        <f>'Календарь'!D150</f>
        <v/>
      </c>
      <c r="F895">
        <f>INT((C895-Нед_Начало)/7)+1</f>
        <v/>
      </c>
      <c r="G895">
        <f>IF(E895=0,0,INDEX('Планы менеджеров'!$B$5:$M$16,B895,D895)/INDEX(Мес_Раб,D895))</f>
        <v/>
      </c>
    </row>
    <row r="896">
      <c r="A896" t="inlineStr">
        <is>
          <t>Сидоров</t>
        </is>
      </c>
      <c r="B896" t="n">
        <v>7</v>
      </c>
      <c r="C896" s="18">
        <f>'Календарь'!A151</f>
        <v/>
      </c>
      <c r="D896">
        <f>MONTH(C896)</f>
        <v/>
      </c>
      <c r="E896">
        <f>'Календарь'!D151</f>
        <v/>
      </c>
      <c r="F896">
        <f>INT((C896-Нед_Начало)/7)+1</f>
        <v/>
      </c>
      <c r="G896">
        <f>IF(E896=0,0,INDEX('Планы менеджеров'!$B$5:$M$16,B896,D896)/INDEX(Мес_Раб,D896))</f>
        <v/>
      </c>
    </row>
    <row r="897">
      <c r="A897" t="inlineStr">
        <is>
          <t>Сидоров</t>
        </is>
      </c>
      <c r="B897" t="n">
        <v>7</v>
      </c>
      <c r="C897" s="18">
        <f>'Календарь'!A152</f>
        <v/>
      </c>
      <c r="D897">
        <f>MONTH(C897)</f>
        <v/>
      </c>
      <c r="E897">
        <f>'Календарь'!D152</f>
        <v/>
      </c>
      <c r="F897">
        <f>INT((C897-Нед_Начало)/7)+1</f>
        <v/>
      </c>
      <c r="G897">
        <f>IF(E897=0,0,INDEX('Планы менеджеров'!$B$5:$M$16,B897,D897)/INDEX(Мес_Раб,D897))</f>
        <v/>
      </c>
    </row>
    <row r="898">
      <c r="A898" t="inlineStr">
        <is>
          <t>Сидоров</t>
        </is>
      </c>
      <c r="B898" t="n">
        <v>7</v>
      </c>
      <c r="C898" s="18">
        <f>'Календарь'!A153</f>
        <v/>
      </c>
      <c r="D898">
        <f>MONTH(C898)</f>
        <v/>
      </c>
      <c r="E898">
        <f>'Календарь'!D153</f>
        <v/>
      </c>
      <c r="F898">
        <f>INT((C898-Нед_Начало)/7)+1</f>
        <v/>
      </c>
      <c r="G898">
        <f>IF(E898=0,0,INDEX('Планы менеджеров'!$B$5:$M$16,B898,D898)/INDEX(Мес_Раб,D898))</f>
        <v/>
      </c>
    </row>
    <row r="899">
      <c r="A899" t="inlineStr">
        <is>
          <t>Сидоров</t>
        </is>
      </c>
      <c r="B899" t="n">
        <v>7</v>
      </c>
      <c r="C899" s="18">
        <f>'Календарь'!A154</f>
        <v/>
      </c>
      <c r="D899">
        <f>MONTH(C899)</f>
        <v/>
      </c>
      <c r="E899">
        <f>'Календарь'!D154</f>
        <v/>
      </c>
      <c r="F899">
        <f>INT((C899-Нед_Начало)/7)+1</f>
        <v/>
      </c>
      <c r="G899">
        <f>IF(E899=0,0,INDEX('Планы менеджеров'!$B$5:$M$16,B899,D899)/INDEX(Мес_Раб,D899))</f>
        <v/>
      </c>
    </row>
    <row r="900">
      <c r="A900" t="inlineStr">
        <is>
          <t>Сидоров</t>
        </is>
      </c>
      <c r="B900" t="n">
        <v>7</v>
      </c>
      <c r="C900" s="18">
        <f>'Календарь'!A155</f>
        <v/>
      </c>
      <c r="D900">
        <f>MONTH(C900)</f>
        <v/>
      </c>
      <c r="E900">
        <f>'Календарь'!D155</f>
        <v/>
      </c>
      <c r="F900">
        <f>INT((C900-Нед_Начало)/7)+1</f>
        <v/>
      </c>
      <c r="G900">
        <f>IF(E900=0,0,INDEX('Планы менеджеров'!$B$5:$M$16,B900,D900)/INDEX(Мес_Раб,D900))</f>
        <v/>
      </c>
    </row>
    <row r="901">
      <c r="A901" t="inlineStr">
        <is>
          <t>Сидоров</t>
        </is>
      </c>
      <c r="B901" t="n">
        <v>7</v>
      </c>
      <c r="C901" s="18">
        <f>'Календарь'!A156</f>
        <v/>
      </c>
      <c r="D901">
        <f>MONTH(C901)</f>
        <v/>
      </c>
      <c r="E901">
        <f>'Календарь'!D156</f>
        <v/>
      </c>
      <c r="F901">
        <f>INT((C901-Нед_Начало)/7)+1</f>
        <v/>
      </c>
      <c r="G901">
        <f>IF(E901=0,0,INDEX('Планы менеджеров'!$B$5:$M$16,B901,D901)/INDEX(Мес_Раб,D901))</f>
        <v/>
      </c>
    </row>
    <row r="902">
      <c r="A902" t="inlineStr">
        <is>
          <t>Сидоров</t>
        </is>
      </c>
      <c r="B902" t="n">
        <v>7</v>
      </c>
      <c r="C902" s="18">
        <f>'Календарь'!A157</f>
        <v/>
      </c>
      <c r="D902">
        <f>MONTH(C902)</f>
        <v/>
      </c>
      <c r="E902">
        <f>'Календарь'!D157</f>
        <v/>
      </c>
      <c r="F902">
        <f>INT((C902-Нед_Начало)/7)+1</f>
        <v/>
      </c>
      <c r="G902">
        <f>IF(E902=0,0,INDEX('Планы менеджеров'!$B$5:$M$16,B902,D902)/INDEX(Мес_Раб,D902))</f>
        <v/>
      </c>
    </row>
    <row r="903">
      <c r="A903" t="inlineStr">
        <is>
          <t>Сидоров</t>
        </is>
      </c>
      <c r="B903" t="n">
        <v>7</v>
      </c>
      <c r="C903" s="18">
        <f>'Календарь'!A158</f>
        <v/>
      </c>
      <c r="D903">
        <f>MONTH(C903)</f>
        <v/>
      </c>
      <c r="E903">
        <f>'Календарь'!D158</f>
        <v/>
      </c>
      <c r="F903">
        <f>INT((C903-Нед_Начало)/7)+1</f>
        <v/>
      </c>
      <c r="G903">
        <f>IF(E903=0,0,INDEX('Планы менеджеров'!$B$5:$M$16,B903,D903)/INDEX(Мес_Раб,D903))</f>
        <v/>
      </c>
    </row>
    <row r="904">
      <c r="A904" t="inlineStr">
        <is>
          <t>Сидоров</t>
        </is>
      </c>
      <c r="B904" t="n">
        <v>7</v>
      </c>
      <c r="C904" s="18">
        <f>'Календарь'!A159</f>
        <v/>
      </c>
      <c r="D904">
        <f>MONTH(C904)</f>
        <v/>
      </c>
      <c r="E904">
        <f>'Календарь'!D159</f>
        <v/>
      </c>
      <c r="F904">
        <f>INT((C904-Нед_Начало)/7)+1</f>
        <v/>
      </c>
      <c r="G904">
        <f>IF(E904=0,0,INDEX('Планы менеджеров'!$B$5:$M$16,B904,D904)/INDEX(Мес_Раб,D904))</f>
        <v/>
      </c>
    </row>
    <row r="905">
      <c r="A905" t="inlineStr">
        <is>
          <t>Сидоров</t>
        </is>
      </c>
      <c r="B905" t="n">
        <v>7</v>
      </c>
      <c r="C905" s="18">
        <f>'Календарь'!A160</f>
        <v/>
      </c>
      <c r="D905">
        <f>MONTH(C905)</f>
        <v/>
      </c>
      <c r="E905">
        <f>'Календарь'!D160</f>
        <v/>
      </c>
      <c r="F905">
        <f>INT((C905-Нед_Начало)/7)+1</f>
        <v/>
      </c>
      <c r="G905">
        <f>IF(E905=0,0,INDEX('Планы менеджеров'!$B$5:$M$16,B905,D905)/INDEX(Мес_Раб,D905))</f>
        <v/>
      </c>
    </row>
    <row r="906">
      <c r="A906" t="inlineStr">
        <is>
          <t>Сидоров</t>
        </is>
      </c>
      <c r="B906" t="n">
        <v>7</v>
      </c>
      <c r="C906" s="18">
        <f>'Календарь'!A161</f>
        <v/>
      </c>
      <c r="D906">
        <f>MONTH(C906)</f>
        <v/>
      </c>
      <c r="E906">
        <f>'Календарь'!D161</f>
        <v/>
      </c>
      <c r="F906">
        <f>INT((C906-Нед_Начало)/7)+1</f>
        <v/>
      </c>
      <c r="G906">
        <f>IF(E906=0,0,INDEX('Планы менеджеров'!$B$5:$M$16,B906,D906)/INDEX(Мес_Раб,D906))</f>
        <v/>
      </c>
    </row>
    <row r="907">
      <c r="A907" t="inlineStr">
        <is>
          <t>Сидоров</t>
        </is>
      </c>
      <c r="B907" t="n">
        <v>7</v>
      </c>
      <c r="C907" s="18">
        <f>'Календарь'!A162</f>
        <v/>
      </c>
      <c r="D907">
        <f>MONTH(C907)</f>
        <v/>
      </c>
      <c r="E907">
        <f>'Календарь'!D162</f>
        <v/>
      </c>
      <c r="F907">
        <f>INT((C907-Нед_Начало)/7)+1</f>
        <v/>
      </c>
      <c r="G907">
        <f>IF(E907=0,0,INDEX('Планы менеджеров'!$B$5:$M$16,B907,D907)/INDEX(Мес_Раб,D907))</f>
        <v/>
      </c>
    </row>
    <row r="908">
      <c r="A908" t="inlineStr">
        <is>
          <t>Сидоров</t>
        </is>
      </c>
      <c r="B908" t="n">
        <v>7</v>
      </c>
      <c r="C908" s="18">
        <f>'Календарь'!A163</f>
        <v/>
      </c>
      <c r="D908">
        <f>MONTH(C908)</f>
        <v/>
      </c>
      <c r="E908">
        <f>'Календарь'!D163</f>
        <v/>
      </c>
      <c r="F908">
        <f>INT((C908-Нед_Начало)/7)+1</f>
        <v/>
      </c>
      <c r="G908">
        <f>IF(E908=0,0,INDEX('Планы менеджеров'!$B$5:$M$16,B908,D908)/INDEX(Мес_Раб,D908))</f>
        <v/>
      </c>
    </row>
    <row r="909">
      <c r="A909" t="inlineStr">
        <is>
          <t>Сидоров</t>
        </is>
      </c>
      <c r="B909" t="n">
        <v>7</v>
      </c>
      <c r="C909" s="18">
        <f>'Календарь'!A164</f>
        <v/>
      </c>
      <c r="D909">
        <f>MONTH(C909)</f>
        <v/>
      </c>
      <c r="E909">
        <f>'Календарь'!D164</f>
        <v/>
      </c>
      <c r="F909">
        <f>INT((C909-Нед_Начало)/7)+1</f>
        <v/>
      </c>
      <c r="G909">
        <f>IF(E909=0,0,INDEX('Планы менеджеров'!$B$5:$M$16,B909,D909)/INDEX(Мес_Раб,D909))</f>
        <v/>
      </c>
    </row>
    <row r="910">
      <c r="A910" t="inlineStr">
        <is>
          <t>Сидоров</t>
        </is>
      </c>
      <c r="B910" t="n">
        <v>7</v>
      </c>
      <c r="C910" s="18">
        <f>'Календарь'!A165</f>
        <v/>
      </c>
      <c r="D910">
        <f>MONTH(C910)</f>
        <v/>
      </c>
      <c r="E910">
        <f>'Календарь'!D165</f>
        <v/>
      </c>
      <c r="F910">
        <f>INT((C910-Нед_Начало)/7)+1</f>
        <v/>
      </c>
      <c r="G910">
        <f>IF(E910=0,0,INDEX('Планы менеджеров'!$B$5:$M$16,B910,D910)/INDEX(Мес_Раб,D910))</f>
        <v/>
      </c>
    </row>
    <row r="911">
      <c r="A911" t="inlineStr">
        <is>
          <t>Сидоров</t>
        </is>
      </c>
      <c r="B911" t="n">
        <v>7</v>
      </c>
      <c r="C911" s="18">
        <f>'Календарь'!A166</f>
        <v/>
      </c>
      <c r="D911">
        <f>MONTH(C911)</f>
        <v/>
      </c>
      <c r="E911">
        <f>'Календарь'!D166</f>
        <v/>
      </c>
      <c r="F911">
        <f>INT((C911-Нед_Начало)/7)+1</f>
        <v/>
      </c>
      <c r="G911">
        <f>IF(E911=0,0,INDEX('Планы менеджеров'!$B$5:$M$16,B911,D911)/INDEX(Мес_Раб,D911))</f>
        <v/>
      </c>
    </row>
    <row r="912">
      <c r="A912" t="inlineStr">
        <is>
          <t>Сидоров</t>
        </is>
      </c>
      <c r="B912" t="n">
        <v>7</v>
      </c>
      <c r="C912" s="18">
        <f>'Календарь'!A167</f>
        <v/>
      </c>
      <c r="D912">
        <f>MONTH(C912)</f>
        <v/>
      </c>
      <c r="E912">
        <f>'Календарь'!D167</f>
        <v/>
      </c>
      <c r="F912">
        <f>INT((C912-Нед_Начало)/7)+1</f>
        <v/>
      </c>
      <c r="G912">
        <f>IF(E912=0,0,INDEX('Планы менеджеров'!$B$5:$M$16,B912,D912)/INDEX(Мес_Раб,D912))</f>
        <v/>
      </c>
    </row>
    <row r="913">
      <c r="A913" t="inlineStr">
        <is>
          <t>Сидоров</t>
        </is>
      </c>
      <c r="B913" t="n">
        <v>7</v>
      </c>
      <c r="C913" s="18">
        <f>'Календарь'!A168</f>
        <v/>
      </c>
      <c r="D913">
        <f>MONTH(C913)</f>
        <v/>
      </c>
      <c r="E913">
        <f>'Календарь'!D168</f>
        <v/>
      </c>
      <c r="F913">
        <f>INT((C913-Нед_Начало)/7)+1</f>
        <v/>
      </c>
      <c r="G913">
        <f>IF(E913=0,0,INDEX('Планы менеджеров'!$B$5:$M$16,B913,D913)/INDEX(Мес_Раб,D913))</f>
        <v/>
      </c>
    </row>
    <row r="914">
      <c r="A914" t="inlineStr">
        <is>
          <t>Сидоров</t>
        </is>
      </c>
      <c r="B914" t="n">
        <v>7</v>
      </c>
      <c r="C914" s="18">
        <f>'Календарь'!A169</f>
        <v/>
      </c>
      <c r="D914">
        <f>MONTH(C914)</f>
        <v/>
      </c>
      <c r="E914">
        <f>'Календарь'!D169</f>
        <v/>
      </c>
      <c r="F914">
        <f>INT((C914-Нед_Начало)/7)+1</f>
        <v/>
      </c>
      <c r="G914">
        <f>IF(E914=0,0,INDEX('Планы менеджеров'!$B$5:$M$16,B914,D914)/INDEX(Мес_Раб,D914))</f>
        <v/>
      </c>
    </row>
    <row r="915">
      <c r="A915" t="inlineStr">
        <is>
          <t>Сидоров</t>
        </is>
      </c>
      <c r="B915" t="n">
        <v>7</v>
      </c>
      <c r="C915" s="18">
        <f>'Календарь'!A170</f>
        <v/>
      </c>
      <c r="D915">
        <f>MONTH(C915)</f>
        <v/>
      </c>
      <c r="E915">
        <f>'Календарь'!D170</f>
        <v/>
      </c>
      <c r="F915">
        <f>INT((C915-Нед_Начало)/7)+1</f>
        <v/>
      </c>
      <c r="G915">
        <f>IF(E915=0,0,INDEX('Планы менеджеров'!$B$5:$M$16,B915,D915)/INDEX(Мес_Раб,D915))</f>
        <v/>
      </c>
    </row>
    <row r="916">
      <c r="A916" t="inlineStr">
        <is>
          <t>Сидоров</t>
        </is>
      </c>
      <c r="B916" t="n">
        <v>7</v>
      </c>
      <c r="C916" s="18">
        <f>'Календарь'!A171</f>
        <v/>
      </c>
      <c r="D916">
        <f>MONTH(C916)</f>
        <v/>
      </c>
      <c r="E916">
        <f>'Календарь'!D171</f>
        <v/>
      </c>
      <c r="F916">
        <f>INT((C916-Нед_Начало)/7)+1</f>
        <v/>
      </c>
      <c r="G916">
        <f>IF(E916=0,0,INDEX('Планы менеджеров'!$B$5:$M$16,B916,D916)/INDEX(Мес_Раб,D916))</f>
        <v/>
      </c>
    </row>
    <row r="917">
      <c r="A917" t="inlineStr">
        <is>
          <t>Сидоров</t>
        </is>
      </c>
      <c r="B917" t="n">
        <v>7</v>
      </c>
      <c r="C917" s="18">
        <f>'Календарь'!A172</f>
        <v/>
      </c>
      <c r="D917">
        <f>MONTH(C917)</f>
        <v/>
      </c>
      <c r="E917">
        <f>'Календарь'!D172</f>
        <v/>
      </c>
      <c r="F917">
        <f>INT((C917-Нед_Начало)/7)+1</f>
        <v/>
      </c>
      <c r="G917">
        <f>IF(E917=0,0,INDEX('Планы менеджеров'!$B$5:$M$16,B917,D917)/INDEX(Мес_Раб,D917))</f>
        <v/>
      </c>
    </row>
    <row r="918">
      <c r="A918" t="inlineStr">
        <is>
          <t>Сидоров</t>
        </is>
      </c>
      <c r="B918" t="n">
        <v>7</v>
      </c>
      <c r="C918" s="18">
        <f>'Календарь'!A173</f>
        <v/>
      </c>
      <c r="D918">
        <f>MONTH(C918)</f>
        <v/>
      </c>
      <c r="E918">
        <f>'Календарь'!D173</f>
        <v/>
      </c>
      <c r="F918">
        <f>INT((C918-Нед_Начало)/7)+1</f>
        <v/>
      </c>
      <c r="G918">
        <f>IF(E918=0,0,INDEX('Планы менеджеров'!$B$5:$M$16,B918,D918)/INDEX(Мес_Раб,D918))</f>
        <v/>
      </c>
    </row>
    <row r="919">
      <c r="A919" t="inlineStr">
        <is>
          <t>Сидоров</t>
        </is>
      </c>
      <c r="B919" t="n">
        <v>7</v>
      </c>
      <c r="C919" s="18">
        <f>'Календарь'!A174</f>
        <v/>
      </c>
      <c r="D919">
        <f>MONTH(C919)</f>
        <v/>
      </c>
      <c r="E919">
        <f>'Календарь'!D174</f>
        <v/>
      </c>
      <c r="F919">
        <f>INT((C919-Нед_Начало)/7)+1</f>
        <v/>
      </c>
      <c r="G919">
        <f>IF(E919=0,0,INDEX('Планы менеджеров'!$B$5:$M$16,B919,D919)/INDEX(Мес_Раб,D919))</f>
        <v/>
      </c>
    </row>
    <row r="920">
      <c r="A920" t="inlineStr">
        <is>
          <t>Сидоров</t>
        </is>
      </c>
      <c r="B920" t="n">
        <v>7</v>
      </c>
      <c r="C920" s="18">
        <f>'Календарь'!A175</f>
        <v/>
      </c>
      <c r="D920">
        <f>MONTH(C920)</f>
        <v/>
      </c>
      <c r="E920">
        <f>'Календарь'!D175</f>
        <v/>
      </c>
      <c r="F920">
        <f>INT((C920-Нед_Начало)/7)+1</f>
        <v/>
      </c>
      <c r="G920">
        <f>IF(E920=0,0,INDEX('Планы менеджеров'!$B$5:$M$16,B920,D920)/INDEX(Мес_Раб,D920))</f>
        <v/>
      </c>
    </row>
    <row r="921">
      <c r="A921" t="inlineStr">
        <is>
          <t>Сидоров</t>
        </is>
      </c>
      <c r="B921" t="n">
        <v>7</v>
      </c>
      <c r="C921" s="18">
        <f>'Календарь'!A176</f>
        <v/>
      </c>
      <c r="D921">
        <f>MONTH(C921)</f>
        <v/>
      </c>
      <c r="E921">
        <f>'Календарь'!D176</f>
        <v/>
      </c>
      <c r="F921">
        <f>INT((C921-Нед_Начало)/7)+1</f>
        <v/>
      </c>
      <c r="G921">
        <f>IF(E921=0,0,INDEX('Планы менеджеров'!$B$5:$M$16,B921,D921)/INDEX(Мес_Раб,D921))</f>
        <v/>
      </c>
    </row>
    <row r="922">
      <c r="A922" t="inlineStr">
        <is>
          <t>Сидоров</t>
        </is>
      </c>
      <c r="B922" t="n">
        <v>7</v>
      </c>
      <c r="C922" s="18">
        <f>'Календарь'!A177</f>
        <v/>
      </c>
      <c r="D922">
        <f>MONTH(C922)</f>
        <v/>
      </c>
      <c r="E922">
        <f>'Календарь'!D177</f>
        <v/>
      </c>
      <c r="F922">
        <f>INT((C922-Нед_Начало)/7)+1</f>
        <v/>
      </c>
      <c r="G922">
        <f>IF(E922=0,0,INDEX('Планы менеджеров'!$B$5:$M$16,B922,D922)/INDEX(Мес_Раб,D922))</f>
        <v/>
      </c>
    </row>
    <row r="923">
      <c r="A923" t="inlineStr">
        <is>
          <t>Сидоров</t>
        </is>
      </c>
      <c r="B923" t="n">
        <v>7</v>
      </c>
      <c r="C923" s="18">
        <f>'Календарь'!A178</f>
        <v/>
      </c>
      <c r="D923">
        <f>MONTH(C923)</f>
        <v/>
      </c>
      <c r="E923">
        <f>'Календарь'!D178</f>
        <v/>
      </c>
      <c r="F923">
        <f>INT((C923-Нед_Начало)/7)+1</f>
        <v/>
      </c>
      <c r="G923">
        <f>IF(E923=0,0,INDEX('Планы менеджеров'!$B$5:$M$16,B923,D923)/INDEX(Мес_Раб,D923))</f>
        <v/>
      </c>
    </row>
    <row r="924">
      <c r="A924" t="inlineStr">
        <is>
          <t>Сидоров</t>
        </is>
      </c>
      <c r="B924" t="n">
        <v>7</v>
      </c>
      <c r="C924" s="18">
        <f>'Календарь'!A179</f>
        <v/>
      </c>
      <c r="D924">
        <f>MONTH(C924)</f>
        <v/>
      </c>
      <c r="E924">
        <f>'Календарь'!D179</f>
        <v/>
      </c>
      <c r="F924">
        <f>INT((C924-Нед_Начало)/7)+1</f>
        <v/>
      </c>
      <c r="G924">
        <f>IF(E924=0,0,INDEX('Планы менеджеров'!$B$5:$M$16,B924,D924)/INDEX(Мес_Раб,D924))</f>
        <v/>
      </c>
    </row>
    <row r="925">
      <c r="A925" t="inlineStr">
        <is>
          <t>Сидоров</t>
        </is>
      </c>
      <c r="B925" t="n">
        <v>7</v>
      </c>
      <c r="C925" s="18">
        <f>'Календарь'!A180</f>
        <v/>
      </c>
      <c r="D925">
        <f>MONTH(C925)</f>
        <v/>
      </c>
      <c r="E925">
        <f>'Календарь'!D180</f>
        <v/>
      </c>
      <c r="F925">
        <f>INT((C925-Нед_Начало)/7)+1</f>
        <v/>
      </c>
      <c r="G925">
        <f>IF(E925=0,0,INDEX('Планы менеджеров'!$B$5:$M$16,B925,D925)/INDEX(Мес_Раб,D925))</f>
        <v/>
      </c>
    </row>
    <row r="926">
      <c r="A926" t="inlineStr">
        <is>
          <t>Сидоров</t>
        </is>
      </c>
      <c r="B926" t="n">
        <v>7</v>
      </c>
      <c r="C926" s="18">
        <f>'Календарь'!A181</f>
        <v/>
      </c>
      <c r="D926">
        <f>MONTH(C926)</f>
        <v/>
      </c>
      <c r="E926">
        <f>'Календарь'!D181</f>
        <v/>
      </c>
      <c r="F926">
        <f>INT((C926-Нед_Начало)/7)+1</f>
        <v/>
      </c>
      <c r="G926">
        <f>IF(E926=0,0,INDEX('Планы менеджеров'!$B$5:$M$16,B926,D926)/INDEX(Мес_Раб,D926))</f>
        <v/>
      </c>
    </row>
    <row r="927">
      <c r="A927" t="inlineStr">
        <is>
          <t>Сидоров</t>
        </is>
      </c>
      <c r="B927" t="n">
        <v>7</v>
      </c>
      <c r="C927" s="18">
        <f>'Календарь'!A182</f>
        <v/>
      </c>
      <c r="D927">
        <f>MONTH(C927)</f>
        <v/>
      </c>
      <c r="E927">
        <f>'Календарь'!D182</f>
        <v/>
      </c>
      <c r="F927">
        <f>INT((C927-Нед_Начало)/7)+1</f>
        <v/>
      </c>
      <c r="G927">
        <f>IF(E927=0,0,INDEX('Планы менеджеров'!$B$5:$M$16,B927,D927)/INDEX(Мес_Раб,D927))</f>
        <v/>
      </c>
    </row>
    <row r="928">
      <c r="A928" t="inlineStr">
        <is>
          <t>Сидоров</t>
        </is>
      </c>
      <c r="B928" t="n">
        <v>7</v>
      </c>
      <c r="C928" s="18">
        <f>'Календарь'!A183</f>
        <v/>
      </c>
      <c r="D928">
        <f>MONTH(C928)</f>
        <v/>
      </c>
      <c r="E928">
        <f>'Календарь'!D183</f>
        <v/>
      </c>
      <c r="F928">
        <f>INT((C928-Нед_Начало)/7)+1</f>
        <v/>
      </c>
      <c r="G928">
        <f>IF(E928=0,0,INDEX('Планы менеджеров'!$B$5:$M$16,B928,D928)/INDEX(Мес_Раб,D928))</f>
        <v/>
      </c>
    </row>
    <row r="929">
      <c r="A929" t="inlineStr">
        <is>
          <t>Сидоров</t>
        </is>
      </c>
      <c r="B929" t="n">
        <v>7</v>
      </c>
      <c r="C929" s="18">
        <f>'Календарь'!A184</f>
        <v/>
      </c>
      <c r="D929">
        <f>MONTH(C929)</f>
        <v/>
      </c>
      <c r="E929">
        <f>'Календарь'!D184</f>
        <v/>
      </c>
      <c r="F929">
        <f>INT((C929-Нед_Начало)/7)+1</f>
        <v/>
      </c>
      <c r="G929">
        <f>IF(E929=0,0,INDEX('Планы менеджеров'!$B$5:$M$16,B929,D929)/INDEX(Мес_Раб,D929))</f>
        <v/>
      </c>
    </row>
    <row r="930">
      <c r="A930" t="inlineStr">
        <is>
          <t>Сидоров</t>
        </is>
      </c>
      <c r="B930" t="n">
        <v>7</v>
      </c>
      <c r="C930" s="18">
        <f>'Календарь'!A185</f>
        <v/>
      </c>
      <c r="D930">
        <f>MONTH(C930)</f>
        <v/>
      </c>
      <c r="E930">
        <f>'Календарь'!D185</f>
        <v/>
      </c>
      <c r="F930">
        <f>INT((C930-Нед_Начало)/7)+1</f>
        <v/>
      </c>
      <c r="G930">
        <f>IF(E930=0,0,INDEX('Планы менеджеров'!$B$5:$M$16,B930,D930)/INDEX(Мес_Раб,D930))</f>
        <v/>
      </c>
    </row>
    <row r="931">
      <c r="A931" t="inlineStr">
        <is>
          <t>Сидоров</t>
        </is>
      </c>
      <c r="B931" t="n">
        <v>7</v>
      </c>
      <c r="C931" s="18">
        <f>'Календарь'!A186</f>
        <v/>
      </c>
      <c r="D931">
        <f>MONTH(C931)</f>
        <v/>
      </c>
      <c r="E931">
        <f>'Календарь'!D186</f>
        <v/>
      </c>
      <c r="F931">
        <f>INT((C931-Нед_Начало)/7)+1</f>
        <v/>
      </c>
      <c r="G931">
        <f>IF(E931=0,0,INDEX('Планы менеджеров'!$B$5:$M$16,B931,D931)/INDEX(Мес_Раб,D931))</f>
        <v/>
      </c>
    </row>
    <row r="932">
      <c r="A932" t="inlineStr">
        <is>
          <t>Сидоров</t>
        </is>
      </c>
      <c r="B932" t="n">
        <v>7</v>
      </c>
      <c r="C932" s="18">
        <f>'Календарь'!A187</f>
        <v/>
      </c>
      <c r="D932">
        <f>MONTH(C932)</f>
        <v/>
      </c>
      <c r="E932">
        <f>'Календарь'!D187</f>
        <v/>
      </c>
      <c r="F932">
        <f>INT((C932-Нед_Начало)/7)+1</f>
        <v/>
      </c>
      <c r="G932">
        <f>IF(E932=0,0,INDEX('Планы менеджеров'!$B$5:$M$16,B932,D932)/INDEX(Мес_Раб,D932))</f>
        <v/>
      </c>
    </row>
    <row r="933">
      <c r="A933" t="inlineStr">
        <is>
          <t>Сидоров</t>
        </is>
      </c>
      <c r="B933" t="n">
        <v>7</v>
      </c>
      <c r="C933" s="18">
        <f>'Календарь'!A188</f>
        <v/>
      </c>
      <c r="D933">
        <f>MONTH(C933)</f>
        <v/>
      </c>
      <c r="E933">
        <f>'Календарь'!D188</f>
        <v/>
      </c>
      <c r="F933">
        <f>INT((C933-Нед_Начало)/7)+1</f>
        <v/>
      </c>
      <c r="G933">
        <f>IF(E933=0,0,INDEX('Планы менеджеров'!$B$5:$M$16,B933,D933)/INDEX(Мес_Раб,D933))</f>
        <v/>
      </c>
    </row>
    <row r="934">
      <c r="A934" t="inlineStr">
        <is>
          <t>Сидоров</t>
        </is>
      </c>
      <c r="B934" t="n">
        <v>7</v>
      </c>
      <c r="C934" s="18">
        <f>'Календарь'!A189</f>
        <v/>
      </c>
      <c r="D934">
        <f>MONTH(C934)</f>
        <v/>
      </c>
      <c r="E934">
        <f>'Календарь'!D189</f>
        <v/>
      </c>
      <c r="F934">
        <f>INT((C934-Нед_Начало)/7)+1</f>
        <v/>
      </c>
      <c r="G934">
        <f>IF(E934=0,0,INDEX('Планы менеджеров'!$B$5:$M$16,B934,D934)/INDEX(Мес_Раб,D934))</f>
        <v/>
      </c>
    </row>
    <row r="935">
      <c r="A935" t="inlineStr">
        <is>
          <t>Сидоров</t>
        </is>
      </c>
      <c r="B935" t="n">
        <v>7</v>
      </c>
      <c r="C935" s="18">
        <f>'Календарь'!A190</f>
        <v/>
      </c>
      <c r="D935">
        <f>MONTH(C935)</f>
        <v/>
      </c>
      <c r="E935">
        <f>'Календарь'!D190</f>
        <v/>
      </c>
      <c r="F935">
        <f>INT((C935-Нед_Начало)/7)+1</f>
        <v/>
      </c>
      <c r="G935">
        <f>IF(E935=0,0,INDEX('Планы менеджеров'!$B$5:$M$16,B935,D935)/INDEX(Мес_Раб,D935))</f>
        <v/>
      </c>
    </row>
    <row r="936">
      <c r="A936" t="inlineStr">
        <is>
          <t>Сидоров</t>
        </is>
      </c>
      <c r="B936" t="n">
        <v>7</v>
      </c>
      <c r="C936" s="18">
        <f>'Календарь'!A191</f>
        <v/>
      </c>
      <c r="D936">
        <f>MONTH(C936)</f>
        <v/>
      </c>
      <c r="E936">
        <f>'Календарь'!D191</f>
        <v/>
      </c>
      <c r="F936">
        <f>INT((C936-Нед_Начало)/7)+1</f>
        <v/>
      </c>
      <c r="G936">
        <f>IF(E936=0,0,INDEX('Планы менеджеров'!$B$5:$M$16,B936,D936)/INDEX(Мес_Раб,D936))</f>
        <v/>
      </c>
    </row>
    <row r="937">
      <c r="A937" t="inlineStr">
        <is>
          <t>Сидоров</t>
        </is>
      </c>
      <c r="B937" t="n">
        <v>7</v>
      </c>
      <c r="C937" s="18">
        <f>'Календарь'!A192</f>
        <v/>
      </c>
      <c r="D937">
        <f>MONTH(C937)</f>
        <v/>
      </c>
      <c r="E937">
        <f>'Календарь'!D192</f>
        <v/>
      </c>
      <c r="F937">
        <f>INT((C937-Нед_Начало)/7)+1</f>
        <v/>
      </c>
      <c r="G937">
        <f>IF(E937=0,0,INDEX('Планы менеджеров'!$B$5:$M$16,B937,D937)/INDEX(Мес_Раб,D937))</f>
        <v/>
      </c>
    </row>
    <row r="938">
      <c r="A938" t="inlineStr">
        <is>
          <t>Сидоров</t>
        </is>
      </c>
      <c r="B938" t="n">
        <v>7</v>
      </c>
      <c r="C938" s="18">
        <f>'Календарь'!A193</f>
        <v/>
      </c>
      <c r="D938">
        <f>MONTH(C938)</f>
        <v/>
      </c>
      <c r="E938">
        <f>'Календарь'!D193</f>
        <v/>
      </c>
      <c r="F938">
        <f>INT((C938-Нед_Начало)/7)+1</f>
        <v/>
      </c>
      <c r="G938">
        <f>IF(E938=0,0,INDEX('Планы менеджеров'!$B$5:$M$16,B938,D938)/INDEX(Мес_Раб,D938))</f>
        <v/>
      </c>
    </row>
    <row r="939">
      <c r="A939" t="inlineStr">
        <is>
          <t>Сидоров</t>
        </is>
      </c>
      <c r="B939" t="n">
        <v>7</v>
      </c>
      <c r="C939" s="18">
        <f>'Календарь'!A194</f>
        <v/>
      </c>
      <c r="D939">
        <f>MONTH(C939)</f>
        <v/>
      </c>
      <c r="E939">
        <f>'Календарь'!D194</f>
        <v/>
      </c>
      <c r="F939">
        <f>INT((C939-Нед_Начало)/7)+1</f>
        <v/>
      </c>
      <c r="G939">
        <f>IF(E939=0,0,INDEX('Планы менеджеров'!$B$5:$M$16,B939,D939)/INDEX(Мес_Раб,D939))</f>
        <v/>
      </c>
    </row>
    <row r="940">
      <c r="A940" t="inlineStr">
        <is>
          <t>Сидоров</t>
        </is>
      </c>
      <c r="B940" t="n">
        <v>7</v>
      </c>
      <c r="C940" s="18">
        <f>'Календарь'!A195</f>
        <v/>
      </c>
      <c r="D940">
        <f>MONTH(C940)</f>
        <v/>
      </c>
      <c r="E940">
        <f>'Календарь'!D195</f>
        <v/>
      </c>
      <c r="F940">
        <f>INT((C940-Нед_Начало)/7)+1</f>
        <v/>
      </c>
      <c r="G940">
        <f>IF(E940=0,0,INDEX('Планы менеджеров'!$B$5:$M$16,B940,D940)/INDEX(Мес_Раб,D940))</f>
        <v/>
      </c>
    </row>
    <row r="941">
      <c r="A941" t="inlineStr">
        <is>
          <t>Сидоров</t>
        </is>
      </c>
      <c r="B941" t="n">
        <v>7</v>
      </c>
      <c r="C941" s="18">
        <f>'Календарь'!A196</f>
        <v/>
      </c>
      <c r="D941">
        <f>MONTH(C941)</f>
        <v/>
      </c>
      <c r="E941">
        <f>'Календарь'!D196</f>
        <v/>
      </c>
      <c r="F941">
        <f>INT((C941-Нед_Начало)/7)+1</f>
        <v/>
      </c>
      <c r="G941">
        <f>IF(E941=0,0,INDEX('Планы менеджеров'!$B$5:$M$16,B941,D941)/INDEX(Мес_Раб,D941))</f>
        <v/>
      </c>
    </row>
    <row r="942">
      <c r="A942" t="inlineStr">
        <is>
          <t>Сидоров</t>
        </is>
      </c>
      <c r="B942" t="n">
        <v>7</v>
      </c>
      <c r="C942" s="18">
        <f>'Календарь'!A197</f>
        <v/>
      </c>
      <c r="D942">
        <f>MONTH(C942)</f>
        <v/>
      </c>
      <c r="E942">
        <f>'Календарь'!D197</f>
        <v/>
      </c>
      <c r="F942">
        <f>INT((C942-Нед_Начало)/7)+1</f>
        <v/>
      </c>
      <c r="G942">
        <f>IF(E942=0,0,INDEX('Планы менеджеров'!$B$5:$M$16,B942,D942)/INDEX(Мес_Раб,D942))</f>
        <v/>
      </c>
    </row>
    <row r="943">
      <c r="A943" t="inlineStr">
        <is>
          <t>Сидоров</t>
        </is>
      </c>
      <c r="B943" t="n">
        <v>7</v>
      </c>
      <c r="C943" s="18">
        <f>'Календарь'!A198</f>
        <v/>
      </c>
      <c r="D943">
        <f>MONTH(C943)</f>
        <v/>
      </c>
      <c r="E943">
        <f>'Календарь'!D198</f>
        <v/>
      </c>
      <c r="F943">
        <f>INT((C943-Нед_Начало)/7)+1</f>
        <v/>
      </c>
      <c r="G943">
        <f>IF(E943=0,0,INDEX('Планы менеджеров'!$B$5:$M$16,B943,D943)/INDEX(Мес_Раб,D943))</f>
        <v/>
      </c>
    </row>
    <row r="944">
      <c r="A944" t="inlineStr">
        <is>
          <t>Сидоров</t>
        </is>
      </c>
      <c r="B944" t="n">
        <v>7</v>
      </c>
      <c r="C944" s="18">
        <f>'Календарь'!A199</f>
        <v/>
      </c>
      <c r="D944">
        <f>MONTH(C944)</f>
        <v/>
      </c>
      <c r="E944">
        <f>'Календарь'!D199</f>
        <v/>
      </c>
      <c r="F944">
        <f>INT((C944-Нед_Начало)/7)+1</f>
        <v/>
      </c>
      <c r="G944">
        <f>IF(E944=0,0,INDEX('Планы менеджеров'!$B$5:$M$16,B944,D944)/INDEX(Мес_Раб,D944))</f>
        <v/>
      </c>
    </row>
    <row r="945">
      <c r="A945" t="inlineStr">
        <is>
          <t>Сидоров</t>
        </is>
      </c>
      <c r="B945" t="n">
        <v>7</v>
      </c>
      <c r="C945" s="18">
        <f>'Календарь'!A200</f>
        <v/>
      </c>
      <c r="D945">
        <f>MONTH(C945)</f>
        <v/>
      </c>
      <c r="E945">
        <f>'Календарь'!D200</f>
        <v/>
      </c>
      <c r="F945">
        <f>INT((C945-Нед_Начало)/7)+1</f>
        <v/>
      </c>
      <c r="G945">
        <f>IF(E945=0,0,INDEX('Планы менеджеров'!$B$5:$M$16,B945,D945)/INDEX(Мес_Раб,D945))</f>
        <v/>
      </c>
    </row>
    <row r="946">
      <c r="A946" t="inlineStr">
        <is>
          <t>Сидоров</t>
        </is>
      </c>
      <c r="B946" t="n">
        <v>7</v>
      </c>
      <c r="C946" s="18">
        <f>'Календарь'!A201</f>
        <v/>
      </c>
      <c r="D946">
        <f>MONTH(C946)</f>
        <v/>
      </c>
      <c r="E946">
        <f>'Календарь'!D201</f>
        <v/>
      </c>
      <c r="F946">
        <f>INT((C946-Нед_Начало)/7)+1</f>
        <v/>
      </c>
      <c r="G946">
        <f>IF(E946=0,0,INDEX('Планы менеджеров'!$B$5:$M$16,B946,D946)/INDEX(Мес_Раб,D946))</f>
        <v/>
      </c>
    </row>
    <row r="947">
      <c r="A947" t="inlineStr">
        <is>
          <t>Сидоров</t>
        </is>
      </c>
      <c r="B947" t="n">
        <v>7</v>
      </c>
      <c r="C947" s="18">
        <f>'Календарь'!A202</f>
        <v/>
      </c>
      <c r="D947">
        <f>MONTH(C947)</f>
        <v/>
      </c>
      <c r="E947">
        <f>'Календарь'!D202</f>
        <v/>
      </c>
      <c r="F947">
        <f>INT((C947-Нед_Начало)/7)+1</f>
        <v/>
      </c>
      <c r="G947">
        <f>IF(E947=0,0,INDEX('Планы менеджеров'!$B$5:$M$16,B947,D947)/INDEX(Мес_Раб,D947))</f>
        <v/>
      </c>
    </row>
    <row r="948">
      <c r="A948" t="inlineStr">
        <is>
          <t>Сидоров</t>
        </is>
      </c>
      <c r="B948" t="n">
        <v>7</v>
      </c>
      <c r="C948" s="18">
        <f>'Календарь'!A203</f>
        <v/>
      </c>
      <c r="D948">
        <f>MONTH(C948)</f>
        <v/>
      </c>
      <c r="E948">
        <f>'Календарь'!D203</f>
        <v/>
      </c>
      <c r="F948">
        <f>INT((C948-Нед_Начало)/7)+1</f>
        <v/>
      </c>
      <c r="G948">
        <f>IF(E948=0,0,INDEX('Планы менеджеров'!$B$5:$M$16,B948,D948)/INDEX(Мес_Раб,D948))</f>
        <v/>
      </c>
    </row>
    <row r="949">
      <c r="A949" t="inlineStr">
        <is>
          <t>Сидоров</t>
        </is>
      </c>
      <c r="B949" t="n">
        <v>7</v>
      </c>
      <c r="C949" s="18">
        <f>'Календарь'!A204</f>
        <v/>
      </c>
      <c r="D949">
        <f>MONTH(C949)</f>
        <v/>
      </c>
      <c r="E949">
        <f>'Календарь'!D204</f>
        <v/>
      </c>
      <c r="F949">
        <f>INT((C949-Нед_Начало)/7)+1</f>
        <v/>
      </c>
      <c r="G949">
        <f>IF(E949=0,0,INDEX('Планы менеджеров'!$B$5:$M$16,B949,D949)/INDEX(Мес_Раб,D949))</f>
        <v/>
      </c>
    </row>
    <row r="950">
      <c r="A950" t="inlineStr">
        <is>
          <t>Сидоров</t>
        </is>
      </c>
      <c r="B950" t="n">
        <v>7</v>
      </c>
      <c r="C950" s="18">
        <f>'Календарь'!A205</f>
        <v/>
      </c>
      <c r="D950">
        <f>MONTH(C950)</f>
        <v/>
      </c>
      <c r="E950">
        <f>'Календарь'!D205</f>
        <v/>
      </c>
      <c r="F950">
        <f>INT((C950-Нед_Начало)/7)+1</f>
        <v/>
      </c>
      <c r="G950">
        <f>IF(E950=0,0,INDEX('Планы менеджеров'!$B$5:$M$16,B950,D950)/INDEX(Мес_Раб,D950))</f>
        <v/>
      </c>
    </row>
    <row r="951">
      <c r="A951" t="inlineStr">
        <is>
          <t>Сидоров</t>
        </is>
      </c>
      <c r="B951" t="n">
        <v>7</v>
      </c>
      <c r="C951" s="18">
        <f>'Календарь'!A206</f>
        <v/>
      </c>
      <c r="D951">
        <f>MONTH(C951)</f>
        <v/>
      </c>
      <c r="E951">
        <f>'Календарь'!D206</f>
        <v/>
      </c>
      <c r="F951">
        <f>INT((C951-Нед_Начало)/7)+1</f>
        <v/>
      </c>
      <c r="G951">
        <f>IF(E951=0,0,INDEX('Планы менеджеров'!$B$5:$M$16,B951,D951)/INDEX(Мес_Раб,D951))</f>
        <v/>
      </c>
    </row>
    <row r="952">
      <c r="A952" t="inlineStr">
        <is>
          <t>Сидоров</t>
        </is>
      </c>
      <c r="B952" t="n">
        <v>7</v>
      </c>
      <c r="C952" s="18">
        <f>'Календарь'!A207</f>
        <v/>
      </c>
      <c r="D952">
        <f>MONTH(C952)</f>
        <v/>
      </c>
      <c r="E952">
        <f>'Календарь'!D207</f>
        <v/>
      </c>
      <c r="F952">
        <f>INT((C952-Нед_Начало)/7)+1</f>
        <v/>
      </c>
      <c r="G952">
        <f>IF(E952=0,0,INDEX('Планы менеджеров'!$B$5:$M$16,B952,D952)/INDEX(Мес_Раб,D952))</f>
        <v/>
      </c>
    </row>
    <row r="953">
      <c r="A953" t="inlineStr">
        <is>
          <t>Сидоров</t>
        </is>
      </c>
      <c r="B953" t="n">
        <v>7</v>
      </c>
      <c r="C953" s="18">
        <f>'Календарь'!A208</f>
        <v/>
      </c>
      <c r="D953">
        <f>MONTH(C953)</f>
        <v/>
      </c>
      <c r="E953">
        <f>'Календарь'!D208</f>
        <v/>
      </c>
      <c r="F953">
        <f>INT((C953-Нед_Начало)/7)+1</f>
        <v/>
      </c>
      <c r="G953">
        <f>IF(E953=0,0,INDEX('Планы менеджеров'!$B$5:$M$16,B953,D953)/INDEX(Мес_Раб,D953))</f>
        <v/>
      </c>
    </row>
    <row r="954">
      <c r="A954" t="inlineStr">
        <is>
          <t>Сидоров</t>
        </is>
      </c>
      <c r="B954" t="n">
        <v>7</v>
      </c>
      <c r="C954" s="18">
        <f>'Календарь'!A209</f>
        <v/>
      </c>
      <c r="D954">
        <f>MONTH(C954)</f>
        <v/>
      </c>
      <c r="E954">
        <f>'Календарь'!D209</f>
        <v/>
      </c>
      <c r="F954">
        <f>INT((C954-Нед_Начало)/7)+1</f>
        <v/>
      </c>
      <c r="G954">
        <f>IF(E954=0,0,INDEX('Планы менеджеров'!$B$5:$M$16,B954,D954)/INDEX(Мес_Раб,D954))</f>
        <v/>
      </c>
    </row>
    <row r="955">
      <c r="A955" t="inlineStr">
        <is>
          <t>Сидоров</t>
        </is>
      </c>
      <c r="B955" t="n">
        <v>7</v>
      </c>
      <c r="C955" s="18">
        <f>'Календарь'!A210</f>
        <v/>
      </c>
      <c r="D955">
        <f>MONTH(C955)</f>
        <v/>
      </c>
      <c r="E955">
        <f>'Календарь'!D210</f>
        <v/>
      </c>
      <c r="F955">
        <f>INT((C955-Нед_Начало)/7)+1</f>
        <v/>
      </c>
      <c r="G955">
        <f>IF(E955=0,0,INDEX('Планы менеджеров'!$B$5:$M$16,B955,D955)/INDEX(Мес_Раб,D955))</f>
        <v/>
      </c>
    </row>
    <row r="956">
      <c r="A956" t="inlineStr">
        <is>
          <t>Сидоров</t>
        </is>
      </c>
      <c r="B956" t="n">
        <v>7</v>
      </c>
      <c r="C956" s="18">
        <f>'Календарь'!A211</f>
        <v/>
      </c>
      <c r="D956">
        <f>MONTH(C956)</f>
        <v/>
      </c>
      <c r="E956">
        <f>'Календарь'!D211</f>
        <v/>
      </c>
      <c r="F956">
        <f>INT((C956-Нед_Начало)/7)+1</f>
        <v/>
      </c>
      <c r="G956">
        <f>IF(E956=0,0,INDEX('Планы менеджеров'!$B$5:$M$16,B956,D956)/INDEX(Мес_Раб,D956))</f>
        <v/>
      </c>
    </row>
    <row r="957">
      <c r="A957" t="inlineStr">
        <is>
          <t>Сидоров</t>
        </is>
      </c>
      <c r="B957" t="n">
        <v>7</v>
      </c>
      <c r="C957" s="18">
        <f>'Календарь'!A212</f>
        <v/>
      </c>
      <c r="D957">
        <f>MONTH(C957)</f>
        <v/>
      </c>
      <c r="E957">
        <f>'Календарь'!D212</f>
        <v/>
      </c>
      <c r="F957">
        <f>INT((C957-Нед_Начало)/7)+1</f>
        <v/>
      </c>
      <c r="G957">
        <f>IF(E957=0,0,INDEX('Планы менеджеров'!$B$5:$M$16,B957,D957)/INDEX(Мес_Раб,D957))</f>
        <v/>
      </c>
    </row>
    <row r="958">
      <c r="A958" t="inlineStr">
        <is>
          <t>Сидоров</t>
        </is>
      </c>
      <c r="B958" t="n">
        <v>7</v>
      </c>
      <c r="C958" s="18">
        <f>'Календарь'!A213</f>
        <v/>
      </c>
      <c r="D958">
        <f>MONTH(C958)</f>
        <v/>
      </c>
      <c r="E958">
        <f>'Календарь'!D213</f>
        <v/>
      </c>
      <c r="F958">
        <f>INT((C958-Нед_Начало)/7)+1</f>
        <v/>
      </c>
      <c r="G958">
        <f>IF(E958=0,0,INDEX('Планы менеджеров'!$B$5:$M$16,B958,D958)/INDEX(Мес_Раб,D958))</f>
        <v/>
      </c>
    </row>
    <row r="959">
      <c r="A959" t="inlineStr">
        <is>
          <t>Сидоров</t>
        </is>
      </c>
      <c r="B959" t="n">
        <v>7</v>
      </c>
      <c r="C959" s="18">
        <f>'Календарь'!A214</f>
        <v/>
      </c>
      <c r="D959">
        <f>MONTH(C959)</f>
        <v/>
      </c>
      <c r="E959">
        <f>'Календарь'!D214</f>
        <v/>
      </c>
      <c r="F959">
        <f>INT((C959-Нед_Начало)/7)+1</f>
        <v/>
      </c>
      <c r="G959">
        <f>IF(E959=0,0,INDEX('Планы менеджеров'!$B$5:$M$16,B959,D959)/INDEX(Мес_Раб,D959))</f>
        <v/>
      </c>
    </row>
    <row r="960">
      <c r="A960" t="inlineStr">
        <is>
          <t>Сидоров</t>
        </is>
      </c>
      <c r="B960" t="n">
        <v>7</v>
      </c>
      <c r="C960" s="18">
        <f>'Календарь'!A215</f>
        <v/>
      </c>
      <c r="D960">
        <f>MONTH(C960)</f>
        <v/>
      </c>
      <c r="E960">
        <f>'Календарь'!D215</f>
        <v/>
      </c>
      <c r="F960">
        <f>INT((C960-Нед_Начало)/7)+1</f>
        <v/>
      </c>
      <c r="G960">
        <f>IF(E960=0,0,INDEX('Планы менеджеров'!$B$5:$M$16,B960,D960)/INDEX(Мес_Раб,D960))</f>
        <v/>
      </c>
    </row>
    <row r="961">
      <c r="A961" t="inlineStr">
        <is>
          <t>Сидоров</t>
        </is>
      </c>
      <c r="B961" t="n">
        <v>7</v>
      </c>
      <c r="C961" s="18">
        <f>'Календарь'!A216</f>
        <v/>
      </c>
      <c r="D961">
        <f>MONTH(C961)</f>
        <v/>
      </c>
      <c r="E961">
        <f>'Календарь'!D216</f>
        <v/>
      </c>
      <c r="F961">
        <f>INT((C961-Нед_Начало)/7)+1</f>
        <v/>
      </c>
      <c r="G961">
        <f>IF(E961=0,0,INDEX('Планы менеджеров'!$B$5:$M$16,B961,D961)/INDEX(Мес_Раб,D961))</f>
        <v/>
      </c>
    </row>
    <row r="962">
      <c r="A962" t="inlineStr">
        <is>
          <t>Сидоров</t>
        </is>
      </c>
      <c r="B962" t="n">
        <v>7</v>
      </c>
      <c r="C962" s="18">
        <f>'Календарь'!A217</f>
        <v/>
      </c>
      <c r="D962">
        <f>MONTH(C962)</f>
        <v/>
      </c>
      <c r="E962">
        <f>'Календарь'!D217</f>
        <v/>
      </c>
      <c r="F962">
        <f>INT((C962-Нед_Начало)/7)+1</f>
        <v/>
      </c>
      <c r="G962">
        <f>IF(E962=0,0,INDEX('Планы менеджеров'!$B$5:$M$16,B962,D962)/INDEX(Мес_Раб,D962))</f>
        <v/>
      </c>
    </row>
    <row r="963">
      <c r="A963" t="inlineStr">
        <is>
          <t>Сидоров</t>
        </is>
      </c>
      <c r="B963" t="n">
        <v>7</v>
      </c>
      <c r="C963" s="18">
        <f>'Календарь'!A218</f>
        <v/>
      </c>
      <c r="D963">
        <f>MONTH(C963)</f>
        <v/>
      </c>
      <c r="E963">
        <f>'Календарь'!D218</f>
        <v/>
      </c>
      <c r="F963">
        <f>INT((C963-Нед_Начало)/7)+1</f>
        <v/>
      </c>
      <c r="G963">
        <f>IF(E963=0,0,INDEX('Планы менеджеров'!$B$5:$M$16,B963,D963)/INDEX(Мес_Раб,D963))</f>
        <v/>
      </c>
    </row>
    <row r="964">
      <c r="A964" t="inlineStr">
        <is>
          <t>Сидоров</t>
        </is>
      </c>
      <c r="B964" t="n">
        <v>7</v>
      </c>
      <c r="C964" s="18">
        <f>'Календарь'!A219</f>
        <v/>
      </c>
      <c r="D964">
        <f>MONTH(C964)</f>
        <v/>
      </c>
      <c r="E964">
        <f>'Календарь'!D219</f>
        <v/>
      </c>
      <c r="F964">
        <f>INT((C964-Нед_Начало)/7)+1</f>
        <v/>
      </c>
      <c r="G964">
        <f>IF(E964=0,0,INDEX('Планы менеджеров'!$B$5:$M$16,B964,D964)/INDEX(Мес_Раб,D964))</f>
        <v/>
      </c>
    </row>
    <row r="965">
      <c r="A965" t="inlineStr">
        <is>
          <t>Сидоров</t>
        </is>
      </c>
      <c r="B965" t="n">
        <v>7</v>
      </c>
      <c r="C965" s="18">
        <f>'Календарь'!A220</f>
        <v/>
      </c>
      <c r="D965">
        <f>MONTH(C965)</f>
        <v/>
      </c>
      <c r="E965">
        <f>'Календарь'!D220</f>
        <v/>
      </c>
      <c r="F965">
        <f>INT((C965-Нед_Начало)/7)+1</f>
        <v/>
      </c>
      <c r="G965">
        <f>IF(E965=0,0,INDEX('Планы менеджеров'!$B$5:$M$16,B965,D965)/INDEX(Мес_Раб,D965))</f>
        <v/>
      </c>
    </row>
    <row r="966">
      <c r="A966" t="inlineStr">
        <is>
          <t>Сидоров</t>
        </is>
      </c>
      <c r="B966" t="n">
        <v>7</v>
      </c>
      <c r="C966" s="18">
        <f>'Календарь'!A221</f>
        <v/>
      </c>
      <c r="D966">
        <f>MONTH(C966)</f>
        <v/>
      </c>
      <c r="E966">
        <f>'Календарь'!D221</f>
        <v/>
      </c>
      <c r="F966">
        <f>INT((C966-Нед_Начало)/7)+1</f>
        <v/>
      </c>
      <c r="G966">
        <f>IF(E966=0,0,INDEX('Планы менеджеров'!$B$5:$M$16,B966,D966)/INDEX(Мес_Раб,D966))</f>
        <v/>
      </c>
    </row>
    <row r="967">
      <c r="A967" t="inlineStr">
        <is>
          <t>Сидоров</t>
        </is>
      </c>
      <c r="B967" t="n">
        <v>7</v>
      </c>
      <c r="C967" s="18">
        <f>'Календарь'!A222</f>
        <v/>
      </c>
      <c r="D967">
        <f>MONTH(C967)</f>
        <v/>
      </c>
      <c r="E967">
        <f>'Календарь'!D222</f>
        <v/>
      </c>
      <c r="F967">
        <f>INT((C967-Нед_Начало)/7)+1</f>
        <v/>
      </c>
      <c r="G967">
        <f>IF(E967=0,0,INDEX('Планы менеджеров'!$B$5:$M$16,B967,D967)/INDEX(Мес_Раб,D967))</f>
        <v/>
      </c>
    </row>
    <row r="968">
      <c r="A968" t="inlineStr">
        <is>
          <t>Сидоров</t>
        </is>
      </c>
      <c r="B968" t="n">
        <v>7</v>
      </c>
      <c r="C968" s="18">
        <f>'Календарь'!A223</f>
        <v/>
      </c>
      <c r="D968">
        <f>MONTH(C968)</f>
        <v/>
      </c>
      <c r="E968">
        <f>'Календарь'!D223</f>
        <v/>
      </c>
      <c r="F968">
        <f>INT((C968-Нед_Начало)/7)+1</f>
        <v/>
      </c>
      <c r="G968">
        <f>IF(E968=0,0,INDEX('Планы менеджеров'!$B$5:$M$16,B968,D968)/INDEX(Мес_Раб,D968))</f>
        <v/>
      </c>
    </row>
    <row r="969">
      <c r="A969" t="inlineStr">
        <is>
          <t>Сидоров</t>
        </is>
      </c>
      <c r="B969" t="n">
        <v>7</v>
      </c>
      <c r="C969" s="18">
        <f>'Календарь'!A224</f>
        <v/>
      </c>
      <c r="D969">
        <f>MONTH(C969)</f>
        <v/>
      </c>
      <c r="E969">
        <f>'Календарь'!D224</f>
        <v/>
      </c>
      <c r="F969">
        <f>INT((C969-Нед_Начало)/7)+1</f>
        <v/>
      </c>
      <c r="G969">
        <f>IF(E969=0,0,INDEX('Планы менеджеров'!$B$5:$M$16,B969,D969)/INDEX(Мес_Раб,D969))</f>
        <v/>
      </c>
    </row>
    <row r="970">
      <c r="A970" t="inlineStr">
        <is>
          <t>Сидоров</t>
        </is>
      </c>
      <c r="B970" t="n">
        <v>7</v>
      </c>
      <c r="C970" s="18">
        <f>'Календарь'!A225</f>
        <v/>
      </c>
      <c r="D970">
        <f>MONTH(C970)</f>
        <v/>
      </c>
      <c r="E970">
        <f>'Календарь'!D225</f>
        <v/>
      </c>
      <c r="F970">
        <f>INT((C970-Нед_Начало)/7)+1</f>
        <v/>
      </c>
      <c r="G970">
        <f>IF(E970=0,0,INDEX('Планы менеджеров'!$B$5:$M$16,B970,D970)/INDEX(Мес_Раб,D970))</f>
        <v/>
      </c>
    </row>
    <row r="971">
      <c r="A971" t="inlineStr">
        <is>
          <t>Сидоров</t>
        </is>
      </c>
      <c r="B971" t="n">
        <v>7</v>
      </c>
      <c r="C971" s="18">
        <f>'Календарь'!A226</f>
        <v/>
      </c>
      <c r="D971">
        <f>MONTH(C971)</f>
        <v/>
      </c>
      <c r="E971">
        <f>'Календарь'!D226</f>
        <v/>
      </c>
      <c r="F971">
        <f>INT((C971-Нед_Начало)/7)+1</f>
        <v/>
      </c>
      <c r="G971">
        <f>IF(E971=0,0,INDEX('Планы менеджеров'!$B$5:$M$16,B971,D971)/INDEX(Мес_Раб,D971))</f>
        <v/>
      </c>
    </row>
    <row r="972">
      <c r="A972" t="inlineStr">
        <is>
          <t>Сидоров</t>
        </is>
      </c>
      <c r="B972" t="n">
        <v>7</v>
      </c>
      <c r="C972" s="18">
        <f>'Календарь'!A227</f>
        <v/>
      </c>
      <c r="D972">
        <f>MONTH(C972)</f>
        <v/>
      </c>
      <c r="E972">
        <f>'Календарь'!D227</f>
        <v/>
      </c>
      <c r="F972">
        <f>INT((C972-Нед_Начало)/7)+1</f>
        <v/>
      </c>
      <c r="G972">
        <f>IF(E972=0,0,INDEX('Планы менеджеров'!$B$5:$M$16,B972,D972)/INDEX(Мес_Раб,D972))</f>
        <v/>
      </c>
    </row>
    <row r="973">
      <c r="A973" t="inlineStr">
        <is>
          <t>Сидоров</t>
        </is>
      </c>
      <c r="B973" t="n">
        <v>7</v>
      </c>
      <c r="C973" s="18">
        <f>'Календарь'!A228</f>
        <v/>
      </c>
      <c r="D973">
        <f>MONTH(C973)</f>
        <v/>
      </c>
      <c r="E973">
        <f>'Календарь'!D228</f>
        <v/>
      </c>
      <c r="F973">
        <f>INT((C973-Нед_Начало)/7)+1</f>
        <v/>
      </c>
      <c r="G973">
        <f>IF(E973=0,0,INDEX('Планы менеджеров'!$B$5:$M$16,B973,D973)/INDEX(Мес_Раб,D973))</f>
        <v/>
      </c>
    </row>
    <row r="974">
      <c r="A974" t="inlineStr">
        <is>
          <t>Сидоров</t>
        </is>
      </c>
      <c r="B974" t="n">
        <v>7</v>
      </c>
      <c r="C974" s="18">
        <f>'Календарь'!A229</f>
        <v/>
      </c>
      <c r="D974">
        <f>MONTH(C974)</f>
        <v/>
      </c>
      <c r="E974">
        <f>'Календарь'!D229</f>
        <v/>
      </c>
      <c r="F974">
        <f>INT((C974-Нед_Начало)/7)+1</f>
        <v/>
      </c>
      <c r="G974">
        <f>IF(E974=0,0,INDEX('Планы менеджеров'!$B$5:$M$16,B974,D974)/INDEX(Мес_Раб,D974))</f>
        <v/>
      </c>
    </row>
    <row r="975">
      <c r="A975" t="inlineStr">
        <is>
          <t>Сидоров</t>
        </is>
      </c>
      <c r="B975" t="n">
        <v>7</v>
      </c>
      <c r="C975" s="18">
        <f>'Календарь'!A230</f>
        <v/>
      </c>
      <c r="D975">
        <f>MONTH(C975)</f>
        <v/>
      </c>
      <c r="E975">
        <f>'Календарь'!D230</f>
        <v/>
      </c>
      <c r="F975">
        <f>INT((C975-Нед_Начало)/7)+1</f>
        <v/>
      </c>
      <c r="G975">
        <f>IF(E975=0,0,INDEX('Планы менеджеров'!$B$5:$M$16,B975,D975)/INDEX(Мес_Раб,D975))</f>
        <v/>
      </c>
    </row>
    <row r="976">
      <c r="A976" t="inlineStr">
        <is>
          <t>Сидоров</t>
        </is>
      </c>
      <c r="B976" t="n">
        <v>7</v>
      </c>
      <c r="C976" s="18">
        <f>'Календарь'!A231</f>
        <v/>
      </c>
      <c r="D976">
        <f>MONTH(C976)</f>
        <v/>
      </c>
      <c r="E976">
        <f>'Календарь'!D231</f>
        <v/>
      </c>
      <c r="F976">
        <f>INT((C976-Нед_Начало)/7)+1</f>
        <v/>
      </c>
      <c r="G976">
        <f>IF(E976=0,0,INDEX('Планы менеджеров'!$B$5:$M$16,B976,D976)/INDEX(Мес_Раб,D976))</f>
        <v/>
      </c>
    </row>
    <row r="977">
      <c r="A977" t="inlineStr">
        <is>
          <t>Сидоров</t>
        </is>
      </c>
      <c r="B977" t="n">
        <v>7</v>
      </c>
      <c r="C977" s="18">
        <f>'Календарь'!A232</f>
        <v/>
      </c>
      <c r="D977">
        <f>MONTH(C977)</f>
        <v/>
      </c>
      <c r="E977">
        <f>'Календарь'!D232</f>
        <v/>
      </c>
      <c r="F977">
        <f>INT((C977-Нед_Начало)/7)+1</f>
        <v/>
      </c>
      <c r="G977">
        <f>IF(E977=0,0,INDEX('Планы менеджеров'!$B$5:$M$16,B977,D977)/INDEX(Мес_Раб,D977))</f>
        <v/>
      </c>
    </row>
    <row r="978">
      <c r="A978" t="inlineStr">
        <is>
          <t>Сидоров</t>
        </is>
      </c>
      <c r="B978" t="n">
        <v>7</v>
      </c>
      <c r="C978" s="18">
        <f>'Календарь'!A233</f>
        <v/>
      </c>
      <c r="D978">
        <f>MONTH(C978)</f>
        <v/>
      </c>
      <c r="E978">
        <f>'Календарь'!D233</f>
        <v/>
      </c>
      <c r="F978">
        <f>INT((C978-Нед_Начало)/7)+1</f>
        <v/>
      </c>
      <c r="G978">
        <f>IF(E978=0,0,INDEX('Планы менеджеров'!$B$5:$M$16,B978,D978)/INDEX(Мес_Раб,D978))</f>
        <v/>
      </c>
    </row>
    <row r="979">
      <c r="A979" t="inlineStr">
        <is>
          <t>Сидоров</t>
        </is>
      </c>
      <c r="B979" t="n">
        <v>7</v>
      </c>
      <c r="C979" s="18">
        <f>'Календарь'!A234</f>
        <v/>
      </c>
      <c r="D979">
        <f>MONTH(C979)</f>
        <v/>
      </c>
      <c r="E979">
        <f>'Календарь'!D234</f>
        <v/>
      </c>
      <c r="F979">
        <f>INT((C979-Нед_Начало)/7)+1</f>
        <v/>
      </c>
      <c r="G979">
        <f>IF(E979=0,0,INDEX('Планы менеджеров'!$B$5:$M$16,B979,D979)/INDEX(Мес_Раб,D979))</f>
        <v/>
      </c>
    </row>
    <row r="980">
      <c r="A980" t="inlineStr">
        <is>
          <t>Сидоров</t>
        </is>
      </c>
      <c r="B980" t="n">
        <v>7</v>
      </c>
      <c r="C980" s="18">
        <f>'Календарь'!A235</f>
        <v/>
      </c>
      <c r="D980">
        <f>MONTH(C980)</f>
        <v/>
      </c>
      <c r="E980">
        <f>'Календарь'!D235</f>
        <v/>
      </c>
      <c r="F980">
        <f>INT((C980-Нед_Начало)/7)+1</f>
        <v/>
      </c>
      <c r="G980">
        <f>IF(E980=0,0,INDEX('Планы менеджеров'!$B$5:$M$16,B980,D980)/INDEX(Мес_Раб,D980))</f>
        <v/>
      </c>
    </row>
    <row r="981">
      <c r="A981" t="inlineStr">
        <is>
          <t>Сидоров</t>
        </is>
      </c>
      <c r="B981" t="n">
        <v>7</v>
      </c>
      <c r="C981" s="18">
        <f>'Календарь'!A236</f>
        <v/>
      </c>
      <c r="D981">
        <f>MONTH(C981)</f>
        <v/>
      </c>
      <c r="E981">
        <f>'Календарь'!D236</f>
        <v/>
      </c>
      <c r="F981">
        <f>INT((C981-Нед_Начало)/7)+1</f>
        <v/>
      </c>
      <c r="G981">
        <f>IF(E981=0,0,INDEX('Планы менеджеров'!$B$5:$M$16,B981,D981)/INDEX(Мес_Раб,D981))</f>
        <v/>
      </c>
    </row>
    <row r="982">
      <c r="A982" t="inlineStr">
        <is>
          <t>Сидоров</t>
        </is>
      </c>
      <c r="B982" t="n">
        <v>7</v>
      </c>
      <c r="C982" s="18">
        <f>'Календарь'!A237</f>
        <v/>
      </c>
      <c r="D982">
        <f>MONTH(C982)</f>
        <v/>
      </c>
      <c r="E982">
        <f>'Календарь'!D237</f>
        <v/>
      </c>
      <c r="F982">
        <f>INT((C982-Нед_Начало)/7)+1</f>
        <v/>
      </c>
      <c r="G982">
        <f>IF(E982=0,0,INDEX('Планы менеджеров'!$B$5:$M$16,B982,D982)/INDEX(Мес_Раб,D982))</f>
        <v/>
      </c>
    </row>
    <row r="983">
      <c r="A983" t="inlineStr">
        <is>
          <t>Сидоров</t>
        </is>
      </c>
      <c r="B983" t="n">
        <v>7</v>
      </c>
      <c r="C983" s="18">
        <f>'Календарь'!A238</f>
        <v/>
      </c>
      <c r="D983">
        <f>MONTH(C983)</f>
        <v/>
      </c>
      <c r="E983">
        <f>'Календарь'!D238</f>
        <v/>
      </c>
      <c r="F983">
        <f>INT((C983-Нед_Начало)/7)+1</f>
        <v/>
      </c>
      <c r="G983">
        <f>IF(E983=0,0,INDEX('Планы менеджеров'!$B$5:$M$16,B983,D983)/INDEX(Мес_Раб,D983))</f>
        <v/>
      </c>
    </row>
    <row r="984">
      <c r="A984" t="inlineStr">
        <is>
          <t>Сидоров</t>
        </is>
      </c>
      <c r="B984" t="n">
        <v>7</v>
      </c>
      <c r="C984" s="18">
        <f>'Календарь'!A239</f>
        <v/>
      </c>
      <c r="D984">
        <f>MONTH(C984)</f>
        <v/>
      </c>
      <c r="E984">
        <f>'Календарь'!D239</f>
        <v/>
      </c>
      <c r="F984">
        <f>INT((C984-Нед_Начало)/7)+1</f>
        <v/>
      </c>
      <c r="G984">
        <f>IF(E984=0,0,INDEX('Планы менеджеров'!$B$5:$M$16,B984,D984)/INDEX(Мес_Раб,D984))</f>
        <v/>
      </c>
    </row>
    <row r="985">
      <c r="A985" t="inlineStr">
        <is>
          <t>Сидоров</t>
        </is>
      </c>
      <c r="B985" t="n">
        <v>7</v>
      </c>
      <c r="C985" s="18">
        <f>'Календарь'!A240</f>
        <v/>
      </c>
      <c r="D985">
        <f>MONTH(C985)</f>
        <v/>
      </c>
      <c r="E985">
        <f>'Календарь'!D240</f>
        <v/>
      </c>
      <c r="F985">
        <f>INT((C985-Нед_Начало)/7)+1</f>
        <v/>
      </c>
      <c r="G985">
        <f>IF(E985=0,0,INDEX('Планы менеджеров'!$B$5:$M$16,B985,D985)/INDEX(Мес_Раб,D985))</f>
        <v/>
      </c>
    </row>
    <row r="986">
      <c r="A986" t="inlineStr">
        <is>
          <t>Сидоров</t>
        </is>
      </c>
      <c r="B986" t="n">
        <v>7</v>
      </c>
      <c r="C986" s="18">
        <f>'Календарь'!A241</f>
        <v/>
      </c>
      <c r="D986">
        <f>MONTH(C986)</f>
        <v/>
      </c>
      <c r="E986">
        <f>'Календарь'!D241</f>
        <v/>
      </c>
      <c r="F986">
        <f>INT((C986-Нед_Начало)/7)+1</f>
        <v/>
      </c>
      <c r="G986">
        <f>IF(E986=0,0,INDEX('Планы менеджеров'!$B$5:$M$16,B986,D986)/INDEX(Мес_Раб,D986))</f>
        <v/>
      </c>
    </row>
    <row r="987">
      <c r="A987" t="inlineStr">
        <is>
          <t>Сидоров</t>
        </is>
      </c>
      <c r="B987" t="n">
        <v>7</v>
      </c>
      <c r="C987" s="18">
        <f>'Календарь'!A242</f>
        <v/>
      </c>
      <c r="D987">
        <f>MONTH(C987)</f>
        <v/>
      </c>
      <c r="E987">
        <f>'Календарь'!D242</f>
        <v/>
      </c>
      <c r="F987">
        <f>INT((C987-Нед_Начало)/7)+1</f>
        <v/>
      </c>
      <c r="G987">
        <f>IF(E987=0,0,INDEX('Планы менеджеров'!$B$5:$M$16,B987,D987)/INDEX(Мес_Раб,D987))</f>
        <v/>
      </c>
    </row>
    <row r="988">
      <c r="A988" t="inlineStr">
        <is>
          <t>Сидоров</t>
        </is>
      </c>
      <c r="B988" t="n">
        <v>7</v>
      </c>
      <c r="C988" s="18">
        <f>'Календарь'!A243</f>
        <v/>
      </c>
      <c r="D988">
        <f>MONTH(C988)</f>
        <v/>
      </c>
      <c r="E988">
        <f>'Календарь'!D243</f>
        <v/>
      </c>
      <c r="F988">
        <f>INT((C988-Нед_Начало)/7)+1</f>
        <v/>
      </c>
      <c r="G988">
        <f>IF(E988=0,0,INDEX('Планы менеджеров'!$B$5:$M$16,B988,D988)/INDEX(Мес_Раб,D988))</f>
        <v/>
      </c>
    </row>
    <row r="989">
      <c r="A989" t="inlineStr">
        <is>
          <t>Сидоров</t>
        </is>
      </c>
      <c r="B989" t="n">
        <v>7</v>
      </c>
      <c r="C989" s="18">
        <f>'Календарь'!A244</f>
        <v/>
      </c>
      <c r="D989">
        <f>MONTH(C989)</f>
        <v/>
      </c>
      <c r="E989">
        <f>'Календарь'!D244</f>
        <v/>
      </c>
      <c r="F989">
        <f>INT((C989-Нед_Начало)/7)+1</f>
        <v/>
      </c>
      <c r="G989">
        <f>IF(E989=0,0,INDEX('Планы менеджеров'!$B$5:$M$16,B989,D989)/INDEX(Мес_Раб,D989))</f>
        <v/>
      </c>
    </row>
    <row r="990">
      <c r="A990" t="inlineStr">
        <is>
          <t>Сидоров</t>
        </is>
      </c>
      <c r="B990" t="n">
        <v>7</v>
      </c>
      <c r="C990" s="18">
        <f>'Календарь'!A245</f>
        <v/>
      </c>
      <c r="D990">
        <f>MONTH(C990)</f>
        <v/>
      </c>
      <c r="E990">
        <f>'Календарь'!D245</f>
        <v/>
      </c>
      <c r="F990">
        <f>INT((C990-Нед_Начало)/7)+1</f>
        <v/>
      </c>
      <c r="G990">
        <f>IF(E990=0,0,INDEX('Планы менеджеров'!$B$5:$M$16,B990,D990)/INDEX(Мес_Раб,D990))</f>
        <v/>
      </c>
    </row>
    <row r="991">
      <c r="A991" t="inlineStr">
        <is>
          <t>Сидоров</t>
        </is>
      </c>
      <c r="B991" t="n">
        <v>7</v>
      </c>
      <c r="C991" s="18">
        <f>'Календарь'!A246</f>
        <v/>
      </c>
      <c r="D991">
        <f>MONTH(C991)</f>
        <v/>
      </c>
      <c r="E991">
        <f>'Календарь'!D246</f>
        <v/>
      </c>
      <c r="F991">
        <f>INT((C991-Нед_Начало)/7)+1</f>
        <v/>
      </c>
      <c r="G991">
        <f>IF(E991=0,0,INDEX('Планы менеджеров'!$B$5:$M$16,B991,D991)/INDEX(Мес_Раб,D991))</f>
        <v/>
      </c>
    </row>
    <row r="992">
      <c r="A992" t="inlineStr">
        <is>
          <t>Сидоров</t>
        </is>
      </c>
      <c r="B992" t="n">
        <v>7</v>
      </c>
      <c r="C992" s="18">
        <f>'Календарь'!A247</f>
        <v/>
      </c>
      <c r="D992">
        <f>MONTH(C992)</f>
        <v/>
      </c>
      <c r="E992">
        <f>'Календарь'!D247</f>
        <v/>
      </c>
      <c r="F992">
        <f>INT((C992-Нед_Начало)/7)+1</f>
        <v/>
      </c>
      <c r="G992">
        <f>IF(E992=0,0,INDEX('Планы менеджеров'!$B$5:$M$16,B992,D992)/INDEX(Мес_Раб,D992))</f>
        <v/>
      </c>
    </row>
    <row r="993">
      <c r="A993" t="inlineStr">
        <is>
          <t>Сидоров</t>
        </is>
      </c>
      <c r="B993" t="n">
        <v>7</v>
      </c>
      <c r="C993" s="18">
        <f>'Календарь'!A248</f>
        <v/>
      </c>
      <c r="D993">
        <f>MONTH(C993)</f>
        <v/>
      </c>
      <c r="E993">
        <f>'Календарь'!D248</f>
        <v/>
      </c>
      <c r="F993">
        <f>INT((C993-Нед_Начало)/7)+1</f>
        <v/>
      </c>
      <c r="G993">
        <f>IF(E993=0,0,INDEX('Планы менеджеров'!$B$5:$M$16,B993,D993)/INDEX(Мес_Раб,D993))</f>
        <v/>
      </c>
    </row>
    <row r="994">
      <c r="A994" t="inlineStr">
        <is>
          <t>Сидоров</t>
        </is>
      </c>
      <c r="B994" t="n">
        <v>7</v>
      </c>
      <c r="C994" s="18">
        <f>'Календарь'!A249</f>
        <v/>
      </c>
      <c r="D994">
        <f>MONTH(C994)</f>
        <v/>
      </c>
      <c r="E994">
        <f>'Календарь'!D249</f>
        <v/>
      </c>
      <c r="F994">
        <f>INT((C994-Нед_Начало)/7)+1</f>
        <v/>
      </c>
      <c r="G994">
        <f>IF(E994=0,0,INDEX('Планы менеджеров'!$B$5:$M$16,B994,D994)/INDEX(Мес_Раб,D994))</f>
        <v/>
      </c>
    </row>
    <row r="995">
      <c r="A995" t="inlineStr">
        <is>
          <t>Сидоров</t>
        </is>
      </c>
      <c r="B995" t="n">
        <v>7</v>
      </c>
      <c r="C995" s="18">
        <f>'Календарь'!A250</f>
        <v/>
      </c>
      <c r="D995">
        <f>MONTH(C995)</f>
        <v/>
      </c>
      <c r="E995">
        <f>'Календарь'!D250</f>
        <v/>
      </c>
      <c r="F995">
        <f>INT((C995-Нед_Начало)/7)+1</f>
        <v/>
      </c>
      <c r="G995">
        <f>IF(E995=0,0,INDEX('Планы менеджеров'!$B$5:$M$16,B995,D995)/INDEX(Мес_Раб,D995))</f>
        <v/>
      </c>
    </row>
    <row r="996">
      <c r="A996" t="inlineStr">
        <is>
          <t>Сидоров</t>
        </is>
      </c>
      <c r="B996" t="n">
        <v>7</v>
      </c>
      <c r="C996" s="18">
        <f>'Календарь'!A251</f>
        <v/>
      </c>
      <c r="D996">
        <f>MONTH(C996)</f>
        <v/>
      </c>
      <c r="E996">
        <f>'Календарь'!D251</f>
        <v/>
      </c>
      <c r="F996">
        <f>INT((C996-Нед_Начало)/7)+1</f>
        <v/>
      </c>
      <c r="G996">
        <f>IF(E996=0,0,INDEX('Планы менеджеров'!$B$5:$M$16,B996,D996)/INDEX(Мес_Раб,D996))</f>
        <v/>
      </c>
    </row>
    <row r="997">
      <c r="A997" t="inlineStr">
        <is>
          <t>Сидоров</t>
        </is>
      </c>
      <c r="B997" t="n">
        <v>7</v>
      </c>
      <c r="C997" s="18">
        <f>'Календарь'!A252</f>
        <v/>
      </c>
      <c r="D997">
        <f>MONTH(C997)</f>
        <v/>
      </c>
      <c r="E997">
        <f>'Календарь'!D252</f>
        <v/>
      </c>
      <c r="F997">
        <f>INT((C997-Нед_Начало)/7)+1</f>
        <v/>
      </c>
      <c r="G997">
        <f>IF(E997=0,0,INDEX('Планы менеджеров'!$B$5:$M$16,B997,D997)/INDEX(Мес_Раб,D997))</f>
        <v/>
      </c>
    </row>
    <row r="998">
      <c r="A998" t="inlineStr">
        <is>
          <t>Сидоров</t>
        </is>
      </c>
      <c r="B998" t="n">
        <v>7</v>
      </c>
      <c r="C998" s="18">
        <f>'Календарь'!A253</f>
        <v/>
      </c>
      <c r="D998">
        <f>MONTH(C998)</f>
        <v/>
      </c>
      <c r="E998">
        <f>'Календарь'!D253</f>
        <v/>
      </c>
      <c r="F998">
        <f>INT((C998-Нед_Начало)/7)+1</f>
        <v/>
      </c>
      <c r="G998">
        <f>IF(E998=0,0,INDEX('Планы менеджеров'!$B$5:$M$16,B998,D998)/INDEX(Мес_Раб,D998))</f>
        <v/>
      </c>
    </row>
    <row r="999">
      <c r="A999" t="inlineStr">
        <is>
          <t>Сидоров</t>
        </is>
      </c>
      <c r="B999" t="n">
        <v>7</v>
      </c>
      <c r="C999" s="18">
        <f>'Календарь'!A254</f>
        <v/>
      </c>
      <c r="D999">
        <f>MONTH(C999)</f>
        <v/>
      </c>
      <c r="E999">
        <f>'Календарь'!D254</f>
        <v/>
      </c>
      <c r="F999">
        <f>INT((C999-Нед_Начало)/7)+1</f>
        <v/>
      </c>
      <c r="G999">
        <f>IF(E999=0,0,INDEX('Планы менеджеров'!$B$5:$M$16,B999,D999)/INDEX(Мес_Раб,D999))</f>
        <v/>
      </c>
    </row>
    <row r="1000">
      <c r="A1000" t="inlineStr">
        <is>
          <t>Сидоров</t>
        </is>
      </c>
      <c r="B1000" t="n">
        <v>7</v>
      </c>
      <c r="C1000" s="18">
        <f>'Календарь'!A255</f>
        <v/>
      </c>
      <c r="D1000">
        <f>MONTH(C1000)</f>
        <v/>
      </c>
      <c r="E1000">
        <f>'Календарь'!D255</f>
        <v/>
      </c>
      <c r="F1000">
        <f>INT((C1000-Нед_Начало)/7)+1</f>
        <v/>
      </c>
      <c r="G1000">
        <f>IF(E1000=0,0,INDEX('Планы менеджеров'!$B$5:$M$16,B1000,D1000)/INDEX(Мес_Раб,D1000))</f>
        <v/>
      </c>
    </row>
    <row r="1001">
      <c r="A1001" t="inlineStr">
        <is>
          <t>Сидоров</t>
        </is>
      </c>
      <c r="B1001" t="n">
        <v>7</v>
      </c>
      <c r="C1001" s="18">
        <f>'Календарь'!A256</f>
        <v/>
      </c>
      <c r="D1001">
        <f>MONTH(C1001)</f>
        <v/>
      </c>
      <c r="E1001">
        <f>'Календарь'!D256</f>
        <v/>
      </c>
      <c r="F1001">
        <f>INT((C1001-Нед_Начало)/7)+1</f>
        <v/>
      </c>
      <c r="G1001">
        <f>IF(E1001=0,0,INDEX('Планы менеджеров'!$B$5:$M$16,B1001,D1001)/INDEX(Мес_Раб,D1001))</f>
        <v/>
      </c>
    </row>
    <row r="1002">
      <c r="A1002" t="inlineStr">
        <is>
          <t>Сидоров</t>
        </is>
      </c>
      <c r="B1002" t="n">
        <v>7</v>
      </c>
      <c r="C1002" s="18">
        <f>'Календарь'!A257</f>
        <v/>
      </c>
      <c r="D1002">
        <f>MONTH(C1002)</f>
        <v/>
      </c>
      <c r="E1002">
        <f>'Календарь'!D257</f>
        <v/>
      </c>
      <c r="F1002">
        <f>INT((C1002-Нед_Начало)/7)+1</f>
        <v/>
      </c>
      <c r="G1002">
        <f>IF(E1002=0,0,INDEX('Планы менеджеров'!$B$5:$M$16,B1002,D1002)/INDEX(Мес_Раб,D1002))</f>
        <v/>
      </c>
    </row>
    <row r="1003">
      <c r="A1003" t="inlineStr">
        <is>
          <t>Сидоров</t>
        </is>
      </c>
      <c r="B1003" t="n">
        <v>7</v>
      </c>
      <c r="C1003" s="18">
        <f>'Календарь'!A258</f>
        <v/>
      </c>
      <c r="D1003">
        <f>MONTH(C1003)</f>
        <v/>
      </c>
      <c r="E1003">
        <f>'Календарь'!D258</f>
        <v/>
      </c>
      <c r="F1003">
        <f>INT((C1003-Нед_Начало)/7)+1</f>
        <v/>
      </c>
      <c r="G1003">
        <f>IF(E1003=0,0,INDEX('Планы менеджеров'!$B$5:$M$16,B1003,D1003)/INDEX(Мес_Раб,D1003))</f>
        <v/>
      </c>
    </row>
    <row r="1004">
      <c r="A1004" t="inlineStr">
        <is>
          <t>Сидоров</t>
        </is>
      </c>
      <c r="B1004" t="n">
        <v>7</v>
      </c>
      <c r="C1004" s="18">
        <f>'Календарь'!A259</f>
        <v/>
      </c>
      <c r="D1004">
        <f>MONTH(C1004)</f>
        <v/>
      </c>
      <c r="E1004">
        <f>'Календарь'!D259</f>
        <v/>
      </c>
      <c r="F1004">
        <f>INT((C1004-Нед_Начало)/7)+1</f>
        <v/>
      </c>
      <c r="G1004">
        <f>IF(E1004=0,0,INDEX('Планы менеджеров'!$B$5:$M$16,B1004,D1004)/INDEX(Мес_Раб,D1004))</f>
        <v/>
      </c>
    </row>
    <row r="1005">
      <c r="A1005" t="inlineStr">
        <is>
          <t>Сидоров</t>
        </is>
      </c>
      <c r="B1005" t="n">
        <v>7</v>
      </c>
      <c r="C1005" s="18">
        <f>'Календарь'!A260</f>
        <v/>
      </c>
      <c r="D1005">
        <f>MONTH(C1005)</f>
        <v/>
      </c>
      <c r="E1005">
        <f>'Календарь'!D260</f>
        <v/>
      </c>
      <c r="F1005">
        <f>INT((C1005-Нед_Начало)/7)+1</f>
        <v/>
      </c>
      <c r="G1005">
        <f>IF(E1005=0,0,INDEX('Планы менеджеров'!$B$5:$M$16,B1005,D1005)/INDEX(Мес_Раб,D1005))</f>
        <v/>
      </c>
    </row>
    <row r="1006">
      <c r="A1006" t="inlineStr">
        <is>
          <t>Сидоров</t>
        </is>
      </c>
      <c r="B1006" t="n">
        <v>7</v>
      </c>
      <c r="C1006" s="18">
        <f>'Календарь'!A261</f>
        <v/>
      </c>
      <c r="D1006">
        <f>MONTH(C1006)</f>
        <v/>
      </c>
      <c r="E1006">
        <f>'Календарь'!D261</f>
        <v/>
      </c>
      <c r="F1006">
        <f>INT((C1006-Нед_Начало)/7)+1</f>
        <v/>
      </c>
      <c r="G1006">
        <f>IF(E1006=0,0,INDEX('Планы менеджеров'!$B$5:$M$16,B1006,D1006)/INDEX(Мес_Раб,D1006))</f>
        <v/>
      </c>
    </row>
    <row r="1007">
      <c r="A1007" t="inlineStr">
        <is>
          <t>Сидоров</t>
        </is>
      </c>
      <c r="B1007" t="n">
        <v>7</v>
      </c>
      <c r="C1007" s="18">
        <f>'Календарь'!A262</f>
        <v/>
      </c>
      <c r="D1007">
        <f>MONTH(C1007)</f>
        <v/>
      </c>
      <c r="E1007">
        <f>'Календарь'!D262</f>
        <v/>
      </c>
      <c r="F1007">
        <f>INT((C1007-Нед_Начало)/7)+1</f>
        <v/>
      </c>
      <c r="G1007">
        <f>IF(E1007=0,0,INDEX('Планы менеджеров'!$B$5:$M$16,B1007,D1007)/INDEX(Мес_Раб,D1007))</f>
        <v/>
      </c>
    </row>
    <row r="1008">
      <c r="A1008" t="inlineStr">
        <is>
          <t>Сидоров</t>
        </is>
      </c>
      <c r="B1008" t="n">
        <v>7</v>
      </c>
      <c r="C1008" s="18">
        <f>'Календарь'!A263</f>
        <v/>
      </c>
      <c r="D1008">
        <f>MONTH(C1008)</f>
        <v/>
      </c>
      <c r="E1008">
        <f>'Календарь'!D263</f>
        <v/>
      </c>
      <c r="F1008">
        <f>INT((C1008-Нед_Начало)/7)+1</f>
        <v/>
      </c>
      <c r="G1008">
        <f>IF(E1008=0,0,INDEX('Планы менеджеров'!$B$5:$M$16,B1008,D1008)/INDEX(Мес_Раб,D1008))</f>
        <v/>
      </c>
    </row>
    <row r="1009">
      <c r="A1009" t="inlineStr">
        <is>
          <t>Сидоров</t>
        </is>
      </c>
      <c r="B1009" t="n">
        <v>7</v>
      </c>
      <c r="C1009" s="18">
        <f>'Календарь'!A264</f>
        <v/>
      </c>
      <c r="D1009">
        <f>MONTH(C1009)</f>
        <v/>
      </c>
      <c r="E1009">
        <f>'Календарь'!D264</f>
        <v/>
      </c>
      <c r="F1009">
        <f>INT((C1009-Нед_Начало)/7)+1</f>
        <v/>
      </c>
      <c r="G1009">
        <f>IF(E1009=0,0,INDEX('Планы менеджеров'!$B$5:$M$16,B1009,D1009)/INDEX(Мес_Раб,D1009))</f>
        <v/>
      </c>
    </row>
    <row r="1010">
      <c r="A1010" t="inlineStr">
        <is>
          <t>Сидоров</t>
        </is>
      </c>
      <c r="B1010" t="n">
        <v>7</v>
      </c>
      <c r="C1010" s="18">
        <f>'Календарь'!A265</f>
        <v/>
      </c>
      <c r="D1010">
        <f>MONTH(C1010)</f>
        <v/>
      </c>
      <c r="E1010">
        <f>'Календарь'!D265</f>
        <v/>
      </c>
      <c r="F1010">
        <f>INT((C1010-Нед_Начало)/7)+1</f>
        <v/>
      </c>
      <c r="G1010">
        <f>IF(E1010=0,0,INDEX('Планы менеджеров'!$B$5:$M$16,B1010,D1010)/INDEX(Мес_Раб,D1010))</f>
        <v/>
      </c>
    </row>
    <row r="1011">
      <c r="A1011" t="inlineStr">
        <is>
          <t>Сидоров</t>
        </is>
      </c>
      <c r="B1011" t="n">
        <v>7</v>
      </c>
      <c r="C1011" s="18">
        <f>'Календарь'!A266</f>
        <v/>
      </c>
      <c r="D1011">
        <f>MONTH(C1011)</f>
        <v/>
      </c>
      <c r="E1011">
        <f>'Календарь'!D266</f>
        <v/>
      </c>
      <c r="F1011">
        <f>INT((C1011-Нед_Начало)/7)+1</f>
        <v/>
      </c>
      <c r="G1011">
        <f>IF(E1011=0,0,INDEX('Планы менеджеров'!$B$5:$M$16,B1011,D1011)/INDEX(Мес_Раб,D1011))</f>
        <v/>
      </c>
    </row>
    <row r="1012">
      <c r="A1012" t="inlineStr">
        <is>
          <t>Сидоров</t>
        </is>
      </c>
      <c r="B1012" t="n">
        <v>7</v>
      </c>
      <c r="C1012" s="18">
        <f>'Календарь'!A267</f>
        <v/>
      </c>
      <c r="D1012">
        <f>MONTH(C1012)</f>
        <v/>
      </c>
      <c r="E1012">
        <f>'Календарь'!D267</f>
        <v/>
      </c>
      <c r="F1012">
        <f>INT((C1012-Нед_Начало)/7)+1</f>
        <v/>
      </c>
      <c r="G1012">
        <f>IF(E1012=0,0,INDEX('Планы менеджеров'!$B$5:$M$16,B1012,D1012)/INDEX(Мес_Раб,D1012))</f>
        <v/>
      </c>
    </row>
    <row r="1013">
      <c r="A1013" t="inlineStr">
        <is>
          <t>Сидоров</t>
        </is>
      </c>
      <c r="B1013" t="n">
        <v>7</v>
      </c>
      <c r="C1013" s="18">
        <f>'Календарь'!A268</f>
        <v/>
      </c>
      <c r="D1013">
        <f>MONTH(C1013)</f>
        <v/>
      </c>
      <c r="E1013">
        <f>'Календарь'!D268</f>
        <v/>
      </c>
      <c r="F1013">
        <f>INT((C1013-Нед_Начало)/7)+1</f>
        <v/>
      </c>
      <c r="G1013">
        <f>IF(E1013=0,0,INDEX('Планы менеджеров'!$B$5:$M$16,B1013,D1013)/INDEX(Мес_Раб,D1013))</f>
        <v/>
      </c>
    </row>
    <row r="1014">
      <c r="A1014" t="inlineStr">
        <is>
          <t>Сидоров</t>
        </is>
      </c>
      <c r="B1014" t="n">
        <v>7</v>
      </c>
      <c r="C1014" s="18">
        <f>'Календарь'!A269</f>
        <v/>
      </c>
      <c r="D1014">
        <f>MONTH(C1014)</f>
        <v/>
      </c>
      <c r="E1014">
        <f>'Календарь'!D269</f>
        <v/>
      </c>
      <c r="F1014">
        <f>INT((C1014-Нед_Начало)/7)+1</f>
        <v/>
      </c>
      <c r="G1014">
        <f>IF(E1014=0,0,INDEX('Планы менеджеров'!$B$5:$M$16,B1014,D1014)/INDEX(Мес_Раб,D1014))</f>
        <v/>
      </c>
    </row>
    <row r="1015">
      <c r="A1015" t="inlineStr">
        <is>
          <t>Сидоров</t>
        </is>
      </c>
      <c r="B1015" t="n">
        <v>7</v>
      </c>
      <c r="C1015" s="18">
        <f>'Календарь'!A270</f>
        <v/>
      </c>
      <c r="D1015">
        <f>MONTH(C1015)</f>
        <v/>
      </c>
      <c r="E1015">
        <f>'Календарь'!D270</f>
        <v/>
      </c>
      <c r="F1015">
        <f>INT((C1015-Нед_Начало)/7)+1</f>
        <v/>
      </c>
      <c r="G1015">
        <f>IF(E1015=0,0,INDEX('Планы менеджеров'!$B$5:$M$16,B1015,D1015)/INDEX(Мес_Раб,D1015))</f>
        <v/>
      </c>
    </row>
    <row r="1016">
      <c r="A1016" t="inlineStr">
        <is>
          <t>Сидоров</t>
        </is>
      </c>
      <c r="B1016" t="n">
        <v>7</v>
      </c>
      <c r="C1016" s="18">
        <f>'Календарь'!A271</f>
        <v/>
      </c>
      <c r="D1016">
        <f>MONTH(C1016)</f>
        <v/>
      </c>
      <c r="E1016">
        <f>'Календарь'!D271</f>
        <v/>
      </c>
      <c r="F1016">
        <f>INT((C1016-Нед_Начало)/7)+1</f>
        <v/>
      </c>
      <c r="G1016">
        <f>IF(E1016=0,0,INDEX('Планы менеджеров'!$B$5:$M$16,B1016,D1016)/INDEX(Мес_Раб,D1016))</f>
        <v/>
      </c>
    </row>
    <row r="1017">
      <c r="A1017" t="inlineStr">
        <is>
          <t>Сидоров</t>
        </is>
      </c>
      <c r="B1017" t="n">
        <v>7</v>
      </c>
      <c r="C1017" s="18">
        <f>'Календарь'!A272</f>
        <v/>
      </c>
      <c r="D1017">
        <f>MONTH(C1017)</f>
        <v/>
      </c>
      <c r="E1017">
        <f>'Календарь'!D272</f>
        <v/>
      </c>
      <c r="F1017">
        <f>INT((C1017-Нед_Начало)/7)+1</f>
        <v/>
      </c>
      <c r="G1017">
        <f>IF(E1017=0,0,INDEX('Планы менеджеров'!$B$5:$M$16,B1017,D1017)/INDEX(Мес_Раб,D1017))</f>
        <v/>
      </c>
    </row>
    <row r="1018">
      <c r="A1018" t="inlineStr">
        <is>
          <t>Сидоров</t>
        </is>
      </c>
      <c r="B1018" t="n">
        <v>7</v>
      </c>
      <c r="C1018" s="18">
        <f>'Календарь'!A273</f>
        <v/>
      </c>
      <c r="D1018">
        <f>MONTH(C1018)</f>
        <v/>
      </c>
      <c r="E1018">
        <f>'Календарь'!D273</f>
        <v/>
      </c>
      <c r="F1018">
        <f>INT((C1018-Нед_Начало)/7)+1</f>
        <v/>
      </c>
      <c r="G1018">
        <f>IF(E1018=0,0,INDEX('Планы менеджеров'!$B$5:$M$16,B1018,D1018)/INDEX(Мес_Раб,D1018))</f>
        <v/>
      </c>
    </row>
    <row r="1019">
      <c r="A1019" t="inlineStr">
        <is>
          <t>Сидоров</t>
        </is>
      </c>
      <c r="B1019" t="n">
        <v>7</v>
      </c>
      <c r="C1019" s="18">
        <f>'Календарь'!A274</f>
        <v/>
      </c>
      <c r="D1019">
        <f>MONTH(C1019)</f>
        <v/>
      </c>
      <c r="E1019">
        <f>'Календарь'!D274</f>
        <v/>
      </c>
      <c r="F1019">
        <f>INT((C1019-Нед_Начало)/7)+1</f>
        <v/>
      </c>
      <c r="G1019">
        <f>IF(E1019=0,0,INDEX('Планы менеджеров'!$B$5:$M$16,B1019,D1019)/INDEX(Мес_Раб,D1019))</f>
        <v/>
      </c>
    </row>
    <row r="1020">
      <c r="A1020" t="inlineStr">
        <is>
          <t>Сидоров</t>
        </is>
      </c>
      <c r="B1020" t="n">
        <v>7</v>
      </c>
      <c r="C1020" s="18">
        <f>'Календарь'!A275</f>
        <v/>
      </c>
      <c r="D1020">
        <f>MONTH(C1020)</f>
        <v/>
      </c>
      <c r="E1020">
        <f>'Календарь'!D275</f>
        <v/>
      </c>
      <c r="F1020">
        <f>INT((C1020-Нед_Начало)/7)+1</f>
        <v/>
      </c>
      <c r="G1020">
        <f>IF(E1020=0,0,INDEX('Планы менеджеров'!$B$5:$M$16,B1020,D1020)/INDEX(Мес_Раб,D1020))</f>
        <v/>
      </c>
    </row>
    <row r="1021">
      <c r="A1021" t="inlineStr">
        <is>
          <t>Сидоров</t>
        </is>
      </c>
      <c r="B1021" t="n">
        <v>7</v>
      </c>
      <c r="C1021" s="18">
        <f>'Календарь'!A276</f>
        <v/>
      </c>
      <c r="D1021">
        <f>MONTH(C1021)</f>
        <v/>
      </c>
      <c r="E1021">
        <f>'Календарь'!D276</f>
        <v/>
      </c>
      <c r="F1021">
        <f>INT((C1021-Нед_Начало)/7)+1</f>
        <v/>
      </c>
      <c r="G1021">
        <f>IF(E1021=0,0,INDEX('Планы менеджеров'!$B$5:$M$16,B1021,D1021)/INDEX(Мес_Раб,D1021))</f>
        <v/>
      </c>
    </row>
    <row r="1022">
      <c r="A1022" t="inlineStr">
        <is>
          <t>Сидоров</t>
        </is>
      </c>
      <c r="B1022" t="n">
        <v>7</v>
      </c>
      <c r="C1022" s="18">
        <f>'Календарь'!A277</f>
        <v/>
      </c>
      <c r="D1022">
        <f>MONTH(C1022)</f>
        <v/>
      </c>
      <c r="E1022">
        <f>'Календарь'!D277</f>
        <v/>
      </c>
      <c r="F1022">
        <f>INT((C1022-Нед_Начало)/7)+1</f>
        <v/>
      </c>
      <c r="G1022">
        <f>IF(E1022=0,0,INDEX('Планы менеджеров'!$B$5:$M$16,B1022,D1022)/INDEX(Мес_Раб,D1022))</f>
        <v/>
      </c>
    </row>
    <row r="1023">
      <c r="A1023" t="inlineStr">
        <is>
          <t>Сидоров</t>
        </is>
      </c>
      <c r="B1023" t="n">
        <v>7</v>
      </c>
      <c r="C1023" s="18">
        <f>'Календарь'!A278</f>
        <v/>
      </c>
      <c r="D1023">
        <f>MONTH(C1023)</f>
        <v/>
      </c>
      <c r="E1023">
        <f>'Календарь'!D278</f>
        <v/>
      </c>
      <c r="F1023">
        <f>INT((C1023-Нед_Начало)/7)+1</f>
        <v/>
      </c>
      <c r="G1023">
        <f>IF(E1023=0,0,INDEX('Планы менеджеров'!$B$5:$M$16,B1023,D1023)/INDEX(Мес_Раб,D1023))</f>
        <v/>
      </c>
    </row>
    <row r="1024">
      <c r="A1024" t="inlineStr">
        <is>
          <t>Сидоров</t>
        </is>
      </c>
      <c r="B1024" t="n">
        <v>7</v>
      </c>
      <c r="C1024" s="18">
        <f>'Календарь'!A279</f>
        <v/>
      </c>
      <c r="D1024">
        <f>MONTH(C1024)</f>
        <v/>
      </c>
      <c r="E1024">
        <f>'Календарь'!D279</f>
        <v/>
      </c>
      <c r="F1024">
        <f>INT((C1024-Нед_Начало)/7)+1</f>
        <v/>
      </c>
      <c r="G1024">
        <f>IF(E1024=0,0,INDEX('Планы менеджеров'!$B$5:$M$16,B1024,D1024)/INDEX(Мес_Раб,D1024))</f>
        <v/>
      </c>
    </row>
    <row r="1025">
      <c r="A1025" t="inlineStr">
        <is>
          <t>Сидоров</t>
        </is>
      </c>
      <c r="B1025" t="n">
        <v>7</v>
      </c>
      <c r="C1025" s="18">
        <f>'Календарь'!A280</f>
        <v/>
      </c>
      <c r="D1025">
        <f>MONTH(C1025)</f>
        <v/>
      </c>
      <c r="E1025">
        <f>'Календарь'!D280</f>
        <v/>
      </c>
      <c r="F1025">
        <f>INT((C1025-Нед_Начало)/7)+1</f>
        <v/>
      </c>
      <c r="G1025">
        <f>IF(E1025=0,0,INDEX('Планы менеджеров'!$B$5:$M$16,B1025,D1025)/INDEX(Мес_Раб,D1025))</f>
        <v/>
      </c>
    </row>
    <row r="1026">
      <c r="A1026" t="inlineStr">
        <is>
          <t>Сидоров</t>
        </is>
      </c>
      <c r="B1026" t="n">
        <v>7</v>
      </c>
      <c r="C1026" s="18">
        <f>'Календарь'!A281</f>
        <v/>
      </c>
      <c r="D1026">
        <f>MONTH(C1026)</f>
        <v/>
      </c>
      <c r="E1026">
        <f>'Календарь'!D281</f>
        <v/>
      </c>
      <c r="F1026">
        <f>INT((C1026-Нед_Начало)/7)+1</f>
        <v/>
      </c>
      <c r="G1026">
        <f>IF(E1026=0,0,INDEX('Планы менеджеров'!$B$5:$M$16,B1026,D1026)/INDEX(Мес_Раб,D1026))</f>
        <v/>
      </c>
    </row>
    <row r="1027">
      <c r="A1027" t="inlineStr">
        <is>
          <t>Сидоров</t>
        </is>
      </c>
      <c r="B1027" t="n">
        <v>7</v>
      </c>
      <c r="C1027" s="18">
        <f>'Календарь'!A282</f>
        <v/>
      </c>
      <c r="D1027">
        <f>MONTH(C1027)</f>
        <v/>
      </c>
      <c r="E1027">
        <f>'Календарь'!D282</f>
        <v/>
      </c>
      <c r="F1027">
        <f>INT((C1027-Нед_Начало)/7)+1</f>
        <v/>
      </c>
      <c r="G1027">
        <f>IF(E1027=0,0,INDEX('Планы менеджеров'!$B$5:$M$16,B1027,D1027)/INDEX(Мес_Раб,D1027))</f>
        <v/>
      </c>
    </row>
    <row r="1028">
      <c r="A1028" t="inlineStr">
        <is>
          <t>Сидоров</t>
        </is>
      </c>
      <c r="B1028" t="n">
        <v>7</v>
      </c>
      <c r="C1028" s="18">
        <f>'Календарь'!A283</f>
        <v/>
      </c>
      <c r="D1028">
        <f>MONTH(C1028)</f>
        <v/>
      </c>
      <c r="E1028">
        <f>'Календарь'!D283</f>
        <v/>
      </c>
      <c r="F1028">
        <f>INT((C1028-Нед_Начало)/7)+1</f>
        <v/>
      </c>
      <c r="G1028">
        <f>IF(E1028=0,0,INDEX('Планы менеджеров'!$B$5:$M$16,B1028,D1028)/INDEX(Мес_Раб,D1028))</f>
        <v/>
      </c>
    </row>
    <row r="1029">
      <c r="A1029" t="inlineStr">
        <is>
          <t>Сидоров</t>
        </is>
      </c>
      <c r="B1029" t="n">
        <v>7</v>
      </c>
      <c r="C1029" s="18">
        <f>'Календарь'!A284</f>
        <v/>
      </c>
      <c r="D1029">
        <f>MONTH(C1029)</f>
        <v/>
      </c>
      <c r="E1029">
        <f>'Календарь'!D284</f>
        <v/>
      </c>
      <c r="F1029">
        <f>INT((C1029-Нед_Начало)/7)+1</f>
        <v/>
      </c>
      <c r="G1029">
        <f>IF(E1029=0,0,INDEX('Планы менеджеров'!$B$5:$M$16,B1029,D1029)/INDEX(Мес_Раб,D1029))</f>
        <v/>
      </c>
    </row>
    <row r="1030">
      <c r="A1030" t="inlineStr">
        <is>
          <t>Сидоров</t>
        </is>
      </c>
      <c r="B1030" t="n">
        <v>7</v>
      </c>
      <c r="C1030" s="18">
        <f>'Календарь'!A285</f>
        <v/>
      </c>
      <c r="D1030">
        <f>MONTH(C1030)</f>
        <v/>
      </c>
      <c r="E1030">
        <f>'Календарь'!D285</f>
        <v/>
      </c>
      <c r="F1030">
        <f>INT((C1030-Нед_Начало)/7)+1</f>
        <v/>
      </c>
      <c r="G1030">
        <f>IF(E1030=0,0,INDEX('Планы менеджеров'!$B$5:$M$16,B1030,D1030)/INDEX(Мес_Раб,D1030))</f>
        <v/>
      </c>
    </row>
    <row r="1031">
      <c r="A1031" t="inlineStr">
        <is>
          <t>Сидоров</t>
        </is>
      </c>
      <c r="B1031" t="n">
        <v>7</v>
      </c>
      <c r="C1031" s="18">
        <f>'Календарь'!A286</f>
        <v/>
      </c>
      <c r="D1031">
        <f>MONTH(C1031)</f>
        <v/>
      </c>
      <c r="E1031">
        <f>'Календарь'!D286</f>
        <v/>
      </c>
      <c r="F1031">
        <f>INT((C1031-Нед_Начало)/7)+1</f>
        <v/>
      </c>
      <c r="G1031">
        <f>IF(E1031=0,0,INDEX('Планы менеджеров'!$B$5:$M$16,B1031,D1031)/INDEX(Мес_Раб,D1031))</f>
        <v/>
      </c>
    </row>
    <row r="1032">
      <c r="A1032" t="inlineStr">
        <is>
          <t>Сидоров</t>
        </is>
      </c>
      <c r="B1032" t="n">
        <v>7</v>
      </c>
      <c r="C1032" s="18">
        <f>'Календарь'!A287</f>
        <v/>
      </c>
      <c r="D1032">
        <f>MONTH(C1032)</f>
        <v/>
      </c>
      <c r="E1032">
        <f>'Календарь'!D287</f>
        <v/>
      </c>
      <c r="F1032">
        <f>INT((C1032-Нед_Начало)/7)+1</f>
        <v/>
      </c>
      <c r="G1032">
        <f>IF(E1032=0,0,INDEX('Планы менеджеров'!$B$5:$M$16,B1032,D1032)/INDEX(Мес_Раб,D1032))</f>
        <v/>
      </c>
    </row>
    <row r="1033">
      <c r="A1033" t="inlineStr">
        <is>
          <t>Сидоров</t>
        </is>
      </c>
      <c r="B1033" t="n">
        <v>7</v>
      </c>
      <c r="C1033" s="18">
        <f>'Календарь'!A288</f>
        <v/>
      </c>
      <c r="D1033">
        <f>MONTH(C1033)</f>
        <v/>
      </c>
      <c r="E1033">
        <f>'Календарь'!D288</f>
        <v/>
      </c>
      <c r="F1033">
        <f>INT((C1033-Нед_Начало)/7)+1</f>
        <v/>
      </c>
      <c r="G1033">
        <f>IF(E1033=0,0,INDEX('Планы менеджеров'!$B$5:$M$16,B1033,D1033)/INDEX(Мес_Раб,D1033))</f>
        <v/>
      </c>
    </row>
    <row r="1034">
      <c r="A1034" t="inlineStr">
        <is>
          <t>Сидоров</t>
        </is>
      </c>
      <c r="B1034" t="n">
        <v>7</v>
      </c>
      <c r="C1034" s="18">
        <f>'Календарь'!A289</f>
        <v/>
      </c>
      <c r="D1034">
        <f>MONTH(C1034)</f>
        <v/>
      </c>
      <c r="E1034">
        <f>'Календарь'!D289</f>
        <v/>
      </c>
      <c r="F1034">
        <f>INT((C1034-Нед_Начало)/7)+1</f>
        <v/>
      </c>
      <c r="G1034">
        <f>IF(E1034=0,0,INDEX('Планы менеджеров'!$B$5:$M$16,B1034,D1034)/INDEX(Мес_Раб,D1034))</f>
        <v/>
      </c>
    </row>
    <row r="1035">
      <c r="A1035" t="inlineStr">
        <is>
          <t>Сидоров</t>
        </is>
      </c>
      <c r="B1035" t="n">
        <v>7</v>
      </c>
      <c r="C1035" s="18">
        <f>'Календарь'!A290</f>
        <v/>
      </c>
      <c r="D1035">
        <f>MONTH(C1035)</f>
        <v/>
      </c>
      <c r="E1035">
        <f>'Календарь'!D290</f>
        <v/>
      </c>
      <c r="F1035">
        <f>INT((C1035-Нед_Начало)/7)+1</f>
        <v/>
      </c>
      <c r="G1035">
        <f>IF(E1035=0,0,INDEX('Планы менеджеров'!$B$5:$M$16,B1035,D1035)/INDEX(Мес_Раб,D1035))</f>
        <v/>
      </c>
    </row>
    <row r="1036">
      <c r="A1036" t="inlineStr">
        <is>
          <t>Сидоров</t>
        </is>
      </c>
      <c r="B1036" t="n">
        <v>7</v>
      </c>
      <c r="C1036" s="18">
        <f>'Календарь'!A291</f>
        <v/>
      </c>
      <c r="D1036">
        <f>MONTH(C1036)</f>
        <v/>
      </c>
      <c r="E1036">
        <f>'Календарь'!D291</f>
        <v/>
      </c>
      <c r="F1036">
        <f>INT((C1036-Нед_Начало)/7)+1</f>
        <v/>
      </c>
      <c r="G1036">
        <f>IF(E1036=0,0,INDEX('Планы менеджеров'!$B$5:$M$16,B1036,D1036)/INDEX(Мес_Раб,D1036))</f>
        <v/>
      </c>
    </row>
    <row r="1037">
      <c r="A1037" t="inlineStr">
        <is>
          <t>Сидоров</t>
        </is>
      </c>
      <c r="B1037" t="n">
        <v>7</v>
      </c>
      <c r="C1037" s="18">
        <f>'Календарь'!A292</f>
        <v/>
      </c>
      <c r="D1037">
        <f>MONTH(C1037)</f>
        <v/>
      </c>
      <c r="E1037">
        <f>'Календарь'!D292</f>
        <v/>
      </c>
      <c r="F1037">
        <f>INT((C1037-Нед_Начало)/7)+1</f>
        <v/>
      </c>
      <c r="G1037">
        <f>IF(E1037=0,0,INDEX('Планы менеджеров'!$B$5:$M$16,B1037,D1037)/INDEX(Мес_Раб,D1037))</f>
        <v/>
      </c>
    </row>
    <row r="1038">
      <c r="A1038" t="inlineStr">
        <is>
          <t>Сидоров</t>
        </is>
      </c>
      <c r="B1038" t="n">
        <v>7</v>
      </c>
      <c r="C1038" s="18">
        <f>'Календарь'!A293</f>
        <v/>
      </c>
      <c r="D1038">
        <f>MONTH(C1038)</f>
        <v/>
      </c>
      <c r="E1038">
        <f>'Календарь'!D293</f>
        <v/>
      </c>
      <c r="F1038">
        <f>INT((C1038-Нед_Начало)/7)+1</f>
        <v/>
      </c>
      <c r="G1038">
        <f>IF(E1038=0,0,INDEX('Планы менеджеров'!$B$5:$M$16,B1038,D1038)/INDEX(Мес_Раб,D1038))</f>
        <v/>
      </c>
    </row>
    <row r="1039">
      <c r="A1039" t="inlineStr">
        <is>
          <t>Сидоров</t>
        </is>
      </c>
      <c r="B1039" t="n">
        <v>7</v>
      </c>
      <c r="C1039" s="18">
        <f>'Календарь'!A294</f>
        <v/>
      </c>
      <c r="D1039">
        <f>MONTH(C1039)</f>
        <v/>
      </c>
      <c r="E1039">
        <f>'Календарь'!D294</f>
        <v/>
      </c>
      <c r="F1039">
        <f>INT((C1039-Нед_Начало)/7)+1</f>
        <v/>
      </c>
      <c r="G1039">
        <f>IF(E1039=0,0,INDEX('Планы менеджеров'!$B$5:$M$16,B1039,D1039)/INDEX(Мес_Раб,D1039))</f>
        <v/>
      </c>
    </row>
    <row r="1040">
      <c r="A1040" t="inlineStr">
        <is>
          <t>Сидоров</t>
        </is>
      </c>
      <c r="B1040" t="n">
        <v>7</v>
      </c>
      <c r="C1040" s="18">
        <f>'Календарь'!A295</f>
        <v/>
      </c>
      <c r="D1040">
        <f>MONTH(C1040)</f>
        <v/>
      </c>
      <c r="E1040">
        <f>'Календарь'!D295</f>
        <v/>
      </c>
      <c r="F1040">
        <f>INT((C1040-Нед_Начало)/7)+1</f>
        <v/>
      </c>
      <c r="G1040">
        <f>IF(E1040=0,0,INDEX('Планы менеджеров'!$B$5:$M$16,B1040,D1040)/INDEX(Мес_Раб,D1040))</f>
        <v/>
      </c>
    </row>
    <row r="1041">
      <c r="A1041" t="inlineStr">
        <is>
          <t>Сидоров</t>
        </is>
      </c>
      <c r="B1041" t="n">
        <v>7</v>
      </c>
      <c r="C1041" s="18">
        <f>'Календарь'!A296</f>
        <v/>
      </c>
      <c r="D1041">
        <f>MONTH(C1041)</f>
        <v/>
      </c>
      <c r="E1041">
        <f>'Календарь'!D296</f>
        <v/>
      </c>
      <c r="F1041">
        <f>INT((C1041-Нед_Начало)/7)+1</f>
        <v/>
      </c>
      <c r="G1041">
        <f>IF(E1041=0,0,INDEX('Планы менеджеров'!$B$5:$M$16,B1041,D1041)/INDEX(Мес_Раб,D1041))</f>
        <v/>
      </c>
    </row>
    <row r="1042">
      <c r="A1042" t="inlineStr">
        <is>
          <t>Сидоров</t>
        </is>
      </c>
      <c r="B1042" t="n">
        <v>7</v>
      </c>
      <c r="C1042" s="18">
        <f>'Календарь'!A297</f>
        <v/>
      </c>
      <c r="D1042">
        <f>MONTH(C1042)</f>
        <v/>
      </c>
      <c r="E1042">
        <f>'Календарь'!D297</f>
        <v/>
      </c>
      <c r="F1042">
        <f>INT((C1042-Нед_Начало)/7)+1</f>
        <v/>
      </c>
      <c r="G1042">
        <f>IF(E1042=0,0,INDEX('Планы менеджеров'!$B$5:$M$16,B1042,D1042)/INDEX(Мес_Раб,D1042))</f>
        <v/>
      </c>
    </row>
    <row r="1043">
      <c r="A1043" t="inlineStr">
        <is>
          <t>Сидоров</t>
        </is>
      </c>
      <c r="B1043" t="n">
        <v>7</v>
      </c>
      <c r="C1043" s="18">
        <f>'Календарь'!A298</f>
        <v/>
      </c>
      <c r="D1043">
        <f>MONTH(C1043)</f>
        <v/>
      </c>
      <c r="E1043">
        <f>'Календарь'!D298</f>
        <v/>
      </c>
      <c r="F1043">
        <f>INT((C1043-Нед_Начало)/7)+1</f>
        <v/>
      </c>
      <c r="G1043">
        <f>IF(E1043=0,0,INDEX('Планы менеджеров'!$B$5:$M$16,B1043,D1043)/INDEX(Мес_Раб,D1043))</f>
        <v/>
      </c>
    </row>
    <row r="1044">
      <c r="A1044" t="inlineStr">
        <is>
          <t>Сидоров</t>
        </is>
      </c>
      <c r="B1044" t="n">
        <v>7</v>
      </c>
      <c r="C1044" s="18">
        <f>'Календарь'!A299</f>
        <v/>
      </c>
      <c r="D1044">
        <f>MONTH(C1044)</f>
        <v/>
      </c>
      <c r="E1044">
        <f>'Календарь'!D299</f>
        <v/>
      </c>
      <c r="F1044">
        <f>INT((C1044-Нед_Начало)/7)+1</f>
        <v/>
      </c>
      <c r="G1044">
        <f>IF(E1044=0,0,INDEX('Планы менеджеров'!$B$5:$M$16,B1044,D1044)/INDEX(Мес_Раб,D1044))</f>
        <v/>
      </c>
    </row>
    <row r="1045">
      <c r="A1045" t="inlineStr">
        <is>
          <t>Сидоров</t>
        </is>
      </c>
      <c r="B1045" t="n">
        <v>7</v>
      </c>
      <c r="C1045" s="18">
        <f>'Календарь'!A300</f>
        <v/>
      </c>
      <c r="D1045">
        <f>MONTH(C1045)</f>
        <v/>
      </c>
      <c r="E1045">
        <f>'Календарь'!D300</f>
        <v/>
      </c>
      <c r="F1045">
        <f>INT((C1045-Нед_Начало)/7)+1</f>
        <v/>
      </c>
      <c r="G1045">
        <f>IF(E1045=0,0,INDEX('Планы менеджеров'!$B$5:$M$16,B1045,D1045)/INDEX(Мес_Раб,D1045))</f>
        <v/>
      </c>
    </row>
    <row r="1046">
      <c r="A1046" t="inlineStr">
        <is>
          <t>Сидоров</t>
        </is>
      </c>
      <c r="B1046" t="n">
        <v>7</v>
      </c>
      <c r="C1046" s="18">
        <f>'Календарь'!A301</f>
        <v/>
      </c>
      <c r="D1046">
        <f>MONTH(C1046)</f>
        <v/>
      </c>
      <c r="E1046">
        <f>'Календарь'!D301</f>
        <v/>
      </c>
      <c r="F1046">
        <f>INT((C1046-Нед_Начало)/7)+1</f>
        <v/>
      </c>
      <c r="G1046">
        <f>IF(E1046=0,0,INDEX('Планы менеджеров'!$B$5:$M$16,B1046,D1046)/INDEX(Мес_Раб,D1046))</f>
        <v/>
      </c>
    </row>
    <row r="1047">
      <c r="A1047" t="inlineStr">
        <is>
          <t>Сидоров</t>
        </is>
      </c>
      <c r="B1047" t="n">
        <v>7</v>
      </c>
      <c r="C1047" s="18">
        <f>'Календарь'!A302</f>
        <v/>
      </c>
      <c r="D1047">
        <f>MONTH(C1047)</f>
        <v/>
      </c>
      <c r="E1047">
        <f>'Календарь'!D302</f>
        <v/>
      </c>
      <c r="F1047">
        <f>INT((C1047-Нед_Начало)/7)+1</f>
        <v/>
      </c>
      <c r="G1047">
        <f>IF(E1047=0,0,INDEX('Планы менеджеров'!$B$5:$M$16,B1047,D1047)/INDEX(Мес_Раб,D1047))</f>
        <v/>
      </c>
    </row>
    <row r="1048">
      <c r="A1048" t="inlineStr">
        <is>
          <t>Сидоров</t>
        </is>
      </c>
      <c r="B1048" t="n">
        <v>7</v>
      </c>
      <c r="C1048" s="18">
        <f>'Календарь'!A303</f>
        <v/>
      </c>
      <c r="D1048">
        <f>MONTH(C1048)</f>
        <v/>
      </c>
      <c r="E1048">
        <f>'Календарь'!D303</f>
        <v/>
      </c>
      <c r="F1048">
        <f>INT((C1048-Нед_Начало)/7)+1</f>
        <v/>
      </c>
      <c r="G1048">
        <f>IF(E1048=0,0,INDEX('Планы менеджеров'!$B$5:$M$16,B1048,D1048)/INDEX(Мес_Раб,D1048))</f>
        <v/>
      </c>
    </row>
    <row r="1049">
      <c r="A1049" t="inlineStr">
        <is>
          <t>Сидоров</t>
        </is>
      </c>
      <c r="B1049" t="n">
        <v>7</v>
      </c>
      <c r="C1049" s="18">
        <f>'Календарь'!A304</f>
        <v/>
      </c>
      <c r="D1049">
        <f>MONTH(C1049)</f>
        <v/>
      </c>
      <c r="E1049">
        <f>'Календарь'!D304</f>
        <v/>
      </c>
      <c r="F1049">
        <f>INT((C1049-Нед_Начало)/7)+1</f>
        <v/>
      </c>
      <c r="G1049">
        <f>IF(E1049=0,0,INDEX('Планы менеджеров'!$B$5:$M$16,B1049,D1049)/INDEX(Мес_Раб,D1049))</f>
        <v/>
      </c>
    </row>
    <row r="1050">
      <c r="A1050" t="inlineStr">
        <is>
          <t>Сидоров</t>
        </is>
      </c>
      <c r="B1050" t="n">
        <v>7</v>
      </c>
      <c r="C1050" s="18">
        <f>'Календарь'!A305</f>
        <v/>
      </c>
      <c r="D1050">
        <f>MONTH(C1050)</f>
        <v/>
      </c>
      <c r="E1050">
        <f>'Календарь'!D305</f>
        <v/>
      </c>
      <c r="F1050">
        <f>INT((C1050-Нед_Начало)/7)+1</f>
        <v/>
      </c>
      <c r="G1050">
        <f>IF(E1050=0,0,INDEX('Планы менеджеров'!$B$5:$M$16,B1050,D1050)/INDEX(Мес_Раб,D1050))</f>
        <v/>
      </c>
    </row>
    <row r="1051">
      <c r="A1051" t="inlineStr">
        <is>
          <t>Сидоров</t>
        </is>
      </c>
      <c r="B1051" t="n">
        <v>7</v>
      </c>
      <c r="C1051" s="18">
        <f>'Календарь'!A306</f>
        <v/>
      </c>
      <c r="D1051">
        <f>MONTH(C1051)</f>
        <v/>
      </c>
      <c r="E1051">
        <f>'Календарь'!D306</f>
        <v/>
      </c>
      <c r="F1051">
        <f>INT((C1051-Нед_Начало)/7)+1</f>
        <v/>
      </c>
      <c r="G1051">
        <f>IF(E1051=0,0,INDEX('Планы менеджеров'!$B$5:$M$16,B1051,D1051)/INDEX(Мес_Раб,D1051))</f>
        <v/>
      </c>
    </row>
    <row r="1052">
      <c r="A1052" t="inlineStr">
        <is>
          <t>Сидоров</t>
        </is>
      </c>
      <c r="B1052" t="n">
        <v>7</v>
      </c>
      <c r="C1052" s="18">
        <f>'Календарь'!A307</f>
        <v/>
      </c>
      <c r="D1052">
        <f>MONTH(C1052)</f>
        <v/>
      </c>
      <c r="E1052">
        <f>'Календарь'!D307</f>
        <v/>
      </c>
      <c r="F1052">
        <f>INT((C1052-Нед_Начало)/7)+1</f>
        <v/>
      </c>
      <c r="G1052">
        <f>IF(E1052=0,0,INDEX('Планы менеджеров'!$B$5:$M$16,B1052,D1052)/INDEX(Мес_Раб,D1052))</f>
        <v/>
      </c>
    </row>
    <row r="1053">
      <c r="A1053" t="inlineStr">
        <is>
          <t>Сидоров</t>
        </is>
      </c>
      <c r="B1053" t="n">
        <v>7</v>
      </c>
      <c r="C1053" s="18">
        <f>'Календарь'!A308</f>
        <v/>
      </c>
      <c r="D1053">
        <f>MONTH(C1053)</f>
        <v/>
      </c>
      <c r="E1053">
        <f>'Календарь'!D308</f>
        <v/>
      </c>
      <c r="F1053">
        <f>INT((C1053-Нед_Начало)/7)+1</f>
        <v/>
      </c>
      <c r="G1053">
        <f>IF(E1053=0,0,INDEX('Планы менеджеров'!$B$5:$M$16,B1053,D1053)/INDEX(Мес_Раб,D1053))</f>
        <v/>
      </c>
    </row>
    <row r="1054">
      <c r="A1054" t="inlineStr">
        <is>
          <t>Сидоров</t>
        </is>
      </c>
      <c r="B1054" t="n">
        <v>7</v>
      </c>
      <c r="C1054" s="18">
        <f>'Календарь'!A309</f>
        <v/>
      </c>
      <c r="D1054">
        <f>MONTH(C1054)</f>
        <v/>
      </c>
      <c r="E1054">
        <f>'Календарь'!D309</f>
        <v/>
      </c>
      <c r="F1054">
        <f>INT((C1054-Нед_Начало)/7)+1</f>
        <v/>
      </c>
      <c r="G1054">
        <f>IF(E1054=0,0,INDEX('Планы менеджеров'!$B$5:$M$16,B1054,D1054)/INDEX(Мес_Раб,D1054))</f>
        <v/>
      </c>
    </row>
    <row r="1055">
      <c r="A1055" t="inlineStr">
        <is>
          <t>Сидоров</t>
        </is>
      </c>
      <c r="B1055" t="n">
        <v>7</v>
      </c>
      <c r="C1055" s="18">
        <f>'Календарь'!A310</f>
        <v/>
      </c>
      <c r="D1055">
        <f>MONTH(C1055)</f>
        <v/>
      </c>
      <c r="E1055">
        <f>'Календарь'!D310</f>
        <v/>
      </c>
      <c r="F1055">
        <f>INT((C1055-Нед_Начало)/7)+1</f>
        <v/>
      </c>
      <c r="G1055">
        <f>IF(E1055=0,0,INDEX('Планы менеджеров'!$B$5:$M$16,B1055,D1055)/INDEX(Мес_Раб,D1055))</f>
        <v/>
      </c>
    </row>
    <row r="1056">
      <c r="A1056" t="inlineStr">
        <is>
          <t>Сидоров</t>
        </is>
      </c>
      <c r="B1056" t="n">
        <v>7</v>
      </c>
      <c r="C1056" s="18">
        <f>'Календарь'!A311</f>
        <v/>
      </c>
      <c r="D1056">
        <f>MONTH(C1056)</f>
        <v/>
      </c>
      <c r="E1056">
        <f>'Календарь'!D311</f>
        <v/>
      </c>
      <c r="F1056">
        <f>INT((C1056-Нед_Начало)/7)+1</f>
        <v/>
      </c>
      <c r="G1056">
        <f>IF(E1056=0,0,INDEX('Планы менеджеров'!$B$5:$M$16,B1056,D1056)/INDEX(Мес_Раб,D1056))</f>
        <v/>
      </c>
    </row>
    <row r="1057">
      <c r="A1057" t="inlineStr">
        <is>
          <t>Сидоров</t>
        </is>
      </c>
      <c r="B1057" t="n">
        <v>7</v>
      </c>
      <c r="C1057" s="18">
        <f>'Календарь'!A312</f>
        <v/>
      </c>
      <c r="D1057">
        <f>MONTH(C1057)</f>
        <v/>
      </c>
      <c r="E1057">
        <f>'Календарь'!D312</f>
        <v/>
      </c>
      <c r="F1057">
        <f>INT((C1057-Нед_Начало)/7)+1</f>
        <v/>
      </c>
      <c r="G1057">
        <f>IF(E1057=0,0,INDEX('Планы менеджеров'!$B$5:$M$16,B1057,D1057)/INDEX(Мес_Раб,D1057))</f>
        <v/>
      </c>
    </row>
    <row r="1058">
      <c r="A1058" t="inlineStr">
        <is>
          <t>Сидоров</t>
        </is>
      </c>
      <c r="B1058" t="n">
        <v>7</v>
      </c>
      <c r="C1058" s="18">
        <f>'Календарь'!A313</f>
        <v/>
      </c>
      <c r="D1058">
        <f>MONTH(C1058)</f>
        <v/>
      </c>
      <c r="E1058">
        <f>'Календарь'!D313</f>
        <v/>
      </c>
      <c r="F1058">
        <f>INT((C1058-Нед_Начало)/7)+1</f>
        <v/>
      </c>
      <c r="G1058">
        <f>IF(E1058=0,0,INDEX('Планы менеджеров'!$B$5:$M$16,B1058,D1058)/INDEX(Мес_Раб,D1058))</f>
        <v/>
      </c>
    </row>
    <row r="1059">
      <c r="A1059" t="inlineStr">
        <is>
          <t>Сидоров</t>
        </is>
      </c>
      <c r="B1059" t="n">
        <v>7</v>
      </c>
      <c r="C1059" s="18">
        <f>'Календарь'!A314</f>
        <v/>
      </c>
      <c r="D1059">
        <f>MONTH(C1059)</f>
        <v/>
      </c>
      <c r="E1059">
        <f>'Календарь'!D314</f>
        <v/>
      </c>
      <c r="F1059">
        <f>INT((C1059-Нед_Начало)/7)+1</f>
        <v/>
      </c>
      <c r="G1059">
        <f>IF(E1059=0,0,INDEX('Планы менеджеров'!$B$5:$M$16,B1059,D1059)/INDEX(Мес_Раб,D1059))</f>
        <v/>
      </c>
    </row>
    <row r="1060">
      <c r="A1060" t="inlineStr">
        <is>
          <t>Сидоров</t>
        </is>
      </c>
      <c r="B1060" t="n">
        <v>7</v>
      </c>
      <c r="C1060" s="18">
        <f>'Календарь'!A315</f>
        <v/>
      </c>
      <c r="D1060">
        <f>MONTH(C1060)</f>
        <v/>
      </c>
      <c r="E1060">
        <f>'Календарь'!D315</f>
        <v/>
      </c>
      <c r="F1060">
        <f>INT((C1060-Нед_Начало)/7)+1</f>
        <v/>
      </c>
      <c r="G1060">
        <f>IF(E1060=0,0,INDEX('Планы менеджеров'!$B$5:$M$16,B1060,D1060)/INDEX(Мес_Раб,D1060))</f>
        <v/>
      </c>
    </row>
    <row r="1061">
      <c r="A1061" t="inlineStr">
        <is>
          <t>Сидоров</t>
        </is>
      </c>
      <c r="B1061" t="n">
        <v>7</v>
      </c>
      <c r="C1061" s="18">
        <f>'Календарь'!A316</f>
        <v/>
      </c>
      <c r="D1061">
        <f>MONTH(C1061)</f>
        <v/>
      </c>
      <c r="E1061">
        <f>'Календарь'!D316</f>
        <v/>
      </c>
      <c r="F1061">
        <f>INT((C1061-Нед_Начало)/7)+1</f>
        <v/>
      </c>
      <c r="G1061">
        <f>IF(E1061=0,0,INDEX('Планы менеджеров'!$B$5:$M$16,B1061,D1061)/INDEX(Мес_Раб,D1061))</f>
        <v/>
      </c>
    </row>
    <row r="1062">
      <c r="A1062" t="inlineStr">
        <is>
          <t>Сидоров</t>
        </is>
      </c>
      <c r="B1062" t="n">
        <v>7</v>
      </c>
      <c r="C1062" s="18">
        <f>'Календарь'!A317</f>
        <v/>
      </c>
      <c r="D1062">
        <f>MONTH(C1062)</f>
        <v/>
      </c>
      <c r="E1062">
        <f>'Календарь'!D317</f>
        <v/>
      </c>
      <c r="F1062">
        <f>INT((C1062-Нед_Начало)/7)+1</f>
        <v/>
      </c>
      <c r="G1062">
        <f>IF(E1062=0,0,INDEX('Планы менеджеров'!$B$5:$M$16,B1062,D1062)/INDEX(Мес_Раб,D1062))</f>
        <v/>
      </c>
    </row>
    <row r="1063">
      <c r="A1063" t="inlineStr">
        <is>
          <t>Сидоров</t>
        </is>
      </c>
      <c r="B1063" t="n">
        <v>7</v>
      </c>
      <c r="C1063" s="18">
        <f>'Календарь'!A318</f>
        <v/>
      </c>
      <c r="D1063">
        <f>MONTH(C1063)</f>
        <v/>
      </c>
      <c r="E1063">
        <f>'Календарь'!D318</f>
        <v/>
      </c>
      <c r="F1063">
        <f>INT((C1063-Нед_Начало)/7)+1</f>
        <v/>
      </c>
      <c r="G1063">
        <f>IF(E1063=0,0,INDEX('Планы менеджеров'!$B$5:$M$16,B1063,D1063)/INDEX(Мес_Раб,D1063))</f>
        <v/>
      </c>
    </row>
    <row r="1064">
      <c r="A1064" t="inlineStr">
        <is>
          <t>Сидоров</t>
        </is>
      </c>
      <c r="B1064" t="n">
        <v>7</v>
      </c>
      <c r="C1064" s="18">
        <f>'Календарь'!A319</f>
        <v/>
      </c>
      <c r="D1064">
        <f>MONTH(C1064)</f>
        <v/>
      </c>
      <c r="E1064">
        <f>'Календарь'!D319</f>
        <v/>
      </c>
      <c r="F1064">
        <f>INT((C1064-Нед_Начало)/7)+1</f>
        <v/>
      </c>
      <c r="G1064">
        <f>IF(E1064=0,0,INDEX('Планы менеджеров'!$B$5:$M$16,B1064,D1064)/INDEX(Мес_Раб,D1064))</f>
        <v/>
      </c>
    </row>
    <row r="1065">
      <c r="A1065" t="inlineStr">
        <is>
          <t>Сидоров</t>
        </is>
      </c>
      <c r="B1065" t="n">
        <v>7</v>
      </c>
      <c r="C1065" s="18">
        <f>'Календарь'!A320</f>
        <v/>
      </c>
      <c r="D1065">
        <f>MONTH(C1065)</f>
        <v/>
      </c>
      <c r="E1065">
        <f>'Календарь'!D320</f>
        <v/>
      </c>
      <c r="F1065">
        <f>INT((C1065-Нед_Начало)/7)+1</f>
        <v/>
      </c>
      <c r="G1065">
        <f>IF(E1065=0,0,INDEX('Планы менеджеров'!$B$5:$M$16,B1065,D1065)/INDEX(Мес_Раб,D1065))</f>
        <v/>
      </c>
    </row>
    <row r="1066">
      <c r="A1066" t="inlineStr">
        <is>
          <t>Сидоров</t>
        </is>
      </c>
      <c r="B1066" t="n">
        <v>7</v>
      </c>
      <c r="C1066" s="18">
        <f>'Календарь'!A321</f>
        <v/>
      </c>
      <c r="D1066">
        <f>MONTH(C1066)</f>
        <v/>
      </c>
      <c r="E1066">
        <f>'Календарь'!D321</f>
        <v/>
      </c>
      <c r="F1066">
        <f>INT((C1066-Нед_Начало)/7)+1</f>
        <v/>
      </c>
      <c r="G1066">
        <f>IF(E1066=0,0,INDEX('Планы менеджеров'!$B$5:$M$16,B1066,D1066)/INDEX(Мес_Раб,D1066))</f>
        <v/>
      </c>
    </row>
    <row r="1067">
      <c r="A1067" t="inlineStr">
        <is>
          <t>Сидоров</t>
        </is>
      </c>
      <c r="B1067" t="n">
        <v>7</v>
      </c>
      <c r="C1067" s="18">
        <f>'Календарь'!A322</f>
        <v/>
      </c>
      <c r="D1067">
        <f>MONTH(C1067)</f>
        <v/>
      </c>
      <c r="E1067">
        <f>'Календарь'!D322</f>
        <v/>
      </c>
      <c r="F1067">
        <f>INT((C1067-Нед_Начало)/7)+1</f>
        <v/>
      </c>
      <c r="G1067">
        <f>IF(E1067=0,0,INDEX('Планы менеджеров'!$B$5:$M$16,B1067,D1067)/INDEX(Мес_Раб,D1067))</f>
        <v/>
      </c>
    </row>
    <row r="1068">
      <c r="A1068" t="inlineStr">
        <is>
          <t>Сидоров</t>
        </is>
      </c>
      <c r="B1068" t="n">
        <v>7</v>
      </c>
      <c r="C1068" s="18">
        <f>'Календарь'!A323</f>
        <v/>
      </c>
      <c r="D1068">
        <f>MONTH(C1068)</f>
        <v/>
      </c>
      <c r="E1068">
        <f>'Календарь'!D323</f>
        <v/>
      </c>
      <c r="F1068">
        <f>INT((C1068-Нед_Начало)/7)+1</f>
        <v/>
      </c>
      <c r="G1068">
        <f>IF(E1068=0,0,INDEX('Планы менеджеров'!$B$5:$M$16,B1068,D1068)/INDEX(Мес_Раб,D1068))</f>
        <v/>
      </c>
    </row>
    <row r="1069">
      <c r="A1069" t="inlineStr">
        <is>
          <t>Сидоров</t>
        </is>
      </c>
      <c r="B1069" t="n">
        <v>7</v>
      </c>
      <c r="C1069" s="18">
        <f>'Календарь'!A324</f>
        <v/>
      </c>
      <c r="D1069">
        <f>MONTH(C1069)</f>
        <v/>
      </c>
      <c r="E1069">
        <f>'Календарь'!D324</f>
        <v/>
      </c>
      <c r="F1069">
        <f>INT((C1069-Нед_Начало)/7)+1</f>
        <v/>
      </c>
      <c r="G1069">
        <f>IF(E1069=0,0,INDEX('Планы менеджеров'!$B$5:$M$16,B1069,D1069)/INDEX(Мес_Раб,D1069))</f>
        <v/>
      </c>
    </row>
    <row r="1070">
      <c r="A1070" t="inlineStr">
        <is>
          <t>Сидоров</t>
        </is>
      </c>
      <c r="B1070" t="n">
        <v>7</v>
      </c>
      <c r="C1070" s="18">
        <f>'Календарь'!A325</f>
        <v/>
      </c>
      <c r="D1070">
        <f>MONTH(C1070)</f>
        <v/>
      </c>
      <c r="E1070">
        <f>'Календарь'!D325</f>
        <v/>
      </c>
      <c r="F1070">
        <f>INT((C1070-Нед_Начало)/7)+1</f>
        <v/>
      </c>
      <c r="G1070">
        <f>IF(E1070=0,0,INDEX('Планы менеджеров'!$B$5:$M$16,B1070,D1070)/INDEX(Мес_Раб,D1070))</f>
        <v/>
      </c>
    </row>
    <row r="1071">
      <c r="A1071" t="inlineStr">
        <is>
          <t>Сидоров</t>
        </is>
      </c>
      <c r="B1071" t="n">
        <v>7</v>
      </c>
      <c r="C1071" s="18">
        <f>'Календарь'!A326</f>
        <v/>
      </c>
      <c r="D1071">
        <f>MONTH(C1071)</f>
        <v/>
      </c>
      <c r="E1071">
        <f>'Календарь'!D326</f>
        <v/>
      </c>
      <c r="F1071">
        <f>INT((C1071-Нед_Начало)/7)+1</f>
        <v/>
      </c>
      <c r="G1071">
        <f>IF(E1071=0,0,INDEX('Планы менеджеров'!$B$5:$M$16,B1071,D1071)/INDEX(Мес_Раб,D1071))</f>
        <v/>
      </c>
    </row>
    <row r="1072">
      <c r="A1072" t="inlineStr">
        <is>
          <t>Сидоров</t>
        </is>
      </c>
      <c r="B1072" t="n">
        <v>7</v>
      </c>
      <c r="C1072" s="18">
        <f>'Календарь'!A327</f>
        <v/>
      </c>
      <c r="D1072">
        <f>MONTH(C1072)</f>
        <v/>
      </c>
      <c r="E1072">
        <f>'Календарь'!D327</f>
        <v/>
      </c>
      <c r="F1072">
        <f>INT((C1072-Нед_Начало)/7)+1</f>
        <v/>
      </c>
      <c r="G1072">
        <f>IF(E1072=0,0,INDEX('Планы менеджеров'!$B$5:$M$16,B1072,D1072)/INDEX(Мес_Раб,D1072))</f>
        <v/>
      </c>
    </row>
    <row r="1073">
      <c r="A1073" t="inlineStr">
        <is>
          <t>Сидоров</t>
        </is>
      </c>
      <c r="B1073" t="n">
        <v>7</v>
      </c>
      <c r="C1073" s="18">
        <f>'Календарь'!A328</f>
        <v/>
      </c>
      <c r="D1073">
        <f>MONTH(C1073)</f>
        <v/>
      </c>
      <c r="E1073">
        <f>'Календарь'!D328</f>
        <v/>
      </c>
      <c r="F1073">
        <f>INT((C1073-Нед_Начало)/7)+1</f>
        <v/>
      </c>
      <c r="G1073">
        <f>IF(E1073=0,0,INDEX('Планы менеджеров'!$B$5:$M$16,B1073,D1073)/INDEX(Мес_Раб,D1073))</f>
        <v/>
      </c>
    </row>
    <row r="1074">
      <c r="A1074" t="inlineStr">
        <is>
          <t>Сидоров</t>
        </is>
      </c>
      <c r="B1074" t="n">
        <v>7</v>
      </c>
      <c r="C1074" s="18">
        <f>'Календарь'!A329</f>
        <v/>
      </c>
      <c r="D1074">
        <f>MONTH(C1074)</f>
        <v/>
      </c>
      <c r="E1074">
        <f>'Календарь'!D329</f>
        <v/>
      </c>
      <c r="F1074">
        <f>INT((C1074-Нед_Начало)/7)+1</f>
        <v/>
      </c>
      <c r="G1074">
        <f>IF(E1074=0,0,INDEX('Планы менеджеров'!$B$5:$M$16,B1074,D1074)/INDEX(Мес_Раб,D1074))</f>
        <v/>
      </c>
    </row>
    <row r="1075">
      <c r="A1075" t="inlineStr">
        <is>
          <t>Сидоров</t>
        </is>
      </c>
      <c r="B1075" t="n">
        <v>7</v>
      </c>
      <c r="C1075" s="18">
        <f>'Календарь'!A330</f>
        <v/>
      </c>
      <c r="D1075">
        <f>MONTH(C1075)</f>
        <v/>
      </c>
      <c r="E1075">
        <f>'Календарь'!D330</f>
        <v/>
      </c>
      <c r="F1075">
        <f>INT((C1075-Нед_Начало)/7)+1</f>
        <v/>
      </c>
      <c r="G1075">
        <f>IF(E1075=0,0,INDEX('Планы менеджеров'!$B$5:$M$16,B1075,D1075)/INDEX(Мес_Раб,D1075))</f>
        <v/>
      </c>
    </row>
    <row r="1076">
      <c r="A1076" t="inlineStr">
        <is>
          <t>Сидоров</t>
        </is>
      </c>
      <c r="B1076" t="n">
        <v>7</v>
      </c>
      <c r="C1076" s="18">
        <f>'Календарь'!A331</f>
        <v/>
      </c>
      <c r="D1076">
        <f>MONTH(C1076)</f>
        <v/>
      </c>
      <c r="E1076">
        <f>'Календарь'!D331</f>
        <v/>
      </c>
      <c r="F1076">
        <f>INT((C1076-Нед_Начало)/7)+1</f>
        <v/>
      </c>
      <c r="G1076">
        <f>IF(E1076=0,0,INDEX('Планы менеджеров'!$B$5:$M$16,B1076,D1076)/INDEX(Мес_Раб,D1076))</f>
        <v/>
      </c>
    </row>
    <row r="1077">
      <c r="A1077" t="inlineStr">
        <is>
          <t>Сидоров</t>
        </is>
      </c>
      <c r="B1077" t="n">
        <v>7</v>
      </c>
      <c r="C1077" s="18">
        <f>'Календарь'!A332</f>
        <v/>
      </c>
      <c r="D1077">
        <f>MONTH(C1077)</f>
        <v/>
      </c>
      <c r="E1077">
        <f>'Календарь'!D332</f>
        <v/>
      </c>
      <c r="F1077">
        <f>INT((C1077-Нед_Начало)/7)+1</f>
        <v/>
      </c>
      <c r="G1077">
        <f>IF(E1077=0,0,INDEX('Планы менеджеров'!$B$5:$M$16,B1077,D1077)/INDEX(Мес_Раб,D1077))</f>
        <v/>
      </c>
    </row>
    <row r="1078">
      <c r="A1078" t="inlineStr">
        <is>
          <t>Сидоров</t>
        </is>
      </c>
      <c r="B1078" t="n">
        <v>7</v>
      </c>
      <c r="C1078" s="18">
        <f>'Календарь'!A333</f>
        <v/>
      </c>
      <c r="D1078">
        <f>MONTH(C1078)</f>
        <v/>
      </c>
      <c r="E1078">
        <f>'Календарь'!D333</f>
        <v/>
      </c>
      <c r="F1078">
        <f>INT((C1078-Нед_Начало)/7)+1</f>
        <v/>
      </c>
      <c r="G1078">
        <f>IF(E1078=0,0,INDEX('Планы менеджеров'!$B$5:$M$16,B1078,D1078)/INDEX(Мес_Раб,D1078))</f>
        <v/>
      </c>
    </row>
    <row r="1079">
      <c r="A1079" t="inlineStr">
        <is>
          <t>Сидоров</t>
        </is>
      </c>
      <c r="B1079" t="n">
        <v>7</v>
      </c>
      <c r="C1079" s="18">
        <f>'Календарь'!A334</f>
        <v/>
      </c>
      <c r="D1079">
        <f>MONTH(C1079)</f>
        <v/>
      </c>
      <c r="E1079">
        <f>'Календарь'!D334</f>
        <v/>
      </c>
      <c r="F1079">
        <f>INT((C1079-Нед_Начало)/7)+1</f>
        <v/>
      </c>
      <c r="G1079">
        <f>IF(E1079=0,0,INDEX('Планы менеджеров'!$B$5:$M$16,B1079,D1079)/INDEX(Мес_Раб,D1079))</f>
        <v/>
      </c>
    </row>
    <row r="1080">
      <c r="A1080" t="inlineStr">
        <is>
          <t>Сидоров</t>
        </is>
      </c>
      <c r="B1080" t="n">
        <v>7</v>
      </c>
      <c r="C1080" s="18">
        <f>'Календарь'!A335</f>
        <v/>
      </c>
      <c r="D1080">
        <f>MONTH(C1080)</f>
        <v/>
      </c>
      <c r="E1080">
        <f>'Календарь'!D335</f>
        <v/>
      </c>
      <c r="F1080">
        <f>INT((C1080-Нед_Начало)/7)+1</f>
        <v/>
      </c>
      <c r="G1080">
        <f>IF(E1080=0,0,INDEX('Планы менеджеров'!$B$5:$M$16,B1080,D1080)/INDEX(Мес_Раб,D1080))</f>
        <v/>
      </c>
    </row>
    <row r="1081">
      <c r="A1081" t="inlineStr">
        <is>
          <t>Сидоров</t>
        </is>
      </c>
      <c r="B1081" t="n">
        <v>7</v>
      </c>
      <c r="C1081" s="18">
        <f>'Календарь'!A336</f>
        <v/>
      </c>
      <c r="D1081">
        <f>MONTH(C1081)</f>
        <v/>
      </c>
      <c r="E1081">
        <f>'Календарь'!D336</f>
        <v/>
      </c>
      <c r="F1081">
        <f>INT((C1081-Нед_Начало)/7)+1</f>
        <v/>
      </c>
      <c r="G1081">
        <f>IF(E1081=0,0,INDEX('Планы менеджеров'!$B$5:$M$16,B1081,D1081)/INDEX(Мес_Раб,D1081))</f>
        <v/>
      </c>
    </row>
    <row r="1082">
      <c r="A1082" t="inlineStr">
        <is>
          <t>Сидоров</t>
        </is>
      </c>
      <c r="B1082" t="n">
        <v>7</v>
      </c>
      <c r="C1082" s="18">
        <f>'Календарь'!A337</f>
        <v/>
      </c>
      <c r="D1082">
        <f>MONTH(C1082)</f>
        <v/>
      </c>
      <c r="E1082">
        <f>'Календарь'!D337</f>
        <v/>
      </c>
      <c r="F1082">
        <f>INT((C1082-Нед_Начало)/7)+1</f>
        <v/>
      </c>
      <c r="G1082">
        <f>IF(E1082=0,0,INDEX('Планы менеджеров'!$B$5:$M$16,B1082,D1082)/INDEX(Мес_Раб,D1082))</f>
        <v/>
      </c>
    </row>
    <row r="1083">
      <c r="A1083" t="inlineStr">
        <is>
          <t>Сидоров</t>
        </is>
      </c>
      <c r="B1083" t="n">
        <v>7</v>
      </c>
      <c r="C1083" s="18">
        <f>'Календарь'!A338</f>
        <v/>
      </c>
      <c r="D1083">
        <f>MONTH(C1083)</f>
        <v/>
      </c>
      <c r="E1083">
        <f>'Календарь'!D338</f>
        <v/>
      </c>
      <c r="F1083">
        <f>INT((C1083-Нед_Начало)/7)+1</f>
        <v/>
      </c>
      <c r="G1083">
        <f>IF(E1083=0,0,INDEX('Планы менеджеров'!$B$5:$M$16,B1083,D1083)/INDEX(Мес_Раб,D1083))</f>
        <v/>
      </c>
    </row>
    <row r="1084">
      <c r="A1084" t="inlineStr">
        <is>
          <t>Сидоров</t>
        </is>
      </c>
      <c r="B1084" t="n">
        <v>7</v>
      </c>
      <c r="C1084" s="18">
        <f>'Календарь'!A339</f>
        <v/>
      </c>
      <c r="D1084">
        <f>MONTH(C1084)</f>
        <v/>
      </c>
      <c r="E1084">
        <f>'Календарь'!D339</f>
        <v/>
      </c>
      <c r="F1084">
        <f>INT((C1084-Нед_Начало)/7)+1</f>
        <v/>
      </c>
      <c r="G1084">
        <f>IF(E1084=0,0,INDEX('Планы менеджеров'!$B$5:$M$16,B1084,D1084)/INDEX(Мес_Раб,D1084))</f>
        <v/>
      </c>
    </row>
    <row r="1085">
      <c r="A1085" t="inlineStr">
        <is>
          <t>Сидоров</t>
        </is>
      </c>
      <c r="B1085" t="n">
        <v>7</v>
      </c>
      <c r="C1085" s="18">
        <f>'Календарь'!A340</f>
        <v/>
      </c>
      <c r="D1085">
        <f>MONTH(C1085)</f>
        <v/>
      </c>
      <c r="E1085">
        <f>'Календарь'!D340</f>
        <v/>
      </c>
      <c r="F1085">
        <f>INT((C1085-Нед_Начало)/7)+1</f>
        <v/>
      </c>
      <c r="G1085">
        <f>IF(E1085=0,0,INDEX('Планы менеджеров'!$B$5:$M$16,B1085,D1085)/INDEX(Мес_Раб,D1085))</f>
        <v/>
      </c>
    </row>
    <row r="1086">
      <c r="A1086" t="inlineStr">
        <is>
          <t>Сидоров</t>
        </is>
      </c>
      <c r="B1086" t="n">
        <v>7</v>
      </c>
      <c r="C1086" s="18">
        <f>'Календарь'!A341</f>
        <v/>
      </c>
      <c r="D1086">
        <f>MONTH(C1086)</f>
        <v/>
      </c>
      <c r="E1086">
        <f>'Календарь'!D341</f>
        <v/>
      </c>
      <c r="F1086">
        <f>INT((C1086-Нед_Начало)/7)+1</f>
        <v/>
      </c>
      <c r="G1086">
        <f>IF(E1086=0,0,INDEX('Планы менеджеров'!$B$5:$M$16,B1086,D1086)/INDEX(Мес_Раб,D1086))</f>
        <v/>
      </c>
    </row>
    <row r="1087">
      <c r="A1087" t="inlineStr">
        <is>
          <t>Сидоров</t>
        </is>
      </c>
      <c r="B1087" t="n">
        <v>7</v>
      </c>
      <c r="C1087" s="18">
        <f>'Календарь'!A342</f>
        <v/>
      </c>
      <c r="D1087">
        <f>MONTH(C1087)</f>
        <v/>
      </c>
      <c r="E1087">
        <f>'Календарь'!D342</f>
        <v/>
      </c>
      <c r="F1087">
        <f>INT((C1087-Нед_Начало)/7)+1</f>
        <v/>
      </c>
      <c r="G1087">
        <f>IF(E1087=0,0,INDEX('Планы менеджеров'!$B$5:$M$16,B1087,D1087)/INDEX(Мес_Раб,D1087))</f>
        <v/>
      </c>
    </row>
    <row r="1088">
      <c r="A1088" t="inlineStr">
        <is>
          <t>Сидоров</t>
        </is>
      </c>
      <c r="B1088" t="n">
        <v>7</v>
      </c>
      <c r="C1088" s="18">
        <f>'Календарь'!A343</f>
        <v/>
      </c>
      <c r="D1088">
        <f>MONTH(C1088)</f>
        <v/>
      </c>
      <c r="E1088">
        <f>'Календарь'!D343</f>
        <v/>
      </c>
      <c r="F1088">
        <f>INT((C1088-Нед_Начало)/7)+1</f>
        <v/>
      </c>
      <c r="G1088">
        <f>IF(E1088=0,0,INDEX('Планы менеджеров'!$B$5:$M$16,B1088,D1088)/INDEX(Мес_Раб,D1088))</f>
        <v/>
      </c>
    </row>
    <row r="1089">
      <c r="A1089" t="inlineStr">
        <is>
          <t>Сидоров</t>
        </is>
      </c>
      <c r="B1089" t="n">
        <v>7</v>
      </c>
      <c r="C1089" s="18">
        <f>'Календарь'!A344</f>
        <v/>
      </c>
      <c r="D1089">
        <f>MONTH(C1089)</f>
        <v/>
      </c>
      <c r="E1089">
        <f>'Календарь'!D344</f>
        <v/>
      </c>
      <c r="F1089">
        <f>INT((C1089-Нед_Начало)/7)+1</f>
        <v/>
      </c>
      <c r="G1089">
        <f>IF(E1089=0,0,INDEX('Планы менеджеров'!$B$5:$M$16,B1089,D1089)/INDEX(Мес_Раб,D1089))</f>
        <v/>
      </c>
    </row>
    <row r="1090">
      <c r="A1090" t="inlineStr">
        <is>
          <t>Сидоров</t>
        </is>
      </c>
      <c r="B1090" t="n">
        <v>7</v>
      </c>
      <c r="C1090" s="18">
        <f>'Календарь'!A345</f>
        <v/>
      </c>
      <c r="D1090">
        <f>MONTH(C1090)</f>
        <v/>
      </c>
      <c r="E1090">
        <f>'Календарь'!D345</f>
        <v/>
      </c>
      <c r="F1090">
        <f>INT((C1090-Нед_Начало)/7)+1</f>
        <v/>
      </c>
      <c r="G1090">
        <f>IF(E1090=0,0,INDEX('Планы менеджеров'!$B$5:$M$16,B1090,D1090)/INDEX(Мес_Раб,D1090))</f>
        <v/>
      </c>
    </row>
    <row r="1091">
      <c r="A1091" t="inlineStr">
        <is>
          <t>Сидоров</t>
        </is>
      </c>
      <c r="B1091" t="n">
        <v>7</v>
      </c>
      <c r="C1091" s="18">
        <f>'Календарь'!A346</f>
        <v/>
      </c>
      <c r="D1091">
        <f>MONTH(C1091)</f>
        <v/>
      </c>
      <c r="E1091">
        <f>'Календарь'!D346</f>
        <v/>
      </c>
      <c r="F1091">
        <f>INT((C1091-Нед_Начало)/7)+1</f>
        <v/>
      </c>
      <c r="G1091">
        <f>IF(E1091=0,0,INDEX('Планы менеджеров'!$B$5:$M$16,B1091,D1091)/INDEX(Мес_Раб,D1091))</f>
        <v/>
      </c>
    </row>
    <row r="1092">
      <c r="A1092" t="inlineStr">
        <is>
          <t>Сидоров</t>
        </is>
      </c>
      <c r="B1092" t="n">
        <v>7</v>
      </c>
      <c r="C1092" s="18">
        <f>'Календарь'!A347</f>
        <v/>
      </c>
      <c r="D1092">
        <f>MONTH(C1092)</f>
        <v/>
      </c>
      <c r="E1092">
        <f>'Календарь'!D347</f>
        <v/>
      </c>
      <c r="F1092">
        <f>INT((C1092-Нед_Начало)/7)+1</f>
        <v/>
      </c>
      <c r="G1092">
        <f>IF(E1092=0,0,INDEX('Планы менеджеров'!$B$5:$M$16,B1092,D1092)/INDEX(Мес_Раб,D1092))</f>
        <v/>
      </c>
    </row>
    <row r="1093">
      <c r="A1093" t="inlineStr">
        <is>
          <t>Сидоров</t>
        </is>
      </c>
      <c r="B1093" t="n">
        <v>7</v>
      </c>
      <c r="C1093" s="18">
        <f>'Календарь'!A348</f>
        <v/>
      </c>
      <c r="D1093">
        <f>MONTH(C1093)</f>
        <v/>
      </c>
      <c r="E1093">
        <f>'Календарь'!D348</f>
        <v/>
      </c>
      <c r="F1093">
        <f>INT((C1093-Нед_Начало)/7)+1</f>
        <v/>
      </c>
      <c r="G1093">
        <f>IF(E1093=0,0,INDEX('Планы менеджеров'!$B$5:$M$16,B1093,D1093)/INDEX(Мес_Раб,D1093))</f>
        <v/>
      </c>
    </row>
    <row r="1094">
      <c r="A1094" t="inlineStr">
        <is>
          <t>Сидоров</t>
        </is>
      </c>
      <c r="B1094" t="n">
        <v>7</v>
      </c>
      <c r="C1094" s="18">
        <f>'Календарь'!A349</f>
        <v/>
      </c>
      <c r="D1094">
        <f>MONTH(C1094)</f>
        <v/>
      </c>
      <c r="E1094">
        <f>'Календарь'!D349</f>
        <v/>
      </c>
      <c r="F1094">
        <f>INT((C1094-Нед_Начало)/7)+1</f>
        <v/>
      </c>
      <c r="G1094">
        <f>IF(E1094=0,0,INDEX('Планы менеджеров'!$B$5:$M$16,B1094,D1094)/INDEX(Мес_Раб,D1094))</f>
        <v/>
      </c>
    </row>
    <row r="1095">
      <c r="A1095" t="inlineStr">
        <is>
          <t>Сидоров</t>
        </is>
      </c>
      <c r="B1095" t="n">
        <v>7</v>
      </c>
      <c r="C1095" s="18">
        <f>'Календарь'!A350</f>
        <v/>
      </c>
      <c r="D1095">
        <f>MONTH(C1095)</f>
        <v/>
      </c>
      <c r="E1095">
        <f>'Календарь'!D350</f>
        <v/>
      </c>
      <c r="F1095">
        <f>INT((C1095-Нед_Начало)/7)+1</f>
        <v/>
      </c>
      <c r="G1095">
        <f>IF(E1095=0,0,INDEX('Планы менеджеров'!$B$5:$M$16,B1095,D1095)/INDEX(Мес_Раб,D1095))</f>
        <v/>
      </c>
    </row>
    <row r="1096">
      <c r="A1096" t="inlineStr">
        <is>
          <t>Сидоров</t>
        </is>
      </c>
      <c r="B1096" t="n">
        <v>7</v>
      </c>
      <c r="C1096" s="18">
        <f>'Календарь'!A351</f>
        <v/>
      </c>
      <c r="D1096">
        <f>MONTH(C1096)</f>
        <v/>
      </c>
      <c r="E1096">
        <f>'Календарь'!D351</f>
        <v/>
      </c>
      <c r="F1096">
        <f>INT((C1096-Нед_Начало)/7)+1</f>
        <v/>
      </c>
      <c r="G1096">
        <f>IF(E1096=0,0,INDEX('Планы менеджеров'!$B$5:$M$16,B1096,D1096)/INDEX(Мес_Раб,D1096))</f>
        <v/>
      </c>
    </row>
    <row r="1097">
      <c r="A1097" t="inlineStr">
        <is>
          <t>Сидоров</t>
        </is>
      </c>
      <c r="B1097" t="n">
        <v>7</v>
      </c>
      <c r="C1097" s="18">
        <f>'Календарь'!A352</f>
        <v/>
      </c>
      <c r="D1097">
        <f>MONTH(C1097)</f>
        <v/>
      </c>
      <c r="E1097">
        <f>'Календарь'!D352</f>
        <v/>
      </c>
      <c r="F1097">
        <f>INT((C1097-Нед_Начало)/7)+1</f>
        <v/>
      </c>
      <c r="G1097">
        <f>IF(E1097=0,0,INDEX('Планы менеджеров'!$B$5:$M$16,B1097,D1097)/INDEX(Мес_Раб,D1097))</f>
        <v/>
      </c>
    </row>
    <row r="1098">
      <c r="A1098" t="inlineStr">
        <is>
          <t>Сидоров</t>
        </is>
      </c>
      <c r="B1098" t="n">
        <v>7</v>
      </c>
      <c r="C1098" s="18">
        <f>'Календарь'!A353</f>
        <v/>
      </c>
      <c r="D1098">
        <f>MONTH(C1098)</f>
        <v/>
      </c>
      <c r="E1098">
        <f>'Календарь'!D353</f>
        <v/>
      </c>
      <c r="F1098">
        <f>INT((C1098-Нед_Начало)/7)+1</f>
        <v/>
      </c>
      <c r="G1098">
        <f>IF(E1098=0,0,INDEX('Планы менеджеров'!$B$5:$M$16,B1098,D1098)/INDEX(Мес_Раб,D1098))</f>
        <v/>
      </c>
    </row>
    <row r="1099">
      <c r="A1099" t="inlineStr">
        <is>
          <t>Сидоров</t>
        </is>
      </c>
      <c r="B1099" t="n">
        <v>7</v>
      </c>
      <c r="C1099" s="18">
        <f>'Календарь'!A354</f>
        <v/>
      </c>
      <c r="D1099">
        <f>MONTH(C1099)</f>
        <v/>
      </c>
      <c r="E1099">
        <f>'Календарь'!D354</f>
        <v/>
      </c>
      <c r="F1099">
        <f>INT((C1099-Нед_Начало)/7)+1</f>
        <v/>
      </c>
      <c r="G1099">
        <f>IF(E1099=0,0,INDEX('Планы менеджеров'!$B$5:$M$16,B1099,D1099)/INDEX(Мес_Раб,D1099))</f>
        <v/>
      </c>
    </row>
    <row r="1100">
      <c r="A1100" t="inlineStr">
        <is>
          <t>Сидоров</t>
        </is>
      </c>
      <c r="B1100" t="n">
        <v>7</v>
      </c>
      <c r="C1100" s="18">
        <f>'Календарь'!A355</f>
        <v/>
      </c>
      <c r="D1100">
        <f>MONTH(C1100)</f>
        <v/>
      </c>
      <c r="E1100">
        <f>'Календарь'!D355</f>
        <v/>
      </c>
      <c r="F1100">
        <f>INT((C1100-Нед_Начало)/7)+1</f>
        <v/>
      </c>
      <c r="G1100">
        <f>IF(E1100=0,0,INDEX('Планы менеджеров'!$B$5:$M$16,B1100,D1100)/INDEX(Мес_Раб,D1100))</f>
        <v/>
      </c>
    </row>
    <row r="1101">
      <c r="A1101" t="inlineStr">
        <is>
          <t>Сидоров</t>
        </is>
      </c>
      <c r="B1101" t="n">
        <v>7</v>
      </c>
      <c r="C1101" s="18">
        <f>'Календарь'!A356</f>
        <v/>
      </c>
      <c r="D1101">
        <f>MONTH(C1101)</f>
        <v/>
      </c>
      <c r="E1101">
        <f>'Календарь'!D356</f>
        <v/>
      </c>
      <c r="F1101">
        <f>INT((C1101-Нед_Начало)/7)+1</f>
        <v/>
      </c>
      <c r="G1101">
        <f>IF(E1101=0,0,INDEX('Планы менеджеров'!$B$5:$M$16,B1101,D1101)/INDEX(Мес_Раб,D1101))</f>
        <v/>
      </c>
    </row>
    <row r="1102">
      <c r="A1102" t="inlineStr">
        <is>
          <t>Сидоров</t>
        </is>
      </c>
      <c r="B1102" t="n">
        <v>7</v>
      </c>
      <c r="C1102" s="18">
        <f>'Календарь'!A357</f>
        <v/>
      </c>
      <c r="D1102">
        <f>MONTH(C1102)</f>
        <v/>
      </c>
      <c r="E1102">
        <f>'Календарь'!D357</f>
        <v/>
      </c>
      <c r="F1102">
        <f>INT((C1102-Нед_Начало)/7)+1</f>
        <v/>
      </c>
      <c r="G1102">
        <f>IF(E1102=0,0,INDEX('Планы менеджеров'!$B$5:$M$16,B1102,D1102)/INDEX(Мес_Раб,D1102))</f>
        <v/>
      </c>
    </row>
    <row r="1103">
      <c r="A1103" t="inlineStr">
        <is>
          <t>Сидоров</t>
        </is>
      </c>
      <c r="B1103" t="n">
        <v>7</v>
      </c>
      <c r="C1103" s="18">
        <f>'Календарь'!A358</f>
        <v/>
      </c>
      <c r="D1103">
        <f>MONTH(C1103)</f>
        <v/>
      </c>
      <c r="E1103">
        <f>'Календарь'!D358</f>
        <v/>
      </c>
      <c r="F1103">
        <f>INT((C1103-Нед_Начало)/7)+1</f>
        <v/>
      </c>
      <c r="G1103">
        <f>IF(E1103=0,0,INDEX('Планы менеджеров'!$B$5:$M$16,B1103,D1103)/INDEX(Мес_Раб,D1103))</f>
        <v/>
      </c>
    </row>
    <row r="1104">
      <c r="A1104" t="inlineStr">
        <is>
          <t>Сидоров</t>
        </is>
      </c>
      <c r="B1104" t="n">
        <v>7</v>
      </c>
      <c r="C1104" s="18">
        <f>'Календарь'!A359</f>
        <v/>
      </c>
      <c r="D1104">
        <f>MONTH(C1104)</f>
        <v/>
      </c>
      <c r="E1104">
        <f>'Календарь'!D359</f>
        <v/>
      </c>
      <c r="F1104">
        <f>INT((C1104-Нед_Начало)/7)+1</f>
        <v/>
      </c>
      <c r="G1104">
        <f>IF(E1104=0,0,INDEX('Планы менеджеров'!$B$5:$M$16,B1104,D1104)/INDEX(Мес_Раб,D1104))</f>
        <v/>
      </c>
    </row>
    <row r="1105">
      <c r="A1105" t="inlineStr">
        <is>
          <t>Сидоров</t>
        </is>
      </c>
      <c r="B1105" t="n">
        <v>7</v>
      </c>
      <c r="C1105" s="18">
        <f>'Календарь'!A360</f>
        <v/>
      </c>
      <c r="D1105">
        <f>MONTH(C1105)</f>
        <v/>
      </c>
      <c r="E1105">
        <f>'Календарь'!D360</f>
        <v/>
      </c>
      <c r="F1105">
        <f>INT((C1105-Нед_Начало)/7)+1</f>
        <v/>
      </c>
      <c r="G1105">
        <f>IF(E1105=0,0,INDEX('Планы менеджеров'!$B$5:$M$16,B1105,D1105)/INDEX(Мес_Раб,D1105))</f>
        <v/>
      </c>
    </row>
    <row r="1106">
      <c r="A1106" t="inlineStr">
        <is>
          <t>Сидоров</t>
        </is>
      </c>
      <c r="B1106" t="n">
        <v>7</v>
      </c>
      <c r="C1106" s="18">
        <f>'Календарь'!A361</f>
        <v/>
      </c>
      <c r="D1106">
        <f>MONTH(C1106)</f>
        <v/>
      </c>
      <c r="E1106">
        <f>'Календарь'!D361</f>
        <v/>
      </c>
      <c r="F1106">
        <f>INT((C1106-Нед_Начало)/7)+1</f>
        <v/>
      </c>
      <c r="G1106">
        <f>IF(E1106=0,0,INDEX('Планы менеджеров'!$B$5:$M$16,B1106,D1106)/INDEX(Мес_Раб,D1106))</f>
        <v/>
      </c>
    </row>
    <row r="1107">
      <c r="A1107" t="inlineStr">
        <is>
          <t>Сидоров</t>
        </is>
      </c>
      <c r="B1107" t="n">
        <v>7</v>
      </c>
      <c r="C1107" s="18">
        <f>'Календарь'!A362</f>
        <v/>
      </c>
      <c r="D1107">
        <f>MONTH(C1107)</f>
        <v/>
      </c>
      <c r="E1107">
        <f>'Календарь'!D362</f>
        <v/>
      </c>
      <c r="F1107">
        <f>INT((C1107-Нед_Начало)/7)+1</f>
        <v/>
      </c>
      <c r="G1107">
        <f>IF(E1107=0,0,INDEX('Планы менеджеров'!$B$5:$M$16,B1107,D1107)/INDEX(Мес_Раб,D1107))</f>
        <v/>
      </c>
    </row>
    <row r="1108">
      <c r="A1108" t="inlineStr">
        <is>
          <t>Сидоров</t>
        </is>
      </c>
      <c r="B1108" t="n">
        <v>7</v>
      </c>
      <c r="C1108" s="18">
        <f>'Календарь'!A363</f>
        <v/>
      </c>
      <c r="D1108">
        <f>MONTH(C1108)</f>
        <v/>
      </c>
      <c r="E1108">
        <f>'Календарь'!D363</f>
        <v/>
      </c>
      <c r="F1108">
        <f>INT((C1108-Нед_Начало)/7)+1</f>
        <v/>
      </c>
      <c r="G1108">
        <f>IF(E1108=0,0,INDEX('Планы менеджеров'!$B$5:$M$16,B1108,D1108)/INDEX(Мес_Раб,D1108))</f>
        <v/>
      </c>
    </row>
    <row r="1109">
      <c r="A1109" t="inlineStr">
        <is>
          <t>Сидоров</t>
        </is>
      </c>
      <c r="B1109" t="n">
        <v>7</v>
      </c>
      <c r="C1109" s="18">
        <f>'Календарь'!A364</f>
        <v/>
      </c>
      <c r="D1109">
        <f>MONTH(C1109)</f>
        <v/>
      </c>
      <c r="E1109">
        <f>'Календарь'!D364</f>
        <v/>
      </c>
      <c r="F1109">
        <f>INT((C1109-Нед_Начало)/7)+1</f>
        <v/>
      </c>
      <c r="G1109">
        <f>IF(E1109=0,0,INDEX('Планы менеджеров'!$B$5:$M$16,B1109,D1109)/INDEX(Мес_Раб,D1109))</f>
        <v/>
      </c>
    </row>
    <row r="1110">
      <c r="A1110" t="inlineStr">
        <is>
          <t>Сидоров</t>
        </is>
      </c>
      <c r="B1110" t="n">
        <v>7</v>
      </c>
      <c r="C1110" s="18">
        <f>'Календарь'!A365</f>
        <v/>
      </c>
      <c r="D1110">
        <f>MONTH(C1110)</f>
        <v/>
      </c>
      <c r="E1110">
        <f>'Календарь'!D365</f>
        <v/>
      </c>
      <c r="F1110">
        <f>INT((C1110-Нед_Начало)/7)+1</f>
        <v/>
      </c>
      <c r="G1110">
        <f>IF(E1110=0,0,INDEX('Планы менеджеров'!$B$5:$M$16,B1110,D1110)/INDEX(Мес_Раб,D1110))</f>
        <v/>
      </c>
    </row>
    <row r="1111">
      <c r="A1111" t="inlineStr">
        <is>
          <t>Сидоров</t>
        </is>
      </c>
      <c r="B1111" t="n">
        <v>7</v>
      </c>
      <c r="C1111" s="18">
        <f>'Календарь'!A366</f>
        <v/>
      </c>
      <c r="D1111">
        <f>MONTH(C1111)</f>
        <v/>
      </c>
      <c r="E1111">
        <f>'Календарь'!D366</f>
        <v/>
      </c>
      <c r="F1111">
        <f>INT((C1111-Нед_Начало)/7)+1</f>
        <v/>
      </c>
      <c r="G1111">
        <f>IF(E1111=0,0,INDEX('Планы менеджеров'!$B$5:$M$16,B1111,D1111)/INDEX(Мес_Раб,D1111))</f>
        <v/>
      </c>
    </row>
    <row r="1112">
      <c r="A1112" t="inlineStr">
        <is>
          <t>Сидоров</t>
        </is>
      </c>
      <c r="B1112" t="n">
        <v>7</v>
      </c>
      <c r="C1112" s="18">
        <f>'Календарь'!A367</f>
        <v/>
      </c>
      <c r="D1112">
        <f>MONTH(C1112)</f>
        <v/>
      </c>
      <c r="E1112">
        <f>'Календарь'!D367</f>
        <v/>
      </c>
      <c r="F1112">
        <f>INT((C1112-Нед_Начало)/7)+1</f>
        <v/>
      </c>
      <c r="G1112">
        <f>IF(E1112=0,0,INDEX('Планы менеджеров'!$B$5:$M$16,B1112,D1112)/INDEX(Мес_Раб,D1112))</f>
        <v/>
      </c>
    </row>
    <row r="1113">
      <c r="A1113" t="inlineStr">
        <is>
          <t>Сидоров</t>
        </is>
      </c>
      <c r="B1113" t="n">
        <v>7</v>
      </c>
      <c r="C1113" s="18">
        <f>'Календарь'!A368</f>
        <v/>
      </c>
      <c r="D1113">
        <f>MONTH(C1113)</f>
        <v/>
      </c>
      <c r="E1113">
        <f>'Календарь'!D368</f>
        <v/>
      </c>
      <c r="F1113">
        <f>INT((C1113-Нед_Начало)/7)+1</f>
        <v/>
      </c>
      <c r="G1113">
        <f>IF(E1113=0,0,INDEX('Планы менеджеров'!$B$5:$M$16,B1113,D1113)/INDEX(Мес_Раб,D1113))</f>
        <v/>
      </c>
    </row>
    <row r="1114">
      <c r="A1114" t="inlineStr">
        <is>
          <t>Сидоров</t>
        </is>
      </c>
      <c r="B1114" t="n">
        <v>7</v>
      </c>
      <c r="C1114" s="18">
        <f>'Календарь'!A369</f>
        <v/>
      </c>
      <c r="D1114">
        <f>MONTH(C1114)</f>
        <v/>
      </c>
      <c r="E1114">
        <f>'Календарь'!D369</f>
        <v/>
      </c>
      <c r="F1114">
        <f>INT((C1114-Нед_Начало)/7)+1</f>
        <v/>
      </c>
      <c r="G1114">
        <f>IF(E1114=0,0,INDEX('Планы менеджеров'!$B$5:$M$16,B1114,D1114)/INDEX(Мес_Раб,D1114))</f>
        <v/>
      </c>
    </row>
    <row r="1115">
      <c r="A1115" t="inlineStr">
        <is>
          <t>Сидоров</t>
        </is>
      </c>
      <c r="B1115" t="n">
        <v>7</v>
      </c>
      <c r="C1115" s="18">
        <f>'Календарь'!A370</f>
        <v/>
      </c>
      <c r="D1115">
        <f>MONTH(C1115)</f>
        <v/>
      </c>
      <c r="E1115">
        <f>'Календарь'!D370</f>
        <v/>
      </c>
      <c r="F1115">
        <f>INT((C1115-Нед_Начало)/7)+1</f>
        <v/>
      </c>
      <c r="G1115">
        <f>IF(E1115=0,0,INDEX('Планы менеджеров'!$B$5:$M$16,B1115,D1115)/INDEX(Мес_Раб,D1115))</f>
        <v/>
      </c>
    </row>
    <row r="1116">
      <c r="A1116" t="inlineStr">
        <is>
          <t>Сидоров</t>
        </is>
      </c>
      <c r="B1116" t="n">
        <v>7</v>
      </c>
      <c r="C1116" s="18">
        <f>'Календарь'!A371</f>
        <v/>
      </c>
      <c r="D1116">
        <f>MONTH(C1116)</f>
        <v/>
      </c>
      <c r="E1116">
        <f>'Календарь'!D371</f>
        <v/>
      </c>
      <c r="F1116">
        <f>INT((C1116-Нед_Начало)/7)+1</f>
        <v/>
      </c>
      <c r="G1116">
        <f>IF(E1116=0,0,INDEX('Планы менеджеров'!$B$5:$M$16,B1116,D1116)/INDEX(Мес_Раб,D1116))</f>
        <v/>
      </c>
    </row>
    <row r="1117">
      <c r="A1117" t="inlineStr">
        <is>
          <t>Сидоров</t>
        </is>
      </c>
      <c r="B1117" t="n">
        <v>7</v>
      </c>
      <c r="C1117" s="18">
        <f>'Календарь'!A372</f>
        <v/>
      </c>
      <c r="D1117">
        <f>MONTH(C1117)</f>
        <v/>
      </c>
      <c r="E1117">
        <f>'Календарь'!D372</f>
        <v/>
      </c>
      <c r="F1117">
        <f>INT((C1117-Нед_Начало)/7)+1</f>
        <v/>
      </c>
      <c r="G1117">
        <f>IF(E1117=0,0,INDEX('Планы менеджеров'!$B$5:$M$16,B1117,D1117)/INDEX(Мес_Раб,D1117))</f>
        <v/>
      </c>
    </row>
    <row r="1118">
      <c r="A1118" t="inlineStr">
        <is>
          <t>Козлова</t>
        </is>
      </c>
      <c r="B1118" t="n">
        <v>8</v>
      </c>
      <c r="C1118" s="18">
        <f>'Календарь'!A2</f>
        <v/>
      </c>
      <c r="D1118">
        <f>MONTH(C1118)</f>
        <v/>
      </c>
      <c r="E1118">
        <f>'Календарь'!D2</f>
        <v/>
      </c>
      <c r="F1118">
        <f>INT((C1118-Нед_Начало)/7)+1</f>
        <v/>
      </c>
      <c r="G1118">
        <f>IF(E1118=0,0,INDEX('Планы менеджеров'!$B$5:$M$16,B1118,D1118)/INDEX(Мес_Раб,D1118))</f>
        <v/>
      </c>
    </row>
    <row r="1119">
      <c r="A1119" t="inlineStr">
        <is>
          <t>Козлова</t>
        </is>
      </c>
      <c r="B1119" t="n">
        <v>8</v>
      </c>
      <c r="C1119" s="18">
        <f>'Календарь'!A3</f>
        <v/>
      </c>
      <c r="D1119">
        <f>MONTH(C1119)</f>
        <v/>
      </c>
      <c r="E1119">
        <f>'Календарь'!D3</f>
        <v/>
      </c>
      <c r="F1119">
        <f>INT((C1119-Нед_Начало)/7)+1</f>
        <v/>
      </c>
      <c r="G1119">
        <f>IF(E1119=0,0,INDEX('Планы менеджеров'!$B$5:$M$16,B1119,D1119)/INDEX(Мес_Раб,D1119))</f>
        <v/>
      </c>
    </row>
    <row r="1120">
      <c r="A1120" t="inlineStr">
        <is>
          <t>Козлова</t>
        </is>
      </c>
      <c r="B1120" t="n">
        <v>8</v>
      </c>
      <c r="C1120" s="18">
        <f>'Календарь'!A4</f>
        <v/>
      </c>
      <c r="D1120">
        <f>MONTH(C1120)</f>
        <v/>
      </c>
      <c r="E1120">
        <f>'Календарь'!D4</f>
        <v/>
      </c>
      <c r="F1120">
        <f>INT((C1120-Нед_Начало)/7)+1</f>
        <v/>
      </c>
      <c r="G1120">
        <f>IF(E1120=0,0,INDEX('Планы менеджеров'!$B$5:$M$16,B1120,D1120)/INDEX(Мес_Раб,D1120))</f>
        <v/>
      </c>
    </row>
    <row r="1121">
      <c r="A1121" t="inlineStr">
        <is>
          <t>Козлова</t>
        </is>
      </c>
      <c r="B1121" t="n">
        <v>8</v>
      </c>
      <c r="C1121" s="18">
        <f>'Календарь'!A5</f>
        <v/>
      </c>
      <c r="D1121">
        <f>MONTH(C1121)</f>
        <v/>
      </c>
      <c r="E1121">
        <f>'Календарь'!D5</f>
        <v/>
      </c>
      <c r="F1121">
        <f>INT((C1121-Нед_Начало)/7)+1</f>
        <v/>
      </c>
      <c r="G1121">
        <f>IF(E1121=0,0,INDEX('Планы менеджеров'!$B$5:$M$16,B1121,D1121)/INDEX(Мес_Раб,D1121))</f>
        <v/>
      </c>
    </row>
    <row r="1122">
      <c r="A1122" t="inlineStr">
        <is>
          <t>Козлова</t>
        </is>
      </c>
      <c r="B1122" t="n">
        <v>8</v>
      </c>
      <c r="C1122" s="18">
        <f>'Календарь'!A6</f>
        <v/>
      </c>
      <c r="D1122">
        <f>MONTH(C1122)</f>
        <v/>
      </c>
      <c r="E1122">
        <f>'Календарь'!D6</f>
        <v/>
      </c>
      <c r="F1122">
        <f>INT((C1122-Нед_Начало)/7)+1</f>
        <v/>
      </c>
      <c r="G1122">
        <f>IF(E1122=0,0,INDEX('Планы менеджеров'!$B$5:$M$16,B1122,D1122)/INDEX(Мес_Раб,D1122))</f>
        <v/>
      </c>
    </row>
    <row r="1123">
      <c r="A1123" t="inlineStr">
        <is>
          <t>Козлова</t>
        </is>
      </c>
      <c r="B1123" t="n">
        <v>8</v>
      </c>
      <c r="C1123" s="18">
        <f>'Календарь'!A7</f>
        <v/>
      </c>
      <c r="D1123">
        <f>MONTH(C1123)</f>
        <v/>
      </c>
      <c r="E1123">
        <f>'Календарь'!D7</f>
        <v/>
      </c>
      <c r="F1123">
        <f>INT((C1123-Нед_Начало)/7)+1</f>
        <v/>
      </c>
      <c r="G1123">
        <f>IF(E1123=0,0,INDEX('Планы менеджеров'!$B$5:$M$16,B1123,D1123)/INDEX(Мес_Раб,D1123))</f>
        <v/>
      </c>
    </row>
    <row r="1124">
      <c r="A1124" t="inlineStr">
        <is>
          <t>Козлова</t>
        </is>
      </c>
      <c r="B1124" t="n">
        <v>8</v>
      </c>
      <c r="C1124" s="18">
        <f>'Календарь'!A8</f>
        <v/>
      </c>
      <c r="D1124">
        <f>MONTH(C1124)</f>
        <v/>
      </c>
      <c r="E1124">
        <f>'Календарь'!D8</f>
        <v/>
      </c>
      <c r="F1124">
        <f>INT((C1124-Нед_Начало)/7)+1</f>
        <v/>
      </c>
      <c r="G1124">
        <f>IF(E1124=0,0,INDEX('Планы менеджеров'!$B$5:$M$16,B1124,D1124)/INDEX(Мес_Раб,D1124))</f>
        <v/>
      </c>
    </row>
    <row r="1125">
      <c r="A1125" t="inlineStr">
        <is>
          <t>Козлова</t>
        </is>
      </c>
      <c r="B1125" t="n">
        <v>8</v>
      </c>
      <c r="C1125" s="18">
        <f>'Календарь'!A9</f>
        <v/>
      </c>
      <c r="D1125">
        <f>MONTH(C1125)</f>
        <v/>
      </c>
      <c r="E1125">
        <f>'Календарь'!D9</f>
        <v/>
      </c>
      <c r="F1125">
        <f>INT((C1125-Нед_Начало)/7)+1</f>
        <v/>
      </c>
      <c r="G1125">
        <f>IF(E1125=0,0,INDEX('Планы менеджеров'!$B$5:$M$16,B1125,D1125)/INDEX(Мес_Раб,D1125))</f>
        <v/>
      </c>
    </row>
    <row r="1126">
      <c r="A1126" t="inlineStr">
        <is>
          <t>Козлова</t>
        </is>
      </c>
      <c r="B1126" t="n">
        <v>8</v>
      </c>
      <c r="C1126" s="18">
        <f>'Календарь'!A10</f>
        <v/>
      </c>
      <c r="D1126">
        <f>MONTH(C1126)</f>
        <v/>
      </c>
      <c r="E1126">
        <f>'Календарь'!D10</f>
        <v/>
      </c>
      <c r="F1126">
        <f>INT((C1126-Нед_Начало)/7)+1</f>
        <v/>
      </c>
      <c r="G1126">
        <f>IF(E1126=0,0,INDEX('Планы менеджеров'!$B$5:$M$16,B1126,D1126)/INDEX(Мес_Раб,D1126))</f>
        <v/>
      </c>
    </row>
    <row r="1127">
      <c r="A1127" t="inlineStr">
        <is>
          <t>Козлова</t>
        </is>
      </c>
      <c r="B1127" t="n">
        <v>8</v>
      </c>
      <c r="C1127" s="18">
        <f>'Календарь'!A11</f>
        <v/>
      </c>
      <c r="D1127">
        <f>MONTH(C1127)</f>
        <v/>
      </c>
      <c r="E1127">
        <f>'Календарь'!D11</f>
        <v/>
      </c>
      <c r="F1127">
        <f>INT((C1127-Нед_Начало)/7)+1</f>
        <v/>
      </c>
      <c r="G1127">
        <f>IF(E1127=0,0,INDEX('Планы менеджеров'!$B$5:$M$16,B1127,D1127)/INDEX(Мес_Раб,D1127))</f>
        <v/>
      </c>
    </row>
    <row r="1128">
      <c r="A1128" t="inlineStr">
        <is>
          <t>Козлова</t>
        </is>
      </c>
      <c r="B1128" t="n">
        <v>8</v>
      </c>
      <c r="C1128" s="18">
        <f>'Календарь'!A12</f>
        <v/>
      </c>
      <c r="D1128">
        <f>MONTH(C1128)</f>
        <v/>
      </c>
      <c r="E1128">
        <f>'Календарь'!D12</f>
        <v/>
      </c>
      <c r="F1128">
        <f>INT((C1128-Нед_Начало)/7)+1</f>
        <v/>
      </c>
      <c r="G1128">
        <f>IF(E1128=0,0,INDEX('Планы менеджеров'!$B$5:$M$16,B1128,D1128)/INDEX(Мес_Раб,D1128))</f>
        <v/>
      </c>
    </row>
    <row r="1129">
      <c r="A1129" t="inlineStr">
        <is>
          <t>Козлова</t>
        </is>
      </c>
      <c r="B1129" t="n">
        <v>8</v>
      </c>
      <c r="C1129" s="18">
        <f>'Календарь'!A13</f>
        <v/>
      </c>
      <c r="D1129">
        <f>MONTH(C1129)</f>
        <v/>
      </c>
      <c r="E1129">
        <f>'Календарь'!D13</f>
        <v/>
      </c>
      <c r="F1129">
        <f>INT((C1129-Нед_Начало)/7)+1</f>
        <v/>
      </c>
      <c r="G1129">
        <f>IF(E1129=0,0,INDEX('Планы менеджеров'!$B$5:$M$16,B1129,D1129)/INDEX(Мес_Раб,D1129))</f>
        <v/>
      </c>
    </row>
    <row r="1130">
      <c r="A1130" t="inlineStr">
        <is>
          <t>Козлова</t>
        </is>
      </c>
      <c r="B1130" t="n">
        <v>8</v>
      </c>
      <c r="C1130" s="18">
        <f>'Календарь'!A14</f>
        <v/>
      </c>
      <c r="D1130">
        <f>MONTH(C1130)</f>
        <v/>
      </c>
      <c r="E1130">
        <f>'Календарь'!D14</f>
        <v/>
      </c>
      <c r="F1130">
        <f>INT((C1130-Нед_Начало)/7)+1</f>
        <v/>
      </c>
      <c r="G1130">
        <f>IF(E1130=0,0,INDEX('Планы менеджеров'!$B$5:$M$16,B1130,D1130)/INDEX(Мес_Раб,D1130))</f>
        <v/>
      </c>
    </row>
    <row r="1131">
      <c r="A1131" t="inlineStr">
        <is>
          <t>Козлова</t>
        </is>
      </c>
      <c r="B1131" t="n">
        <v>8</v>
      </c>
      <c r="C1131" s="18">
        <f>'Календарь'!A15</f>
        <v/>
      </c>
      <c r="D1131">
        <f>MONTH(C1131)</f>
        <v/>
      </c>
      <c r="E1131">
        <f>'Календарь'!D15</f>
        <v/>
      </c>
      <c r="F1131">
        <f>INT((C1131-Нед_Начало)/7)+1</f>
        <v/>
      </c>
      <c r="G1131">
        <f>IF(E1131=0,0,INDEX('Планы менеджеров'!$B$5:$M$16,B1131,D1131)/INDEX(Мес_Раб,D1131))</f>
        <v/>
      </c>
    </row>
    <row r="1132">
      <c r="A1132" t="inlineStr">
        <is>
          <t>Козлова</t>
        </is>
      </c>
      <c r="B1132" t="n">
        <v>8</v>
      </c>
      <c r="C1132" s="18">
        <f>'Календарь'!A16</f>
        <v/>
      </c>
      <c r="D1132">
        <f>MONTH(C1132)</f>
        <v/>
      </c>
      <c r="E1132">
        <f>'Календарь'!D16</f>
        <v/>
      </c>
      <c r="F1132">
        <f>INT((C1132-Нед_Начало)/7)+1</f>
        <v/>
      </c>
      <c r="G1132">
        <f>IF(E1132=0,0,INDEX('Планы менеджеров'!$B$5:$M$16,B1132,D1132)/INDEX(Мес_Раб,D1132))</f>
        <v/>
      </c>
    </row>
    <row r="1133">
      <c r="A1133" t="inlineStr">
        <is>
          <t>Козлова</t>
        </is>
      </c>
      <c r="B1133" t="n">
        <v>8</v>
      </c>
      <c r="C1133" s="18">
        <f>'Календарь'!A17</f>
        <v/>
      </c>
      <c r="D1133">
        <f>MONTH(C1133)</f>
        <v/>
      </c>
      <c r="E1133">
        <f>'Календарь'!D17</f>
        <v/>
      </c>
      <c r="F1133">
        <f>INT((C1133-Нед_Начало)/7)+1</f>
        <v/>
      </c>
      <c r="G1133">
        <f>IF(E1133=0,0,INDEX('Планы менеджеров'!$B$5:$M$16,B1133,D1133)/INDEX(Мес_Раб,D1133))</f>
        <v/>
      </c>
    </row>
    <row r="1134">
      <c r="A1134" t="inlineStr">
        <is>
          <t>Козлова</t>
        </is>
      </c>
      <c r="B1134" t="n">
        <v>8</v>
      </c>
      <c r="C1134" s="18">
        <f>'Календарь'!A18</f>
        <v/>
      </c>
      <c r="D1134">
        <f>MONTH(C1134)</f>
        <v/>
      </c>
      <c r="E1134">
        <f>'Календарь'!D18</f>
        <v/>
      </c>
      <c r="F1134">
        <f>INT((C1134-Нед_Начало)/7)+1</f>
        <v/>
      </c>
      <c r="G1134">
        <f>IF(E1134=0,0,INDEX('Планы менеджеров'!$B$5:$M$16,B1134,D1134)/INDEX(Мес_Раб,D1134))</f>
        <v/>
      </c>
    </row>
    <row r="1135">
      <c r="A1135" t="inlineStr">
        <is>
          <t>Козлова</t>
        </is>
      </c>
      <c r="B1135" t="n">
        <v>8</v>
      </c>
      <c r="C1135" s="18">
        <f>'Календарь'!A19</f>
        <v/>
      </c>
      <c r="D1135">
        <f>MONTH(C1135)</f>
        <v/>
      </c>
      <c r="E1135">
        <f>'Календарь'!D19</f>
        <v/>
      </c>
      <c r="F1135">
        <f>INT((C1135-Нед_Начало)/7)+1</f>
        <v/>
      </c>
      <c r="G1135">
        <f>IF(E1135=0,0,INDEX('Планы менеджеров'!$B$5:$M$16,B1135,D1135)/INDEX(Мес_Раб,D1135))</f>
        <v/>
      </c>
    </row>
    <row r="1136">
      <c r="A1136" t="inlineStr">
        <is>
          <t>Козлова</t>
        </is>
      </c>
      <c r="B1136" t="n">
        <v>8</v>
      </c>
      <c r="C1136" s="18">
        <f>'Календарь'!A20</f>
        <v/>
      </c>
      <c r="D1136">
        <f>MONTH(C1136)</f>
        <v/>
      </c>
      <c r="E1136">
        <f>'Календарь'!D20</f>
        <v/>
      </c>
      <c r="F1136">
        <f>INT((C1136-Нед_Начало)/7)+1</f>
        <v/>
      </c>
      <c r="G1136">
        <f>IF(E1136=0,0,INDEX('Планы менеджеров'!$B$5:$M$16,B1136,D1136)/INDEX(Мес_Раб,D1136))</f>
        <v/>
      </c>
    </row>
    <row r="1137">
      <c r="A1137" t="inlineStr">
        <is>
          <t>Козлова</t>
        </is>
      </c>
      <c r="B1137" t="n">
        <v>8</v>
      </c>
      <c r="C1137" s="18">
        <f>'Календарь'!A21</f>
        <v/>
      </c>
      <c r="D1137">
        <f>MONTH(C1137)</f>
        <v/>
      </c>
      <c r="E1137">
        <f>'Календарь'!D21</f>
        <v/>
      </c>
      <c r="F1137">
        <f>INT((C1137-Нед_Начало)/7)+1</f>
        <v/>
      </c>
      <c r="G1137">
        <f>IF(E1137=0,0,INDEX('Планы менеджеров'!$B$5:$M$16,B1137,D1137)/INDEX(Мес_Раб,D1137))</f>
        <v/>
      </c>
    </row>
    <row r="1138">
      <c r="A1138" t="inlineStr">
        <is>
          <t>Козлова</t>
        </is>
      </c>
      <c r="B1138" t="n">
        <v>8</v>
      </c>
      <c r="C1138" s="18">
        <f>'Календарь'!A22</f>
        <v/>
      </c>
      <c r="D1138">
        <f>MONTH(C1138)</f>
        <v/>
      </c>
      <c r="E1138">
        <f>'Календарь'!D22</f>
        <v/>
      </c>
      <c r="F1138">
        <f>INT((C1138-Нед_Начало)/7)+1</f>
        <v/>
      </c>
      <c r="G1138">
        <f>IF(E1138=0,0,INDEX('Планы менеджеров'!$B$5:$M$16,B1138,D1138)/INDEX(Мес_Раб,D1138))</f>
        <v/>
      </c>
    </row>
    <row r="1139">
      <c r="A1139" t="inlineStr">
        <is>
          <t>Козлова</t>
        </is>
      </c>
      <c r="B1139" t="n">
        <v>8</v>
      </c>
      <c r="C1139" s="18">
        <f>'Календарь'!A23</f>
        <v/>
      </c>
      <c r="D1139">
        <f>MONTH(C1139)</f>
        <v/>
      </c>
      <c r="E1139">
        <f>'Календарь'!D23</f>
        <v/>
      </c>
      <c r="F1139">
        <f>INT((C1139-Нед_Начало)/7)+1</f>
        <v/>
      </c>
      <c r="G1139">
        <f>IF(E1139=0,0,INDEX('Планы менеджеров'!$B$5:$M$16,B1139,D1139)/INDEX(Мес_Раб,D1139))</f>
        <v/>
      </c>
    </row>
    <row r="1140">
      <c r="A1140" t="inlineStr">
        <is>
          <t>Козлова</t>
        </is>
      </c>
      <c r="B1140" t="n">
        <v>8</v>
      </c>
      <c r="C1140" s="18">
        <f>'Календарь'!A24</f>
        <v/>
      </c>
      <c r="D1140">
        <f>MONTH(C1140)</f>
        <v/>
      </c>
      <c r="E1140">
        <f>'Календарь'!D24</f>
        <v/>
      </c>
      <c r="F1140">
        <f>INT((C1140-Нед_Начало)/7)+1</f>
        <v/>
      </c>
      <c r="G1140">
        <f>IF(E1140=0,0,INDEX('Планы менеджеров'!$B$5:$M$16,B1140,D1140)/INDEX(Мес_Раб,D1140))</f>
        <v/>
      </c>
    </row>
    <row r="1141">
      <c r="A1141" t="inlineStr">
        <is>
          <t>Козлова</t>
        </is>
      </c>
      <c r="B1141" t="n">
        <v>8</v>
      </c>
      <c r="C1141" s="18">
        <f>'Календарь'!A25</f>
        <v/>
      </c>
      <c r="D1141">
        <f>MONTH(C1141)</f>
        <v/>
      </c>
      <c r="E1141">
        <f>'Календарь'!D25</f>
        <v/>
      </c>
      <c r="F1141">
        <f>INT((C1141-Нед_Начало)/7)+1</f>
        <v/>
      </c>
      <c r="G1141">
        <f>IF(E1141=0,0,INDEX('Планы менеджеров'!$B$5:$M$16,B1141,D1141)/INDEX(Мес_Раб,D1141))</f>
        <v/>
      </c>
    </row>
    <row r="1142">
      <c r="A1142" t="inlineStr">
        <is>
          <t>Козлова</t>
        </is>
      </c>
      <c r="B1142" t="n">
        <v>8</v>
      </c>
      <c r="C1142" s="18">
        <f>'Календарь'!A26</f>
        <v/>
      </c>
      <c r="D1142">
        <f>MONTH(C1142)</f>
        <v/>
      </c>
      <c r="E1142">
        <f>'Календарь'!D26</f>
        <v/>
      </c>
      <c r="F1142">
        <f>INT((C1142-Нед_Начало)/7)+1</f>
        <v/>
      </c>
      <c r="G1142">
        <f>IF(E1142=0,0,INDEX('Планы менеджеров'!$B$5:$M$16,B1142,D1142)/INDEX(Мес_Раб,D1142))</f>
        <v/>
      </c>
    </row>
    <row r="1143">
      <c r="A1143" t="inlineStr">
        <is>
          <t>Козлова</t>
        </is>
      </c>
      <c r="B1143" t="n">
        <v>8</v>
      </c>
      <c r="C1143" s="18">
        <f>'Календарь'!A27</f>
        <v/>
      </c>
      <c r="D1143">
        <f>MONTH(C1143)</f>
        <v/>
      </c>
      <c r="E1143">
        <f>'Календарь'!D27</f>
        <v/>
      </c>
      <c r="F1143">
        <f>INT((C1143-Нед_Начало)/7)+1</f>
        <v/>
      </c>
      <c r="G1143">
        <f>IF(E1143=0,0,INDEX('Планы менеджеров'!$B$5:$M$16,B1143,D1143)/INDEX(Мес_Раб,D1143))</f>
        <v/>
      </c>
    </row>
    <row r="1144">
      <c r="A1144" t="inlineStr">
        <is>
          <t>Козлова</t>
        </is>
      </c>
      <c r="B1144" t="n">
        <v>8</v>
      </c>
      <c r="C1144" s="18">
        <f>'Календарь'!A28</f>
        <v/>
      </c>
      <c r="D1144">
        <f>MONTH(C1144)</f>
        <v/>
      </c>
      <c r="E1144">
        <f>'Календарь'!D28</f>
        <v/>
      </c>
      <c r="F1144">
        <f>INT((C1144-Нед_Начало)/7)+1</f>
        <v/>
      </c>
      <c r="G1144">
        <f>IF(E1144=0,0,INDEX('Планы менеджеров'!$B$5:$M$16,B1144,D1144)/INDEX(Мес_Раб,D1144))</f>
        <v/>
      </c>
    </row>
    <row r="1145">
      <c r="A1145" t="inlineStr">
        <is>
          <t>Козлова</t>
        </is>
      </c>
      <c r="B1145" t="n">
        <v>8</v>
      </c>
      <c r="C1145" s="18">
        <f>'Календарь'!A29</f>
        <v/>
      </c>
      <c r="D1145">
        <f>MONTH(C1145)</f>
        <v/>
      </c>
      <c r="E1145">
        <f>'Календарь'!D29</f>
        <v/>
      </c>
      <c r="F1145">
        <f>INT((C1145-Нед_Начало)/7)+1</f>
        <v/>
      </c>
      <c r="G1145">
        <f>IF(E1145=0,0,INDEX('Планы менеджеров'!$B$5:$M$16,B1145,D1145)/INDEX(Мес_Раб,D1145))</f>
        <v/>
      </c>
    </row>
    <row r="1146">
      <c r="A1146" t="inlineStr">
        <is>
          <t>Козлова</t>
        </is>
      </c>
      <c r="B1146" t="n">
        <v>8</v>
      </c>
      <c r="C1146" s="18">
        <f>'Календарь'!A30</f>
        <v/>
      </c>
      <c r="D1146">
        <f>MONTH(C1146)</f>
        <v/>
      </c>
      <c r="E1146">
        <f>'Календарь'!D30</f>
        <v/>
      </c>
      <c r="F1146">
        <f>INT((C1146-Нед_Начало)/7)+1</f>
        <v/>
      </c>
      <c r="G1146">
        <f>IF(E1146=0,0,INDEX('Планы менеджеров'!$B$5:$M$16,B1146,D1146)/INDEX(Мес_Раб,D1146))</f>
        <v/>
      </c>
    </row>
    <row r="1147">
      <c r="A1147" t="inlineStr">
        <is>
          <t>Козлова</t>
        </is>
      </c>
      <c r="B1147" t="n">
        <v>8</v>
      </c>
      <c r="C1147" s="18">
        <f>'Календарь'!A31</f>
        <v/>
      </c>
      <c r="D1147">
        <f>MONTH(C1147)</f>
        <v/>
      </c>
      <c r="E1147">
        <f>'Календарь'!D31</f>
        <v/>
      </c>
      <c r="F1147">
        <f>INT((C1147-Нед_Начало)/7)+1</f>
        <v/>
      </c>
      <c r="G1147">
        <f>IF(E1147=0,0,INDEX('Планы менеджеров'!$B$5:$M$16,B1147,D1147)/INDEX(Мес_Раб,D1147))</f>
        <v/>
      </c>
    </row>
    <row r="1148">
      <c r="A1148" t="inlineStr">
        <is>
          <t>Козлова</t>
        </is>
      </c>
      <c r="B1148" t="n">
        <v>8</v>
      </c>
      <c r="C1148" s="18">
        <f>'Календарь'!A32</f>
        <v/>
      </c>
      <c r="D1148">
        <f>MONTH(C1148)</f>
        <v/>
      </c>
      <c r="E1148">
        <f>'Календарь'!D32</f>
        <v/>
      </c>
      <c r="F1148">
        <f>INT((C1148-Нед_Начало)/7)+1</f>
        <v/>
      </c>
      <c r="G1148">
        <f>IF(E1148=0,0,INDEX('Планы менеджеров'!$B$5:$M$16,B1148,D1148)/INDEX(Мес_Раб,D1148))</f>
        <v/>
      </c>
    </row>
    <row r="1149">
      <c r="A1149" t="inlineStr">
        <is>
          <t>Козлова</t>
        </is>
      </c>
      <c r="B1149" t="n">
        <v>8</v>
      </c>
      <c r="C1149" s="18">
        <f>'Календарь'!A33</f>
        <v/>
      </c>
      <c r="D1149">
        <f>MONTH(C1149)</f>
        <v/>
      </c>
      <c r="E1149">
        <f>'Календарь'!D33</f>
        <v/>
      </c>
      <c r="F1149">
        <f>INT((C1149-Нед_Начало)/7)+1</f>
        <v/>
      </c>
      <c r="G1149">
        <f>IF(E1149=0,0,INDEX('Планы менеджеров'!$B$5:$M$16,B1149,D1149)/INDEX(Мес_Раб,D1149))</f>
        <v/>
      </c>
    </row>
    <row r="1150">
      <c r="A1150" t="inlineStr">
        <is>
          <t>Козлова</t>
        </is>
      </c>
      <c r="B1150" t="n">
        <v>8</v>
      </c>
      <c r="C1150" s="18">
        <f>'Календарь'!A34</f>
        <v/>
      </c>
      <c r="D1150">
        <f>MONTH(C1150)</f>
        <v/>
      </c>
      <c r="E1150">
        <f>'Календарь'!D34</f>
        <v/>
      </c>
      <c r="F1150">
        <f>INT((C1150-Нед_Начало)/7)+1</f>
        <v/>
      </c>
      <c r="G1150">
        <f>IF(E1150=0,0,INDEX('Планы менеджеров'!$B$5:$M$16,B1150,D1150)/INDEX(Мес_Раб,D1150))</f>
        <v/>
      </c>
    </row>
    <row r="1151">
      <c r="A1151" t="inlineStr">
        <is>
          <t>Козлова</t>
        </is>
      </c>
      <c r="B1151" t="n">
        <v>8</v>
      </c>
      <c r="C1151" s="18">
        <f>'Календарь'!A35</f>
        <v/>
      </c>
      <c r="D1151">
        <f>MONTH(C1151)</f>
        <v/>
      </c>
      <c r="E1151">
        <f>'Календарь'!D35</f>
        <v/>
      </c>
      <c r="F1151">
        <f>INT((C1151-Нед_Начало)/7)+1</f>
        <v/>
      </c>
      <c r="G1151">
        <f>IF(E1151=0,0,INDEX('Планы менеджеров'!$B$5:$M$16,B1151,D1151)/INDEX(Мес_Раб,D1151))</f>
        <v/>
      </c>
    </row>
    <row r="1152">
      <c r="A1152" t="inlineStr">
        <is>
          <t>Козлова</t>
        </is>
      </c>
      <c r="B1152" t="n">
        <v>8</v>
      </c>
      <c r="C1152" s="18">
        <f>'Календарь'!A36</f>
        <v/>
      </c>
      <c r="D1152">
        <f>MONTH(C1152)</f>
        <v/>
      </c>
      <c r="E1152">
        <f>'Календарь'!D36</f>
        <v/>
      </c>
      <c r="F1152">
        <f>INT((C1152-Нед_Начало)/7)+1</f>
        <v/>
      </c>
      <c r="G1152">
        <f>IF(E1152=0,0,INDEX('Планы менеджеров'!$B$5:$M$16,B1152,D1152)/INDEX(Мес_Раб,D1152))</f>
        <v/>
      </c>
    </row>
    <row r="1153">
      <c r="A1153" t="inlineStr">
        <is>
          <t>Козлова</t>
        </is>
      </c>
      <c r="B1153" t="n">
        <v>8</v>
      </c>
      <c r="C1153" s="18">
        <f>'Календарь'!A37</f>
        <v/>
      </c>
      <c r="D1153">
        <f>MONTH(C1153)</f>
        <v/>
      </c>
      <c r="E1153">
        <f>'Календарь'!D37</f>
        <v/>
      </c>
      <c r="F1153">
        <f>INT((C1153-Нед_Начало)/7)+1</f>
        <v/>
      </c>
      <c r="G1153">
        <f>IF(E1153=0,0,INDEX('Планы менеджеров'!$B$5:$M$16,B1153,D1153)/INDEX(Мес_Раб,D1153))</f>
        <v/>
      </c>
    </row>
    <row r="1154">
      <c r="A1154" t="inlineStr">
        <is>
          <t>Козлова</t>
        </is>
      </c>
      <c r="B1154" t="n">
        <v>8</v>
      </c>
      <c r="C1154" s="18">
        <f>'Календарь'!A38</f>
        <v/>
      </c>
      <c r="D1154">
        <f>MONTH(C1154)</f>
        <v/>
      </c>
      <c r="E1154">
        <f>'Календарь'!D38</f>
        <v/>
      </c>
      <c r="F1154">
        <f>INT((C1154-Нед_Начало)/7)+1</f>
        <v/>
      </c>
      <c r="G1154">
        <f>IF(E1154=0,0,INDEX('Планы менеджеров'!$B$5:$M$16,B1154,D1154)/INDEX(Мес_Раб,D1154))</f>
        <v/>
      </c>
    </row>
    <row r="1155">
      <c r="A1155" t="inlineStr">
        <is>
          <t>Козлова</t>
        </is>
      </c>
      <c r="B1155" t="n">
        <v>8</v>
      </c>
      <c r="C1155" s="18">
        <f>'Календарь'!A39</f>
        <v/>
      </c>
      <c r="D1155">
        <f>MONTH(C1155)</f>
        <v/>
      </c>
      <c r="E1155">
        <f>'Календарь'!D39</f>
        <v/>
      </c>
      <c r="F1155">
        <f>INT((C1155-Нед_Начало)/7)+1</f>
        <v/>
      </c>
      <c r="G1155">
        <f>IF(E1155=0,0,INDEX('Планы менеджеров'!$B$5:$M$16,B1155,D1155)/INDEX(Мес_Раб,D1155))</f>
        <v/>
      </c>
    </row>
    <row r="1156">
      <c r="A1156" t="inlineStr">
        <is>
          <t>Козлова</t>
        </is>
      </c>
      <c r="B1156" t="n">
        <v>8</v>
      </c>
      <c r="C1156" s="18">
        <f>'Календарь'!A40</f>
        <v/>
      </c>
      <c r="D1156">
        <f>MONTH(C1156)</f>
        <v/>
      </c>
      <c r="E1156">
        <f>'Календарь'!D40</f>
        <v/>
      </c>
      <c r="F1156">
        <f>INT((C1156-Нед_Начало)/7)+1</f>
        <v/>
      </c>
      <c r="G1156">
        <f>IF(E1156=0,0,INDEX('Планы менеджеров'!$B$5:$M$16,B1156,D1156)/INDEX(Мес_Раб,D1156))</f>
        <v/>
      </c>
    </row>
    <row r="1157">
      <c r="A1157" t="inlineStr">
        <is>
          <t>Козлова</t>
        </is>
      </c>
      <c r="B1157" t="n">
        <v>8</v>
      </c>
      <c r="C1157" s="18">
        <f>'Календарь'!A41</f>
        <v/>
      </c>
      <c r="D1157">
        <f>MONTH(C1157)</f>
        <v/>
      </c>
      <c r="E1157">
        <f>'Календарь'!D41</f>
        <v/>
      </c>
      <c r="F1157">
        <f>INT((C1157-Нед_Начало)/7)+1</f>
        <v/>
      </c>
      <c r="G1157">
        <f>IF(E1157=0,0,INDEX('Планы менеджеров'!$B$5:$M$16,B1157,D1157)/INDEX(Мес_Раб,D1157))</f>
        <v/>
      </c>
    </row>
    <row r="1158">
      <c r="A1158" t="inlineStr">
        <is>
          <t>Козлова</t>
        </is>
      </c>
      <c r="B1158" t="n">
        <v>8</v>
      </c>
      <c r="C1158" s="18">
        <f>'Календарь'!A42</f>
        <v/>
      </c>
      <c r="D1158">
        <f>MONTH(C1158)</f>
        <v/>
      </c>
      <c r="E1158">
        <f>'Календарь'!D42</f>
        <v/>
      </c>
      <c r="F1158">
        <f>INT((C1158-Нед_Начало)/7)+1</f>
        <v/>
      </c>
      <c r="G1158">
        <f>IF(E1158=0,0,INDEX('Планы менеджеров'!$B$5:$M$16,B1158,D1158)/INDEX(Мес_Раб,D1158))</f>
        <v/>
      </c>
    </row>
    <row r="1159">
      <c r="A1159" t="inlineStr">
        <is>
          <t>Козлова</t>
        </is>
      </c>
      <c r="B1159" t="n">
        <v>8</v>
      </c>
      <c r="C1159" s="18">
        <f>'Календарь'!A43</f>
        <v/>
      </c>
      <c r="D1159">
        <f>MONTH(C1159)</f>
        <v/>
      </c>
      <c r="E1159">
        <f>'Календарь'!D43</f>
        <v/>
      </c>
      <c r="F1159">
        <f>INT((C1159-Нед_Начало)/7)+1</f>
        <v/>
      </c>
      <c r="G1159">
        <f>IF(E1159=0,0,INDEX('Планы менеджеров'!$B$5:$M$16,B1159,D1159)/INDEX(Мес_Раб,D1159))</f>
        <v/>
      </c>
    </row>
    <row r="1160">
      <c r="A1160" t="inlineStr">
        <is>
          <t>Козлова</t>
        </is>
      </c>
      <c r="B1160" t="n">
        <v>8</v>
      </c>
      <c r="C1160" s="18">
        <f>'Календарь'!A44</f>
        <v/>
      </c>
      <c r="D1160">
        <f>MONTH(C1160)</f>
        <v/>
      </c>
      <c r="E1160">
        <f>'Календарь'!D44</f>
        <v/>
      </c>
      <c r="F1160">
        <f>INT((C1160-Нед_Начало)/7)+1</f>
        <v/>
      </c>
      <c r="G1160">
        <f>IF(E1160=0,0,INDEX('Планы менеджеров'!$B$5:$M$16,B1160,D1160)/INDEX(Мес_Раб,D1160))</f>
        <v/>
      </c>
    </row>
    <row r="1161">
      <c r="A1161" t="inlineStr">
        <is>
          <t>Козлова</t>
        </is>
      </c>
      <c r="B1161" t="n">
        <v>8</v>
      </c>
      <c r="C1161" s="18">
        <f>'Календарь'!A45</f>
        <v/>
      </c>
      <c r="D1161">
        <f>MONTH(C1161)</f>
        <v/>
      </c>
      <c r="E1161">
        <f>'Календарь'!D45</f>
        <v/>
      </c>
      <c r="F1161">
        <f>INT((C1161-Нед_Начало)/7)+1</f>
        <v/>
      </c>
      <c r="G1161">
        <f>IF(E1161=0,0,INDEX('Планы менеджеров'!$B$5:$M$16,B1161,D1161)/INDEX(Мес_Раб,D1161))</f>
        <v/>
      </c>
    </row>
    <row r="1162">
      <c r="A1162" t="inlineStr">
        <is>
          <t>Козлова</t>
        </is>
      </c>
      <c r="B1162" t="n">
        <v>8</v>
      </c>
      <c r="C1162" s="18">
        <f>'Календарь'!A46</f>
        <v/>
      </c>
      <c r="D1162">
        <f>MONTH(C1162)</f>
        <v/>
      </c>
      <c r="E1162">
        <f>'Календарь'!D46</f>
        <v/>
      </c>
      <c r="F1162">
        <f>INT((C1162-Нед_Начало)/7)+1</f>
        <v/>
      </c>
      <c r="G1162">
        <f>IF(E1162=0,0,INDEX('Планы менеджеров'!$B$5:$M$16,B1162,D1162)/INDEX(Мес_Раб,D1162))</f>
        <v/>
      </c>
    </row>
    <row r="1163">
      <c r="A1163" t="inlineStr">
        <is>
          <t>Козлова</t>
        </is>
      </c>
      <c r="B1163" t="n">
        <v>8</v>
      </c>
      <c r="C1163" s="18">
        <f>'Календарь'!A47</f>
        <v/>
      </c>
      <c r="D1163">
        <f>MONTH(C1163)</f>
        <v/>
      </c>
      <c r="E1163">
        <f>'Календарь'!D47</f>
        <v/>
      </c>
      <c r="F1163">
        <f>INT((C1163-Нед_Начало)/7)+1</f>
        <v/>
      </c>
      <c r="G1163">
        <f>IF(E1163=0,0,INDEX('Планы менеджеров'!$B$5:$M$16,B1163,D1163)/INDEX(Мес_Раб,D1163))</f>
        <v/>
      </c>
    </row>
    <row r="1164">
      <c r="A1164" t="inlineStr">
        <is>
          <t>Козлова</t>
        </is>
      </c>
      <c r="B1164" t="n">
        <v>8</v>
      </c>
      <c r="C1164" s="18">
        <f>'Календарь'!A48</f>
        <v/>
      </c>
      <c r="D1164">
        <f>MONTH(C1164)</f>
        <v/>
      </c>
      <c r="E1164">
        <f>'Календарь'!D48</f>
        <v/>
      </c>
      <c r="F1164">
        <f>INT((C1164-Нед_Начало)/7)+1</f>
        <v/>
      </c>
      <c r="G1164">
        <f>IF(E1164=0,0,INDEX('Планы менеджеров'!$B$5:$M$16,B1164,D1164)/INDEX(Мес_Раб,D1164))</f>
        <v/>
      </c>
    </row>
    <row r="1165">
      <c r="A1165" t="inlineStr">
        <is>
          <t>Козлова</t>
        </is>
      </c>
      <c r="B1165" t="n">
        <v>8</v>
      </c>
      <c r="C1165" s="18">
        <f>'Календарь'!A49</f>
        <v/>
      </c>
      <c r="D1165">
        <f>MONTH(C1165)</f>
        <v/>
      </c>
      <c r="E1165">
        <f>'Календарь'!D49</f>
        <v/>
      </c>
      <c r="F1165">
        <f>INT((C1165-Нед_Начало)/7)+1</f>
        <v/>
      </c>
      <c r="G1165">
        <f>IF(E1165=0,0,INDEX('Планы менеджеров'!$B$5:$M$16,B1165,D1165)/INDEX(Мес_Раб,D1165))</f>
        <v/>
      </c>
    </row>
    <row r="1166">
      <c r="A1166" t="inlineStr">
        <is>
          <t>Козлова</t>
        </is>
      </c>
      <c r="B1166" t="n">
        <v>8</v>
      </c>
      <c r="C1166" s="18">
        <f>'Календарь'!A50</f>
        <v/>
      </c>
      <c r="D1166">
        <f>MONTH(C1166)</f>
        <v/>
      </c>
      <c r="E1166">
        <f>'Календарь'!D50</f>
        <v/>
      </c>
      <c r="F1166">
        <f>INT((C1166-Нед_Начало)/7)+1</f>
        <v/>
      </c>
      <c r="G1166">
        <f>IF(E1166=0,0,INDEX('Планы менеджеров'!$B$5:$M$16,B1166,D1166)/INDEX(Мес_Раб,D1166))</f>
        <v/>
      </c>
    </row>
    <row r="1167">
      <c r="A1167" t="inlineStr">
        <is>
          <t>Козлова</t>
        </is>
      </c>
      <c r="B1167" t="n">
        <v>8</v>
      </c>
      <c r="C1167" s="18">
        <f>'Календарь'!A51</f>
        <v/>
      </c>
      <c r="D1167">
        <f>MONTH(C1167)</f>
        <v/>
      </c>
      <c r="E1167">
        <f>'Календарь'!D51</f>
        <v/>
      </c>
      <c r="F1167">
        <f>INT((C1167-Нед_Начало)/7)+1</f>
        <v/>
      </c>
      <c r="G1167">
        <f>IF(E1167=0,0,INDEX('Планы менеджеров'!$B$5:$M$16,B1167,D1167)/INDEX(Мес_Раб,D1167))</f>
        <v/>
      </c>
    </row>
    <row r="1168">
      <c r="A1168" t="inlineStr">
        <is>
          <t>Козлова</t>
        </is>
      </c>
      <c r="B1168" t="n">
        <v>8</v>
      </c>
      <c r="C1168" s="18">
        <f>'Календарь'!A52</f>
        <v/>
      </c>
      <c r="D1168">
        <f>MONTH(C1168)</f>
        <v/>
      </c>
      <c r="E1168">
        <f>'Календарь'!D52</f>
        <v/>
      </c>
      <c r="F1168">
        <f>INT((C1168-Нед_Начало)/7)+1</f>
        <v/>
      </c>
      <c r="G1168">
        <f>IF(E1168=0,0,INDEX('Планы менеджеров'!$B$5:$M$16,B1168,D1168)/INDEX(Мес_Раб,D1168))</f>
        <v/>
      </c>
    </row>
    <row r="1169">
      <c r="A1169" t="inlineStr">
        <is>
          <t>Козлова</t>
        </is>
      </c>
      <c r="B1169" t="n">
        <v>8</v>
      </c>
      <c r="C1169" s="18">
        <f>'Календарь'!A53</f>
        <v/>
      </c>
      <c r="D1169">
        <f>MONTH(C1169)</f>
        <v/>
      </c>
      <c r="E1169">
        <f>'Календарь'!D53</f>
        <v/>
      </c>
      <c r="F1169">
        <f>INT((C1169-Нед_Начало)/7)+1</f>
        <v/>
      </c>
      <c r="G1169">
        <f>IF(E1169=0,0,INDEX('Планы менеджеров'!$B$5:$M$16,B1169,D1169)/INDEX(Мес_Раб,D1169))</f>
        <v/>
      </c>
    </row>
    <row r="1170">
      <c r="A1170" t="inlineStr">
        <is>
          <t>Козлова</t>
        </is>
      </c>
      <c r="B1170" t="n">
        <v>8</v>
      </c>
      <c r="C1170" s="18">
        <f>'Календарь'!A54</f>
        <v/>
      </c>
      <c r="D1170">
        <f>MONTH(C1170)</f>
        <v/>
      </c>
      <c r="E1170">
        <f>'Календарь'!D54</f>
        <v/>
      </c>
      <c r="F1170">
        <f>INT((C1170-Нед_Начало)/7)+1</f>
        <v/>
      </c>
      <c r="G1170">
        <f>IF(E1170=0,0,INDEX('Планы менеджеров'!$B$5:$M$16,B1170,D1170)/INDEX(Мес_Раб,D1170))</f>
        <v/>
      </c>
    </row>
    <row r="1171">
      <c r="A1171" t="inlineStr">
        <is>
          <t>Козлова</t>
        </is>
      </c>
      <c r="B1171" t="n">
        <v>8</v>
      </c>
      <c r="C1171" s="18">
        <f>'Календарь'!A55</f>
        <v/>
      </c>
      <c r="D1171">
        <f>MONTH(C1171)</f>
        <v/>
      </c>
      <c r="E1171">
        <f>'Календарь'!D55</f>
        <v/>
      </c>
      <c r="F1171">
        <f>INT((C1171-Нед_Начало)/7)+1</f>
        <v/>
      </c>
      <c r="G1171">
        <f>IF(E1171=0,0,INDEX('Планы менеджеров'!$B$5:$M$16,B1171,D1171)/INDEX(Мес_Раб,D1171))</f>
        <v/>
      </c>
    </row>
    <row r="1172">
      <c r="A1172" t="inlineStr">
        <is>
          <t>Козлова</t>
        </is>
      </c>
      <c r="B1172" t="n">
        <v>8</v>
      </c>
      <c r="C1172" s="18">
        <f>'Календарь'!A56</f>
        <v/>
      </c>
      <c r="D1172">
        <f>MONTH(C1172)</f>
        <v/>
      </c>
      <c r="E1172">
        <f>'Календарь'!D56</f>
        <v/>
      </c>
      <c r="F1172">
        <f>INT((C1172-Нед_Начало)/7)+1</f>
        <v/>
      </c>
      <c r="G1172">
        <f>IF(E1172=0,0,INDEX('Планы менеджеров'!$B$5:$M$16,B1172,D1172)/INDEX(Мес_Раб,D1172))</f>
        <v/>
      </c>
    </row>
    <row r="1173">
      <c r="A1173" t="inlineStr">
        <is>
          <t>Козлова</t>
        </is>
      </c>
      <c r="B1173" t="n">
        <v>8</v>
      </c>
      <c r="C1173" s="18">
        <f>'Календарь'!A57</f>
        <v/>
      </c>
      <c r="D1173">
        <f>MONTH(C1173)</f>
        <v/>
      </c>
      <c r="E1173">
        <f>'Календарь'!D57</f>
        <v/>
      </c>
      <c r="F1173">
        <f>INT((C1173-Нед_Начало)/7)+1</f>
        <v/>
      </c>
      <c r="G1173">
        <f>IF(E1173=0,0,INDEX('Планы менеджеров'!$B$5:$M$16,B1173,D1173)/INDEX(Мес_Раб,D1173))</f>
        <v/>
      </c>
    </row>
    <row r="1174">
      <c r="A1174" t="inlineStr">
        <is>
          <t>Козлова</t>
        </is>
      </c>
      <c r="B1174" t="n">
        <v>8</v>
      </c>
      <c r="C1174" s="18">
        <f>'Календарь'!A58</f>
        <v/>
      </c>
      <c r="D1174">
        <f>MONTH(C1174)</f>
        <v/>
      </c>
      <c r="E1174">
        <f>'Календарь'!D58</f>
        <v/>
      </c>
      <c r="F1174">
        <f>INT((C1174-Нед_Начало)/7)+1</f>
        <v/>
      </c>
      <c r="G1174">
        <f>IF(E1174=0,0,INDEX('Планы менеджеров'!$B$5:$M$16,B1174,D1174)/INDEX(Мес_Раб,D1174))</f>
        <v/>
      </c>
    </row>
    <row r="1175">
      <c r="A1175" t="inlineStr">
        <is>
          <t>Козлова</t>
        </is>
      </c>
      <c r="B1175" t="n">
        <v>8</v>
      </c>
      <c r="C1175" s="18">
        <f>'Календарь'!A59</f>
        <v/>
      </c>
      <c r="D1175">
        <f>MONTH(C1175)</f>
        <v/>
      </c>
      <c r="E1175">
        <f>'Календарь'!D59</f>
        <v/>
      </c>
      <c r="F1175">
        <f>INT((C1175-Нед_Начало)/7)+1</f>
        <v/>
      </c>
      <c r="G1175">
        <f>IF(E1175=0,0,INDEX('Планы менеджеров'!$B$5:$M$16,B1175,D1175)/INDEX(Мес_Раб,D1175))</f>
        <v/>
      </c>
    </row>
    <row r="1176">
      <c r="A1176" t="inlineStr">
        <is>
          <t>Козлова</t>
        </is>
      </c>
      <c r="B1176" t="n">
        <v>8</v>
      </c>
      <c r="C1176" s="18">
        <f>'Календарь'!A60</f>
        <v/>
      </c>
      <c r="D1176">
        <f>MONTH(C1176)</f>
        <v/>
      </c>
      <c r="E1176">
        <f>'Календарь'!D60</f>
        <v/>
      </c>
      <c r="F1176">
        <f>INT((C1176-Нед_Начало)/7)+1</f>
        <v/>
      </c>
      <c r="G1176">
        <f>IF(E1176=0,0,INDEX('Планы менеджеров'!$B$5:$M$16,B1176,D1176)/INDEX(Мес_Раб,D1176))</f>
        <v/>
      </c>
    </row>
    <row r="1177">
      <c r="A1177" t="inlineStr">
        <is>
          <t>Козлова</t>
        </is>
      </c>
      <c r="B1177" t="n">
        <v>8</v>
      </c>
      <c r="C1177" s="18">
        <f>'Календарь'!A61</f>
        <v/>
      </c>
      <c r="D1177">
        <f>MONTH(C1177)</f>
        <v/>
      </c>
      <c r="E1177">
        <f>'Календарь'!D61</f>
        <v/>
      </c>
      <c r="F1177">
        <f>INT((C1177-Нед_Начало)/7)+1</f>
        <v/>
      </c>
      <c r="G1177">
        <f>IF(E1177=0,0,INDEX('Планы менеджеров'!$B$5:$M$16,B1177,D1177)/INDEX(Мес_Раб,D1177))</f>
        <v/>
      </c>
    </row>
    <row r="1178">
      <c r="A1178" t="inlineStr">
        <is>
          <t>Козлова</t>
        </is>
      </c>
      <c r="B1178" t="n">
        <v>8</v>
      </c>
      <c r="C1178" s="18">
        <f>'Календарь'!A62</f>
        <v/>
      </c>
      <c r="D1178">
        <f>MONTH(C1178)</f>
        <v/>
      </c>
      <c r="E1178">
        <f>'Календарь'!D62</f>
        <v/>
      </c>
      <c r="F1178">
        <f>INT((C1178-Нед_Начало)/7)+1</f>
        <v/>
      </c>
      <c r="G1178">
        <f>IF(E1178=0,0,INDEX('Планы менеджеров'!$B$5:$M$16,B1178,D1178)/INDEX(Мес_Раб,D1178))</f>
        <v/>
      </c>
    </row>
    <row r="1179">
      <c r="A1179" t="inlineStr">
        <is>
          <t>Козлова</t>
        </is>
      </c>
      <c r="B1179" t="n">
        <v>8</v>
      </c>
      <c r="C1179" s="18">
        <f>'Календарь'!A63</f>
        <v/>
      </c>
      <c r="D1179">
        <f>MONTH(C1179)</f>
        <v/>
      </c>
      <c r="E1179">
        <f>'Календарь'!D63</f>
        <v/>
      </c>
      <c r="F1179">
        <f>INT((C1179-Нед_Начало)/7)+1</f>
        <v/>
      </c>
      <c r="G1179">
        <f>IF(E1179=0,0,INDEX('Планы менеджеров'!$B$5:$M$16,B1179,D1179)/INDEX(Мес_Раб,D1179))</f>
        <v/>
      </c>
    </row>
    <row r="1180">
      <c r="A1180" t="inlineStr">
        <is>
          <t>Козлова</t>
        </is>
      </c>
      <c r="B1180" t="n">
        <v>8</v>
      </c>
      <c r="C1180" s="18">
        <f>'Календарь'!A64</f>
        <v/>
      </c>
      <c r="D1180">
        <f>MONTH(C1180)</f>
        <v/>
      </c>
      <c r="E1180">
        <f>'Календарь'!D64</f>
        <v/>
      </c>
      <c r="F1180">
        <f>INT((C1180-Нед_Начало)/7)+1</f>
        <v/>
      </c>
      <c r="G1180">
        <f>IF(E1180=0,0,INDEX('Планы менеджеров'!$B$5:$M$16,B1180,D1180)/INDEX(Мес_Раб,D1180))</f>
        <v/>
      </c>
    </row>
    <row r="1181">
      <c r="A1181" t="inlineStr">
        <is>
          <t>Козлова</t>
        </is>
      </c>
      <c r="B1181" t="n">
        <v>8</v>
      </c>
      <c r="C1181" s="18">
        <f>'Календарь'!A65</f>
        <v/>
      </c>
      <c r="D1181">
        <f>MONTH(C1181)</f>
        <v/>
      </c>
      <c r="E1181">
        <f>'Календарь'!D65</f>
        <v/>
      </c>
      <c r="F1181">
        <f>INT((C1181-Нед_Начало)/7)+1</f>
        <v/>
      </c>
      <c r="G1181">
        <f>IF(E1181=0,0,INDEX('Планы менеджеров'!$B$5:$M$16,B1181,D1181)/INDEX(Мес_Раб,D1181))</f>
        <v/>
      </c>
    </row>
    <row r="1182">
      <c r="A1182" t="inlineStr">
        <is>
          <t>Козлова</t>
        </is>
      </c>
      <c r="B1182" t="n">
        <v>8</v>
      </c>
      <c r="C1182" s="18">
        <f>'Календарь'!A66</f>
        <v/>
      </c>
      <c r="D1182">
        <f>MONTH(C1182)</f>
        <v/>
      </c>
      <c r="E1182">
        <f>'Календарь'!D66</f>
        <v/>
      </c>
      <c r="F1182">
        <f>INT((C1182-Нед_Начало)/7)+1</f>
        <v/>
      </c>
      <c r="G1182">
        <f>IF(E1182=0,0,INDEX('Планы менеджеров'!$B$5:$M$16,B1182,D1182)/INDEX(Мес_Раб,D1182))</f>
        <v/>
      </c>
    </row>
    <row r="1183">
      <c r="A1183" t="inlineStr">
        <is>
          <t>Козлова</t>
        </is>
      </c>
      <c r="B1183" t="n">
        <v>8</v>
      </c>
      <c r="C1183" s="18">
        <f>'Календарь'!A67</f>
        <v/>
      </c>
      <c r="D1183">
        <f>MONTH(C1183)</f>
        <v/>
      </c>
      <c r="E1183">
        <f>'Календарь'!D67</f>
        <v/>
      </c>
      <c r="F1183">
        <f>INT((C1183-Нед_Начало)/7)+1</f>
        <v/>
      </c>
      <c r="G1183">
        <f>IF(E1183=0,0,INDEX('Планы менеджеров'!$B$5:$M$16,B1183,D1183)/INDEX(Мес_Раб,D1183))</f>
        <v/>
      </c>
    </row>
    <row r="1184">
      <c r="A1184" t="inlineStr">
        <is>
          <t>Козлова</t>
        </is>
      </c>
      <c r="B1184" t="n">
        <v>8</v>
      </c>
      <c r="C1184" s="18">
        <f>'Календарь'!A68</f>
        <v/>
      </c>
      <c r="D1184">
        <f>MONTH(C1184)</f>
        <v/>
      </c>
      <c r="E1184">
        <f>'Календарь'!D68</f>
        <v/>
      </c>
      <c r="F1184">
        <f>INT((C1184-Нед_Начало)/7)+1</f>
        <v/>
      </c>
      <c r="G1184">
        <f>IF(E1184=0,0,INDEX('Планы менеджеров'!$B$5:$M$16,B1184,D1184)/INDEX(Мес_Раб,D1184))</f>
        <v/>
      </c>
    </row>
    <row r="1185">
      <c r="A1185" t="inlineStr">
        <is>
          <t>Козлова</t>
        </is>
      </c>
      <c r="B1185" t="n">
        <v>8</v>
      </c>
      <c r="C1185" s="18">
        <f>'Календарь'!A69</f>
        <v/>
      </c>
      <c r="D1185">
        <f>MONTH(C1185)</f>
        <v/>
      </c>
      <c r="E1185">
        <f>'Календарь'!D69</f>
        <v/>
      </c>
      <c r="F1185">
        <f>INT((C1185-Нед_Начало)/7)+1</f>
        <v/>
      </c>
      <c r="G1185">
        <f>IF(E1185=0,0,INDEX('Планы менеджеров'!$B$5:$M$16,B1185,D1185)/INDEX(Мес_Раб,D1185))</f>
        <v/>
      </c>
    </row>
    <row r="1186">
      <c r="A1186" t="inlineStr">
        <is>
          <t>Козлова</t>
        </is>
      </c>
      <c r="B1186" t="n">
        <v>8</v>
      </c>
      <c r="C1186" s="18">
        <f>'Календарь'!A70</f>
        <v/>
      </c>
      <c r="D1186">
        <f>MONTH(C1186)</f>
        <v/>
      </c>
      <c r="E1186">
        <f>'Календарь'!D70</f>
        <v/>
      </c>
      <c r="F1186">
        <f>INT((C1186-Нед_Начало)/7)+1</f>
        <v/>
      </c>
      <c r="G1186">
        <f>IF(E1186=0,0,INDEX('Планы менеджеров'!$B$5:$M$16,B1186,D1186)/INDEX(Мес_Раб,D1186))</f>
        <v/>
      </c>
    </row>
    <row r="1187">
      <c r="A1187" t="inlineStr">
        <is>
          <t>Козлова</t>
        </is>
      </c>
      <c r="B1187" t="n">
        <v>8</v>
      </c>
      <c r="C1187" s="18">
        <f>'Календарь'!A71</f>
        <v/>
      </c>
      <c r="D1187">
        <f>MONTH(C1187)</f>
        <v/>
      </c>
      <c r="E1187">
        <f>'Календарь'!D71</f>
        <v/>
      </c>
      <c r="F1187">
        <f>INT((C1187-Нед_Начало)/7)+1</f>
        <v/>
      </c>
      <c r="G1187">
        <f>IF(E1187=0,0,INDEX('Планы менеджеров'!$B$5:$M$16,B1187,D1187)/INDEX(Мес_Раб,D1187))</f>
        <v/>
      </c>
    </row>
    <row r="1188">
      <c r="A1188" t="inlineStr">
        <is>
          <t>Козлова</t>
        </is>
      </c>
      <c r="B1188" t="n">
        <v>8</v>
      </c>
      <c r="C1188" s="18">
        <f>'Календарь'!A72</f>
        <v/>
      </c>
      <c r="D1188">
        <f>MONTH(C1188)</f>
        <v/>
      </c>
      <c r="E1188">
        <f>'Календарь'!D72</f>
        <v/>
      </c>
      <c r="F1188">
        <f>INT((C1188-Нед_Начало)/7)+1</f>
        <v/>
      </c>
      <c r="G1188">
        <f>IF(E1188=0,0,INDEX('Планы менеджеров'!$B$5:$M$16,B1188,D1188)/INDEX(Мес_Раб,D1188))</f>
        <v/>
      </c>
    </row>
    <row r="1189">
      <c r="A1189" t="inlineStr">
        <is>
          <t>Козлова</t>
        </is>
      </c>
      <c r="B1189" t="n">
        <v>8</v>
      </c>
      <c r="C1189" s="18">
        <f>'Календарь'!A73</f>
        <v/>
      </c>
      <c r="D1189">
        <f>MONTH(C1189)</f>
        <v/>
      </c>
      <c r="E1189">
        <f>'Календарь'!D73</f>
        <v/>
      </c>
      <c r="F1189">
        <f>INT((C1189-Нед_Начало)/7)+1</f>
        <v/>
      </c>
      <c r="G1189">
        <f>IF(E1189=0,0,INDEX('Планы менеджеров'!$B$5:$M$16,B1189,D1189)/INDEX(Мес_Раб,D1189))</f>
        <v/>
      </c>
    </row>
    <row r="1190">
      <c r="A1190" t="inlineStr">
        <is>
          <t>Козлова</t>
        </is>
      </c>
      <c r="B1190" t="n">
        <v>8</v>
      </c>
      <c r="C1190" s="18">
        <f>'Календарь'!A74</f>
        <v/>
      </c>
      <c r="D1190">
        <f>MONTH(C1190)</f>
        <v/>
      </c>
      <c r="E1190">
        <f>'Календарь'!D74</f>
        <v/>
      </c>
      <c r="F1190">
        <f>INT((C1190-Нед_Начало)/7)+1</f>
        <v/>
      </c>
      <c r="G1190">
        <f>IF(E1190=0,0,INDEX('Планы менеджеров'!$B$5:$M$16,B1190,D1190)/INDEX(Мес_Раб,D1190))</f>
        <v/>
      </c>
    </row>
    <row r="1191">
      <c r="A1191" t="inlineStr">
        <is>
          <t>Козлова</t>
        </is>
      </c>
      <c r="B1191" t="n">
        <v>8</v>
      </c>
      <c r="C1191" s="18">
        <f>'Календарь'!A75</f>
        <v/>
      </c>
      <c r="D1191">
        <f>MONTH(C1191)</f>
        <v/>
      </c>
      <c r="E1191">
        <f>'Календарь'!D75</f>
        <v/>
      </c>
      <c r="F1191">
        <f>INT((C1191-Нед_Начало)/7)+1</f>
        <v/>
      </c>
      <c r="G1191">
        <f>IF(E1191=0,0,INDEX('Планы менеджеров'!$B$5:$M$16,B1191,D1191)/INDEX(Мес_Раб,D1191))</f>
        <v/>
      </c>
    </row>
    <row r="1192">
      <c r="A1192" t="inlineStr">
        <is>
          <t>Козлова</t>
        </is>
      </c>
      <c r="B1192" t="n">
        <v>8</v>
      </c>
      <c r="C1192" s="18">
        <f>'Календарь'!A76</f>
        <v/>
      </c>
      <c r="D1192">
        <f>MONTH(C1192)</f>
        <v/>
      </c>
      <c r="E1192">
        <f>'Календарь'!D76</f>
        <v/>
      </c>
      <c r="F1192">
        <f>INT((C1192-Нед_Начало)/7)+1</f>
        <v/>
      </c>
      <c r="G1192">
        <f>IF(E1192=0,0,INDEX('Планы менеджеров'!$B$5:$M$16,B1192,D1192)/INDEX(Мес_Раб,D1192))</f>
        <v/>
      </c>
    </row>
    <row r="1193">
      <c r="A1193" t="inlineStr">
        <is>
          <t>Козлова</t>
        </is>
      </c>
      <c r="B1193" t="n">
        <v>8</v>
      </c>
      <c r="C1193" s="18">
        <f>'Календарь'!A77</f>
        <v/>
      </c>
      <c r="D1193">
        <f>MONTH(C1193)</f>
        <v/>
      </c>
      <c r="E1193">
        <f>'Календарь'!D77</f>
        <v/>
      </c>
      <c r="F1193">
        <f>INT((C1193-Нед_Начало)/7)+1</f>
        <v/>
      </c>
      <c r="G1193">
        <f>IF(E1193=0,0,INDEX('Планы менеджеров'!$B$5:$M$16,B1193,D1193)/INDEX(Мес_Раб,D1193))</f>
        <v/>
      </c>
    </row>
    <row r="1194">
      <c r="A1194" t="inlineStr">
        <is>
          <t>Козлова</t>
        </is>
      </c>
      <c r="B1194" t="n">
        <v>8</v>
      </c>
      <c r="C1194" s="18">
        <f>'Календарь'!A78</f>
        <v/>
      </c>
      <c r="D1194">
        <f>MONTH(C1194)</f>
        <v/>
      </c>
      <c r="E1194">
        <f>'Календарь'!D78</f>
        <v/>
      </c>
      <c r="F1194">
        <f>INT((C1194-Нед_Начало)/7)+1</f>
        <v/>
      </c>
      <c r="G1194">
        <f>IF(E1194=0,0,INDEX('Планы менеджеров'!$B$5:$M$16,B1194,D1194)/INDEX(Мес_Раб,D1194))</f>
        <v/>
      </c>
    </row>
    <row r="1195">
      <c r="A1195" t="inlineStr">
        <is>
          <t>Козлова</t>
        </is>
      </c>
      <c r="B1195" t="n">
        <v>8</v>
      </c>
      <c r="C1195" s="18">
        <f>'Календарь'!A79</f>
        <v/>
      </c>
      <c r="D1195">
        <f>MONTH(C1195)</f>
        <v/>
      </c>
      <c r="E1195">
        <f>'Календарь'!D79</f>
        <v/>
      </c>
      <c r="F1195">
        <f>INT((C1195-Нед_Начало)/7)+1</f>
        <v/>
      </c>
      <c r="G1195">
        <f>IF(E1195=0,0,INDEX('Планы менеджеров'!$B$5:$M$16,B1195,D1195)/INDEX(Мес_Раб,D1195))</f>
        <v/>
      </c>
    </row>
    <row r="1196">
      <c r="A1196" t="inlineStr">
        <is>
          <t>Козлова</t>
        </is>
      </c>
      <c r="B1196" t="n">
        <v>8</v>
      </c>
      <c r="C1196" s="18">
        <f>'Календарь'!A80</f>
        <v/>
      </c>
      <c r="D1196">
        <f>MONTH(C1196)</f>
        <v/>
      </c>
      <c r="E1196">
        <f>'Календарь'!D80</f>
        <v/>
      </c>
      <c r="F1196">
        <f>INT((C1196-Нед_Начало)/7)+1</f>
        <v/>
      </c>
      <c r="G1196">
        <f>IF(E1196=0,0,INDEX('Планы менеджеров'!$B$5:$M$16,B1196,D1196)/INDEX(Мес_Раб,D1196))</f>
        <v/>
      </c>
    </row>
    <row r="1197">
      <c r="A1197" t="inlineStr">
        <is>
          <t>Козлова</t>
        </is>
      </c>
      <c r="B1197" t="n">
        <v>8</v>
      </c>
      <c r="C1197" s="18">
        <f>'Календарь'!A81</f>
        <v/>
      </c>
      <c r="D1197">
        <f>MONTH(C1197)</f>
        <v/>
      </c>
      <c r="E1197">
        <f>'Календарь'!D81</f>
        <v/>
      </c>
      <c r="F1197">
        <f>INT((C1197-Нед_Начало)/7)+1</f>
        <v/>
      </c>
      <c r="G1197">
        <f>IF(E1197=0,0,INDEX('Планы менеджеров'!$B$5:$M$16,B1197,D1197)/INDEX(Мес_Раб,D1197))</f>
        <v/>
      </c>
    </row>
    <row r="1198">
      <c r="A1198" t="inlineStr">
        <is>
          <t>Козлова</t>
        </is>
      </c>
      <c r="B1198" t="n">
        <v>8</v>
      </c>
      <c r="C1198" s="18">
        <f>'Календарь'!A82</f>
        <v/>
      </c>
      <c r="D1198">
        <f>MONTH(C1198)</f>
        <v/>
      </c>
      <c r="E1198">
        <f>'Календарь'!D82</f>
        <v/>
      </c>
      <c r="F1198">
        <f>INT((C1198-Нед_Начало)/7)+1</f>
        <v/>
      </c>
      <c r="G1198">
        <f>IF(E1198=0,0,INDEX('Планы менеджеров'!$B$5:$M$16,B1198,D1198)/INDEX(Мес_Раб,D1198))</f>
        <v/>
      </c>
    </row>
    <row r="1199">
      <c r="A1199" t="inlineStr">
        <is>
          <t>Козлова</t>
        </is>
      </c>
      <c r="B1199" t="n">
        <v>8</v>
      </c>
      <c r="C1199" s="18">
        <f>'Календарь'!A83</f>
        <v/>
      </c>
      <c r="D1199">
        <f>MONTH(C1199)</f>
        <v/>
      </c>
      <c r="E1199">
        <f>'Календарь'!D83</f>
        <v/>
      </c>
      <c r="F1199">
        <f>INT((C1199-Нед_Начало)/7)+1</f>
        <v/>
      </c>
      <c r="G1199">
        <f>IF(E1199=0,0,INDEX('Планы менеджеров'!$B$5:$M$16,B1199,D1199)/INDEX(Мес_Раб,D1199))</f>
        <v/>
      </c>
    </row>
    <row r="1200">
      <c r="A1200" t="inlineStr">
        <is>
          <t>Козлова</t>
        </is>
      </c>
      <c r="B1200" t="n">
        <v>8</v>
      </c>
      <c r="C1200" s="18">
        <f>'Календарь'!A84</f>
        <v/>
      </c>
      <c r="D1200">
        <f>MONTH(C1200)</f>
        <v/>
      </c>
      <c r="E1200">
        <f>'Календарь'!D84</f>
        <v/>
      </c>
      <c r="F1200">
        <f>INT((C1200-Нед_Начало)/7)+1</f>
        <v/>
      </c>
      <c r="G1200">
        <f>IF(E1200=0,0,INDEX('Планы менеджеров'!$B$5:$M$16,B1200,D1200)/INDEX(Мес_Раб,D1200))</f>
        <v/>
      </c>
    </row>
    <row r="1201">
      <c r="A1201" t="inlineStr">
        <is>
          <t>Козлова</t>
        </is>
      </c>
      <c r="B1201" t="n">
        <v>8</v>
      </c>
      <c r="C1201" s="18">
        <f>'Календарь'!A85</f>
        <v/>
      </c>
      <c r="D1201">
        <f>MONTH(C1201)</f>
        <v/>
      </c>
      <c r="E1201">
        <f>'Календарь'!D85</f>
        <v/>
      </c>
      <c r="F1201">
        <f>INT((C1201-Нед_Начало)/7)+1</f>
        <v/>
      </c>
      <c r="G1201">
        <f>IF(E1201=0,0,INDEX('Планы менеджеров'!$B$5:$M$16,B1201,D1201)/INDEX(Мес_Раб,D1201))</f>
        <v/>
      </c>
    </row>
    <row r="1202">
      <c r="A1202" t="inlineStr">
        <is>
          <t>Козлова</t>
        </is>
      </c>
      <c r="B1202" t="n">
        <v>8</v>
      </c>
      <c r="C1202" s="18">
        <f>'Календарь'!A86</f>
        <v/>
      </c>
      <c r="D1202">
        <f>MONTH(C1202)</f>
        <v/>
      </c>
      <c r="E1202">
        <f>'Календарь'!D86</f>
        <v/>
      </c>
      <c r="F1202">
        <f>INT((C1202-Нед_Начало)/7)+1</f>
        <v/>
      </c>
      <c r="G1202">
        <f>IF(E1202=0,0,INDEX('Планы менеджеров'!$B$5:$M$16,B1202,D1202)/INDEX(Мес_Раб,D1202))</f>
        <v/>
      </c>
    </row>
    <row r="1203">
      <c r="A1203" t="inlineStr">
        <is>
          <t>Козлова</t>
        </is>
      </c>
      <c r="B1203" t="n">
        <v>8</v>
      </c>
      <c r="C1203" s="18">
        <f>'Календарь'!A87</f>
        <v/>
      </c>
      <c r="D1203">
        <f>MONTH(C1203)</f>
        <v/>
      </c>
      <c r="E1203">
        <f>'Календарь'!D87</f>
        <v/>
      </c>
      <c r="F1203">
        <f>INT((C1203-Нед_Начало)/7)+1</f>
        <v/>
      </c>
      <c r="G1203">
        <f>IF(E1203=0,0,INDEX('Планы менеджеров'!$B$5:$M$16,B1203,D1203)/INDEX(Мес_Раб,D1203))</f>
        <v/>
      </c>
    </row>
    <row r="1204">
      <c r="A1204" t="inlineStr">
        <is>
          <t>Козлова</t>
        </is>
      </c>
      <c r="B1204" t="n">
        <v>8</v>
      </c>
      <c r="C1204" s="18">
        <f>'Календарь'!A88</f>
        <v/>
      </c>
      <c r="D1204">
        <f>MONTH(C1204)</f>
        <v/>
      </c>
      <c r="E1204">
        <f>'Календарь'!D88</f>
        <v/>
      </c>
      <c r="F1204">
        <f>INT((C1204-Нед_Начало)/7)+1</f>
        <v/>
      </c>
      <c r="G1204">
        <f>IF(E1204=0,0,INDEX('Планы менеджеров'!$B$5:$M$16,B1204,D1204)/INDEX(Мес_Раб,D1204))</f>
        <v/>
      </c>
    </row>
    <row r="1205">
      <c r="A1205" t="inlineStr">
        <is>
          <t>Козлова</t>
        </is>
      </c>
      <c r="B1205" t="n">
        <v>8</v>
      </c>
      <c r="C1205" s="18">
        <f>'Календарь'!A89</f>
        <v/>
      </c>
      <c r="D1205">
        <f>MONTH(C1205)</f>
        <v/>
      </c>
      <c r="E1205">
        <f>'Календарь'!D89</f>
        <v/>
      </c>
      <c r="F1205">
        <f>INT((C1205-Нед_Начало)/7)+1</f>
        <v/>
      </c>
      <c r="G1205">
        <f>IF(E1205=0,0,INDEX('Планы менеджеров'!$B$5:$M$16,B1205,D1205)/INDEX(Мес_Раб,D1205))</f>
        <v/>
      </c>
    </row>
    <row r="1206">
      <c r="A1206" t="inlineStr">
        <is>
          <t>Козлова</t>
        </is>
      </c>
      <c r="B1206" t="n">
        <v>8</v>
      </c>
      <c r="C1206" s="18">
        <f>'Календарь'!A90</f>
        <v/>
      </c>
      <c r="D1206">
        <f>MONTH(C1206)</f>
        <v/>
      </c>
      <c r="E1206">
        <f>'Календарь'!D90</f>
        <v/>
      </c>
      <c r="F1206">
        <f>INT((C1206-Нед_Начало)/7)+1</f>
        <v/>
      </c>
      <c r="G1206">
        <f>IF(E1206=0,0,INDEX('Планы менеджеров'!$B$5:$M$16,B1206,D1206)/INDEX(Мес_Раб,D1206))</f>
        <v/>
      </c>
    </row>
    <row r="1207">
      <c r="A1207" t="inlineStr">
        <is>
          <t>Козлова</t>
        </is>
      </c>
      <c r="B1207" t="n">
        <v>8</v>
      </c>
      <c r="C1207" s="18">
        <f>'Календарь'!A91</f>
        <v/>
      </c>
      <c r="D1207">
        <f>MONTH(C1207)</f>
        <v/>
      </c>
      <c r="E1207">
        <f>'Календарь'!D91</f>
        <v/>
      </c>
      <c r="F1207">
        <f>INT((C1207-Нед_Начало)/7)+1</f>
        <v/>
      </c>
      <c r="G1207">
        <f>IF(E1207=0,0,INDEX('Планы менеджеров'!$B$5:$M$16,B1207,D1207)/INDEX(Мес_Раб,D1207))</f>
        <v/>
      </c>
    </row>
    <row r="1208">
      <c r="A1208" t="inlineStr">
        <is>
          <t>Козлова</t>
        </is>
      </c>
      <c r="B1208" t="n">
        <v>8</v>
      </c>
      <c r="C1208" s="18">
        <f>'Календарь'!A92</f>
        <v/>
      </c>
      <c r="D1208">
        <f>MONTH(C1208)</f>
        <v/>
      </c>
      <c r="E1208">
        <f>'Календарь'!D92</f>
        <v/>
      </c>
      <c r="F1208">
        <f>INT((C1208-Нед_Начало)/7)+1</f>
        <v/>
      </c>
      <c r="G1208">
        <f>IF(E1208=0,0,INDEX('Планы менеджеров'!$B$5:$M$16,B1208,D1208)/INDEX(Мес_Раб,D1208))</f>
        <v/>
      </c>
    </row>
    <row r="1209">
      <c r="A1209" t="inlineStr">
        <is>
          <t>Козлова</t>
        </is>
      </c>
      <c r="B1209" t="n">
        <v>8</v>
      </c>
      <c r="C1209" s="18">
        <f>'Календарь'!A93</f>
        <v/>
      </c>
      <c r="D1209">
        <f>MONTH(C1209)</f>
        <v/>
      </c>
      <c r="E1209">
        <f>'Календарь'!D93</f>
        <v/>
      </c>
      <c r="F1209">
        <f>INT((C1209-Нед_Начало)/7)+1</f>
        <v/>
      </c>
      <c r="G1209">
        <f>IF(E1209=0,0,INDEX('Планы менеджеров'!$B$5:$M$16,B1209,D1209)/INDEX(Мес_Раб,D1209))</f>
        <v/>
      </c>
    </row>
    <row r="1210">
      <c r="A1210" t="inlineStr">
        <is>
          <t>Козлова</t>
        </is>
      </c>
      <c r="B1210" t="n">
        <v>8</v>
      </c>
      <c r="C1210" s="18">
        <f>'Календарь'!A94</f>
        <v/>
      </c>
      <c r="D1210">
        <f>MONTH(C1210)</f>
        <v/>
      </c>
      <c r="E1210">
        <f>'Календарь'!D94</f>
        <v/>
      </c>
      <c r="F1210">
        <f>INT((C1210-Нед_Начало)/7)+1</f>
        <v/>
      </c>
      <c r="G1210">
        <f>IF(E1210=0,0,INDEX('Планы менеджеров'!$B$5:$M$16,B1210,D1210)/INDEX(Мес_Раб,D1210))</f>
        <v/>
      </c>
    </row>
    <row r="1211">
      <c r="A1211" t="inlineStr">
        <is>
          <t>Козлова</t>
        </is>
      </c>
      <c r="B1211" t="n">
        <v>8</v>
      </c>
      <c r="C1211" s="18">
        <f>'Календарь'!A95</f>
        <v/>
      </c>
      <c r="D1211">
        <f>MONTH(C1211)</f>
        <v/>
      </c>
      <c r="E1211">
        <f>'Календарь'!D95</f>
        <v/>
      </c>
      <c r="F1211">
        <f>INT((C1211-Нед_Начало)/7)+1</f>
        <v/>
      </c>
      <c r="G1211">
        <f>IF(E1211=0,0,INDEX('Планы менеджеров'!$B$5:$M$16,B1211,D1211)/INDEX(Мес_Раб,D1211))</f>
        <v/>
      </c>
    </row>
    <row r="1212">
      <c r="A1212" t="inlineStr">
        <is>
          <t>Козлова</t>
        </is>
      </c>
      <c r="B1212" t="n">
        <v>8</v>
      </c>
      <c r="C1212" s="18">
        <f>'Календарь'!A96</f>
        <v/>
      </c>
      <c r="D1212">
        <f>MONTH(C1212)</f>
        <v/>
      </c>
      <c r="E1212">
        <f>'Календарь'!D96</f>
        <v/>
      </c>
      <c r="F1212">
        <f>INT((C1212-Нед_Начало)/7)+1</f>
        <v/>
      </c>
      <c r="G1212">
        <f>IF(E1212=0,0,INDEX('Планы менеджеров'!$B$5:$M$16,B1212,D1212)/INDEX(Мес_Раб,D1212))</f>
        <v/>
      </c>
    </row>
    <row r="1213">
      <c r="A1213" t="inlineStr">
        <is>
          <t>Козлова</t>
        </is>
      </c>
      <c r="B1213" t="n">
        <v>8</v>
      </c>
      <c r="C1213" s="18">
        <f>'Календарь'!A97</f>
        <v/>
      </c>
      <c r="D1213">
        <f>MONTH(C1213)</f>
        <v/>
      </c>
      <c r="E1213">
        <f>'Календарь'!D97</f>
        <v/>
      </c>
      <c r="F1213">
        <f>INT((C1213-Нед_Начало)/7)+1</f>
        <v/>
      </c>
      <c r="G1213">
        <f>IF(E1213=0,0,INDEX('Планы менеджеров'!$B$5:$M$16,B1213,D1213)/INDEX(Мес_Раб,D1213))</f>
        <v/>
      </c>
    </row>
    <row r="1214">
      <c r="A1214" t="inlineStr">
        <is>
          <t>Козлова</t>
        </is>
      </c>
      <c r="B1214" t="n">
        <v>8</v>
      </c>
      <c r="C1214" s="18">
        <f>'Календарь'!A98</f>
        <v/>
      </c>
      <c r="D1214">
        <f>MONTH(C1214)</f>
        <v/>
      </c>
      <c r="E1214">
        <f>'Календарь'!D98</f>
        <v/>
      </c>
      <c r="F1214">
        <f>INT((C1214-Нед_Начало)/7)+1</f>
        <v/>
      </c>
      <c r="G1214">
        <f>IF(E1214=0,0,INDEX('Планы менеджеров'!$B$5:$M$16,B1214,D1214)/INDEX(Мес_Раб,D1214))</f>
        <v/>
      </c>
    </row>
    <row r="1215">
      <c r="A1215" t="inlineStr">
        <is>
          <t>Козлова</t>
        </is>
      </c>
      <c r="B1215" t="n">
        <v>8</v>
      </c>
      <c r="C1215" s="18">
        <f>'Календарь'!A99</f>
        <v/>
      </c>
      <c r="D1215">
        <f>MONTH(C1215)</f>
        <v/>
      </c>
      <c r="E1215">
        <f>'Календарь'!D99</f>
        <v/>
      </c>
      <c r="F1215">
        <f>INT((C1215-Нед_Начало)/7)+1</f>
        <v/>
      </c>
      <c r="G1215">
        <f>IF(E1215=0,0,INDEX('Планы менеджеров'!$B$5:$M$16,B1215,D1215)/INDEX(Мес_Раб,D1215))</f>
        <v/>
      </c>
    </row>
    <row r="1216">
      <c r="A1216" t="inlineStr">
        <is>
          <t>Козлова</t>
        </is>
      </c>
      <c r="B1216" t="n">
        <v>8</v>
      </c>
      <c r="C1216" s="18">
        <f>'Календарь'!A100</f>
        <v/>
      </c>
      <c r="D1216">
        <f>MONTH(C1216)</f>
        <v/>
      </c>
      <c r="E1216">
        <f>'Календарь'!D100</f>
        <v/>
      </c>
      <c r="F1216">
        <f>INT((C1216-Нед_Начало)/7)+1</f>
        <v/>
      </c>
      <c r="G1216">
        <f>IF(E1216=0,0,INDEX('Планы менеджеров'!$B$5:$M$16,B1216,D1216)/INDEX(Мес_Раб,D1216))</f>
        <v/>
      </c>
    </row>
    <row r="1217">
      <c r="A1217" t="inlineStr">
        <is>
          <t>Козлова</t>
        </is>
      </c>
      <c r="B1217" t="n">
        <v>8</v>
      </c>
      <c r="C1217" s="18">
        <f>'Календарь'!A101</f>
        <v/>
      </c>
      <c r="D1217">
        <f>MONTH(C1217)</f>
        <v/>
      </c>
      <c r="E1217">
        <f>'Календарь'!D101</f>
        <v/>
      </c>
      <c r="F1217">
        <f>INT((C1217-Нед_Начало)/7)+1</f>
        <v/>
      </c>
      <c r="G1217">
        <f>IF(E1217=0,0,INDEX('Планы менеджеров'!$B$5:$M$16,B1217,D1217)/INDEX(Мес_Раб,D1217))</f>
        <v/>
      </c>
    </row>
    <row r="1218">
      <c r="A1218" t="inlineStr">
        <is>
          <t>Козлова</t>
        </is>
      </c>
      <c r="B1218" t="n">
        <v>8</v>
      </c>
      <c r="C1218" s="18">
        <f>'Календарь'!A102</f>
        <v/>
      </c>
      <c r="D1218">
        <f>MONTH(C1218)</f>
        <v/>
      </c>
      <c r="E1218">
        <f>'Календарь'!D102</f>
        <v/>
      </c>
      <c r="F1218">
        <f>INT((C1218-Нед_Начало)/7)+1</f>
        <v/>
      </c>
      <c r="G1218">
        <f>IF(E1218=0,0,INDEX('Планы менеджеров'!$B$5:$M$16,B1218,D1218)/INDEX(Мес_Раб,D1218))</f>
        <v/>
      </c>
    </row>
    <row r="1219">
      <c r="A1219" t="inlineStr">
        <is>
          <t>Козлова</t>
        </is>
      </c>
      <c r="B1219" t="n">
        <v>8</v>
      </c>
      <c r="C1219" s="18">
        <f>'Календарь'!A103</f>
        <v/>
      </c>
      <c r="D1219">
        <f>MONTH(C1219)</f>
        <v/>
      </c>
      <c r="E1219">
        <f>'Календарь'!D103</f>
        <v/>
      </c>
      <c r="F1219">
        <f>INT((C1219-Нед_Начало)/7)+1</f>
        <v/>
      </c>
      <c r="G1219">
        <f>IF(E1219=0,0,INDEX('Планы менеджеров'!$B$5:$M$16,B1219,D1219)/INDEX(Мес_Раб,D1219))</f>
        <v/>
      </c>
    </row>
    <row r="1220">
      <c r="A1220" t="inlineStr">
        <is>
          <t>Козлова</t>
        </is>
      </c>
      <c r="B1220" t="n">
        <v>8</v>
      </c>
      <c r="C1220" s="18">
        <f>'Календарь'!A104</f>
        <v/>
      </c>
      <c r="D1220">
        <f>MONTH(C1220)</f>
        <v/>
      </c>
      <c r="E1220">
        <f>'Календарь'!D104</f>
        <v/>
      </c>
      <c r="F1220">
        <f>INT((C1220-Нед_Начало)/7)+1</f>
        <v/>
      </c>
      <c r="G1220">
        <f>IF(E1220=0,0,INDEX('Планы менеджеров'!$B$5:$M$16,B1220,D1220)/INDEX(Мес_Раб,D1220))</f>
        <v/>
      </c>
    </row>
    <row r="1221">
      <c r="A1221" t="inlineStr">
        <is>
          <t>Козлова</t>
        </is>
      </c>
      <c r="B1221" t="n">
        <v>8</v>
      </c>
      <c r="C1221" s="18">
        <f>'Календарь'!A105</f>
        <v/>
      </c>
      <c r="D1221">
        <f>MONTH(C1221)</f>
        <v/>
      </c>
      <c r="E1221">
        <f>'Календарь'!D105</f>
        <v/>
      </c>
      <c r="F1221">
        <f>INT((C1221-Нед_Начало)/7)+1</f>
        <v/>
      </c>
      <c r="G1221">
        <f>IF(E1221=0,0,INDEX('Планы менеджеров'!$B$5:$M$16,B1221,D1221)/INDEX(Мес_Раб,D1221))</f>
        <v/>
      </c>
    </row>
    <row r="1222">
      <c r="A1222" t="inlineStr">
        <is>
          <t>Козлова</t>
        </is>
      </c>
      <c r="B1222" t="n">
        <v>8</v>
      </c>
      <c r="C1222" s="18">
        <f>'Календарь'!A106</f>
        <v/>
      </c>
      <c r="D1222">
        <f>MONTH(C1222)</f>
        <v/>
      </c>
      <c r="E1222">
        <f>'Календарь'!D106</f>
        <v/>
      </c>
      <c r="F1222">
        <f>INT((C1222-Нед_Начало)/7)+1</f>
        <v/>
      </c>
      <c r="G1222">
        <f>IF(E1222=0,0,INDEX('Планы менеджеров'!$B$5:$M$16,B1222,D1222)/INDEX(Мес_Раб,D1222))</f>
        <v/>
      </c>
    </row>
    <row r="1223">
      <c r="A1223" t="inlineStr">
        <is>
          <t>Козлова</t>
        </is>
      </c>
      <c r="B1223" t="n">
        <v>8</v>
      </c>
      <c r="C1223" s="18">
        <f>'Календарь'!A107</f>
        <v/>
      </c>
      <c r="D1223">
        <f>MONTH(C1223)</f>
        <v/>
      </c>
      <c r="E1223">
        <f>'Календарь'!D107</f>
        <v/>
      </c>
      <c r="F1223">
        <f>INT((C1223-Нед_Начало)/7)+1</f>
        <v/>
      </c>
      <c r="G1223">
        <f>IF(E1223=0,0,INDEX('Планы менеджеров'!$B$5:$M$16,B1223,D1223)/INDEX(Мес_Раб,D1223))</f>
        <v/>
      </c>
    </row>
    <row r="1224">
      <c r="A1224" t="inlineStr">
        <is>
          <t>Козлова</t>
        </is>
      </c>
      <c r="B1224" t="n">
        <v>8</v>
      </c>
      <c r="C1224" s="18">
        <f>'Календарь'!A108</f>
        <v/>
      </c>
      <c r="D1224">
        <f>MONTH(C1224)</f>
        <v/>
      </c>
      <c r="E1224">
        <f>'Календарь'!D108</f>
        <v/>
      </c>
      <c r="F1224">
        <f>INT((C1224-Нед_Начало)/7)+1</f>
        <v/>
      </c>
      <c r="G1224">
        <f>IF(E1224=0,0,INDEX('Планы менеджеров'!$B$5:$M$16,B1224,D1224)/INDEX(Мес_Раб,D1224))</f>
        <v/>
      </c>
    </row>
    <row r="1225">
      <c r="A1225" t="inlineStr">
        <is>
          <t>Козлова</t>
        </is>
      </c>
      <c r="B1225" t="n">
        <v>8</v>
      </c>
      <c r="C1225" s="18">
        <f>'Календарь'!A109</f>
        <v/>
      </c>
      <c r="D1225">
        <f>MONTH(C1225)</f>
        <v/>
      </c>
      <c r="E1225">
        <f>'Календарь'!D109</f>
        <v/>
      </c>
      <c r="F1225">
        <f>INT((C1225-Нед_Начало)/7)+1</f>
        <v/>
      </c>
      <c r="G1225">
        <f>IF(E1225=0,0,INDEX('Планы менеджеров'!$B$5:$M$16,B1225,D1225)/INDEX(Мес_Раб,D1225))</f>
        <v/>
      </c>
    </row>
    <row r="1226">
      <c r="A1226" t="inlineStr">
        <is>
          <t>Козлова</t>
        </is>
      </c>
      <c r="B1226" t="n">
        <v>8</v>
      </c>
      <c r="C1226" s="18">
        <f>'Календарь'!A110</f>
        <v/>
      </c>
      <c r="D1226">
        <f>MONTH(C1226)</f>
        <v/>
      </c>
      <c r="E1226">
        <f>'Календарь'!D110</f>
        <v/>
      </c>
      <c r="F1226">
        <f>INT((C1226-Нед_Начало)/7)+1</f>
        <v/>
      </c>
      <c r="G1226">
        <f>IF(E1226=0,0,INDEX('Планы менеджеров'!$B$5:$M$16,B1226,D1226)/INDEX(Мес_Раб,D1226))</f>
        <v/>
      </c>
    </row>
    <row r="1227">
      <c r="A1227" t="inlineStr">
        <is>
          <t>Козлова</t>
        </is>
      </c>
      <c r="B1227" t="n">
        <v>8</v>
      </c>
      <c r="C1227" s="18">
        <f>'Календарь'!A111</f>
        <v/>
      </c>
      <c r="D1227">
        <f>MONTH(C1227)</f>
        <v/>
      </c>
      <c r="E1227">
        <f>'Календарь'!D111</f>
        <v/>
      </c>
      <c r="F1227">
        <f>INT((C1227-Нед_Начало)/7)+1</f>
        <v/>
      </c>
      <c r="G1227">
        <f>IF(E1227=0,0,INDEX('Планы менеджеров'!$B$5:$M$16,B1227,D1227)/INDEX(Мес_Раб,D1227))</f>
        <v/>
      </c>
    </row>
    <row r="1228">
      <c r="A1228" t="inlineStr">
        <is>
          <t>Козлова</t>
        </is>
      </c>
      <c r="B1228" t="n">
        <v>8</v>
      </c>
      <c r="C1228" s="18">
        <f>'Календарь'!A112</f>
        <v/>
      </c>
      <c r="D1228">
        <f>MONTH(C1228)</f>
        <v/>
      </c>
      <c r="E1228">
        <f>'Календарь'!D112</f>
        <v/>
      </c>
      <c r="F1228">
        <f>INT((C1228-Нед_Начало)/7)+1</f>
        <v/>
      </c>
      <c r="G1228">
        <f>IF(E1228=0,0,INDEX('Планы менеджеров'!$B$5:$M$16,B1228,D1228)/INDEX(Мес_Раб,D1228))</f>
        <v/>
      </c>
    </row>
    <row r="1229">
      <c r="A1229" t="inlineStr">
        <is>
          <t>Козлова</t>
        </is>
      </c>
      <c r="B1229" t="n">
        <v>8</v>
      </c>
      <c r="C1229" s="18">
        <f>'Календарь'!A113</f>
        <v/>
      </c>
      <c r="D1229">
        <f>MONTH(C1229)</f>
        <v/>
      </c>
      <c r="E1229">
        <f>'Календарь'!D113</f>
        <v/>
      </c>
      <c r="F1229">
        <f>INT((C1229-Нед_Начало)/7)+1</f>
        <v/>
      </c>
      <c r="G1229">
        <f>IF(E1229=0,0,INDEX('Планы менеджеров'!$B$5:$M$16,B1229,D1229)/INDEX(Мес_Раб,D1229))</f>
        <v/>
      </c>
    </row>
    <row r="1230">
      <c r="A1230" t="inlineStr">
        <is>
          <t>Козлова</t>
        </is>
      </c>
      <c r="B1230" t="n">
        <v>8</v>
      </c>
      <c r="C1230" s="18">
        <f>'Календарь'!A114</f>
        <v/>
      </c>
      <c r="D1230">
        <f>MONTH(C1230)</f>
        <v/>
      </c>
      <c r="E1230">
        <f>'Календарь'!D114</f>
        <v/>
      </c>
      <c r="F1230">
        <f>INT((C1230-Нед_Начало)/7)+1</f>
        <v/>
      </c>
      <c r="G1230">
        <f>IF(E1230=0,0,INDEX('Планы менеджеров'!$B$5:$M$16,B1230,D1230)/INDEX(Мес_Раб,D1230))</f>
        <v/>
      </c>
    </row>
    <row r="1231">
      <c r="A1231" t="inlineStr">
        <is>
          <t>Козлова</t>
        </is>
      </c>
      <c r="B1231" t="n">
        <v>8</v>
      </c>
      <c r="C1231" s="18">
        <f>'Календарь'!A115</f>
        <v/>
      </c>
      <c r="D1231">
        <f>MONTH(C1231)</f>
        <v/>
      </c>
      <c r="E1231">
        <f>'Календарь'!D115</f>
        <v/>
      </c>
      <c r="F1231">
        <f>INT((C1231-Нед_Начало)/7)+1</f>
        <v/>
      </c>
      <c r="G1231">
        <f>IF(E1231=0,0,INDEX('Планы менеджеров'!$B$5:$M$16,B1231,D1231)/INDEX(Мес_Раб,D1231))</f>
        <v/>
      </c>
    </row>
    <row r="1232">
      <c r="A1232" t="inlineStr">
        <is>
          <t>Козлова</t>
        </is>
      </c>
      <c r="B1232" t="n">
        <v>8</v>
      </c>
      <c r="C1232" s="18">
        <f>'Календарь'!A116</f>
        <v/>
      </c>
      <c r="D1232">
        <f>MONTH(C1232)</f>
        <v/>
      </c>
      <c r="E1232">
        <f>'Календарь'!D116</f>
        <v/>
      </c>
      <c r="F1232">
        <f>INT((C1232-Нед_Начало)/7)+1</f>
        <v/>
      </c>
      <c r="G1232">
        <f>IF(E1232=0,0,INDEX('Планы менеджеров'!$B$5:$M$16,B1232,D1232)/INDEX(Мес_Раб,D1232))</f>
        <v/>
      </c>
    </row>
    <row r="1233">
      <c r="A1233" t="inlineStr">
        <is>
          <t>Козлова</t>
        </is>
      </c>
      <c r="B1233" t="n">
        <v>8</v>
      </c>
      <c r="C1233" s="18">
        <f>'Календарь'!A117</f>
        <v/>
      </c>
      <c r="D1233">
        <f>MONTH(C1233)</f>
        <v/>
      </c>
      <c r="E1233">
        <f>'Календарь'!D117</f>
        <v/>
      </c>
      <c r="F1233">
        <f>INT((C1233-Нед_Начало)/7)+1</f>
        <v/>
      </c>
      <c r="G1233">
        <f>IF(E1233=0,0,INDEX('Планы менеджеров'!$B$5:$M$16,B1233,D1233)/INDEX(Мес_Раб,D1233))</f>
        <v/>
      </c>
    </row>
    <row r="1234">
      <c r="A1234" t="inlineStr">
        <is>
          <t>Козлова</t>
        </is>
      </c>
      <c r="B1234" t="n">
        <v>8</v>
      </c>
      <c r="C1234" s="18">
        <f>'Календарь'!A118</f>
        <v/>
      </c>
      <c r="D1234">
        <f>MONTH(C1234)</f>
        <v/>
      </c>
      <c r="E1234">
        <f>'Календарь'!D118</f>
        <v/>
      </c>
      <c r="F1234">
        <f>INT((C1234-Нед_Начало)/7)+1</f>
        <v/>
      </c>
      <c r="G1234">
        <f>IF(E1234=0,0,INDEX('Планы менеджеров'!$B$5:$M$16,B1234,D1234)/INDEX(Мес_Раб,D1234))</f>
        <v/>
      </c>
    </row>
    <row r="1235">
      <c r="A1235" t="inlineStr">
        <is>
          <t>Козлова</t>
        </is>
      </c>
      <c r="B1235" t="n">
        <v>8</v>
      </c>
      <c r="C1235" s="18">
        <f>'Календарь'!A119</f>
        <v/>
      </c>
      <c r="D1235">
        <f>MONTH(C1235)</f>
        <v/>
      </c>
      <c r="E1235">
        <f>'Календарь'!D119</f>
        <v/>
      </c>
      <c r="F1235">
        <f>INT((C1235-Нед_Начало)/7)+1</f>
        <v/>
      </c>
      <c r="G1235">
        <f>IF(E1235=0,0,INDEX('Планы менеджеров'!$B$5:$M$16,B1235,D1235)/INDEX(Мес_Раб,D1235))</f>
        <v/>
      </c>
    </row>
    <row r="1236">
      <c r="A1236" t="inlineStr">
        <is>
          <t>Козлова</t>
        </is>
      </c>
      <c r="B1236" t="n">
        <v>8</v>
      </c>
      <c r="C1236" s="18">
        <f>'Календарь'!A120</f>
        <v/>
      </c>
      <c r="D1236">
        <f>MONTH(C1236)</f>
        <v/>
      </c>
      <c r="E1236">
        <f>'Календарь'!D120</f>
        <v/>
      </c>
      <c r="F1236">
        <f>INT((C1236-Нед_Начало)/7)+1</f>
        <v/>
      </c>
      <c r="G1236">
        <f>IF(E1236=0,0,INDEX('Планы менеджеров'!$B$5:$M$16,B1236,D1236)/INDEX(Мес_Раб,D1236))</f>
        <v/>
      </c>
    </row>
    <row r="1237">
      <c r="A1237" t="inlineStr">
        <is>
          <t>Козлова</t>
        </is>
      </c>
      <c r="B1237" t="n">
        <v>8</v>
      </c>
      <c r="C1237" s="18">
        <f>'Календарь'!A121</f>
        <v/>
      </c>
      <c r="D1237">
        <f>MONTH(C1237)</f>
        <v/>
      </c>
      <c r="E1237">
        <f>'Календарь'!D121</f>
        <v/>
      </c>
      <c r="F1237">
        <f>INT((C1237-Нед_Начало)/7)+1</f>
        <v/>
      </c>
      <c r="G1237">
        <f>IF(E1237=0,0,INDEX('Планы менеджеров'!$B$5:$M$16,B1237,D1237)/INDEX(Мес_Раб,D1237))</f>
        <v/>
      </c>
    </row>
    <row r="1238">
      <c r="A1238" t="inlineStr">
        <is>
          <t>Козлова</t>
        </is>
      </c>
      <c r="B1238" t="n">
        <v>8</v>
      </c>
      <c r="C1238" s="18">
        <f>'Календарь'!A122</f>
        <v/>
      </c>
      <c r="D1238">
        <f>MONTH(C1238)</f>
        <v/>
      </c>
      <c r="E1238">
        <f>'Календарь'!D122</f>
        <v/>
      </c>
      <c r="F1238">
        <f>INT((C1238-Нед_Начало)/7)+1</f>
        <v/>
      </c>
      <c r="G1238">
        <f>IF(E1238=0,0,INDEX('Планы менеджеров'!$B$5:$M$16,B1238,D1238)/INDEX(Мес_Раб,D1238))</f>
        <v/>
      </c>
    </row>
    <row r="1239">
      <c r="A1239" t="inlineStr">
        <is>
          <t>Козлова</t>
        </is>
      </c>
      <c r="B1239" t="n">
        <v>8</v>
      </c>
      <c r="C1239" s="18">
        <f>'Календарь'!A123</f>
        <v/>
      </c>
      <c r="D1239">
        <f>MONTH(C1239)</f>
        <v/>
      </c>
      <c r="E1239">
        <f>'Календарь'!D123</f>
        <v/>
      </c>
      <c r="F1239">
        <f>INT((C1239-Нед_Начало)/7)+1</f>
        <v/>
      </c>
      <c r="G1239">
        <f>IF(E1239=0,0,INDEX('Планы менеджеров'!$B$5:$M$16,B1239,D1239)/INDEX(Мес_Раб,D1239))</f>
        <v/>
      </c>
    </row>
    <row r="1240">
      <c r="A1240" t="inlineStr">
        <is>
          <t>Козлова</t>
        </is>
      </c>
      <c r="B1240" t="n">
        <v>8</v>
      </c>
      <c r="C1240" s="18">
        <f>'Календарь'!A124</f>
        <v/>
      </c>
      <c r="D1240">
        <f>MONTH(C1240)</f>
        <v/>
      </c>
      <c r="E1240">
        <f>'Календарь'!D124</f>
        <v/>
      </c>
      <c r="F1240">
        <f>INT((C1240-Нед_Начало)/7)+1</f>
        <v/>
      </c>
      <c r="G1240">
        <f>IF(E1240=0,0,INDEX('Планы менеджеров'!$B$5:$M$16,B1240,D1240)/INDEX(Мес_Раб,D1240))</f>
        <v/>
      </c>
    </row>
    <row r="1241">
      <c r="A1241" t="inlineStr">
        <is>
          <t>Козлова</t>
        </is>
      </c>
      <c r="B1241" t="n">
        <v>8</v>
      </c>
      <c r="C1241" s="18">
        <f>'Календарь'!A125</f>
        <v/>
      </c>
      <c r="D1241">
        <f>MONTH(C1241)</f>
        <v/>
      </c>
      <c r="E1241">
        <f>'Календарь'!D125</f>
        <v/>
      </c>
      <c r="F1241">
        <f>INT((C1241-Нед_Начало)/7)+1</f>
        <v/>
      </c>
      <c r="G1241">
        <f>IF(E1241=0,0,INDEX('Планы менеджеров'!$B$5:$M$16,B1241,D1241)/INDEX(Мес_Раб,D1241))</f>
        <v/>
      </c>
    </row>
    <row r="1242">
      <c r="A1242" t="inlineStr">
        <is>
          <t>Козлова</t>
        </is>
      </c>
      <c r="B1242" t="n">
        <v>8</v>
      </c>
      <c r="C1242" s="18">
        <f>'Календарь'!A126</f>
        <v/>
      </c>
      <c r="D1242">
        <f>MONTH(C1242)</f>
        <v/>
      </c>
      <c r="E1242">
        <f>'Календарь'!D126</f>
        <v/>
      </c>
      <c r="F1242">
        <f>INT((C1242-Нед_Начало)/7)+1</f>
        <v/>
      </c>
      <c r="G1242">
        <f>IF(E1242=0,0,INDEX('Планы менеджеров'!$B$5:$M$16,B1242,D1242)/INDEX(Мес_Раб,D1242))</f>
        <v/>
      </c>
    </row>
    <row r="1243">
      <c r="A1243" t="inlineStr">
        <is>
          <t>Козлова</t>
        </is>
      </c>
      <c r="B1243" t="n">
        <v>8</v>
      </c>
      <c r="C1243" s="18">
        <f>'Календарь'!A127</f>
        <v/>
      </c>
      <c r="D1243">
        <f>MONTH(C1243)</f>
        <v/>
      </c>
      <c r="E1243">
        <f>'Календарь'!D127</f>
        <v/>
      </c>
      <c r="F1243">
        <f>INT((C1243-Нед_Начало)/7)+1</f>
        <v/>
      </c>
      <c r="G1243">
        <f>IF(E1243=0,0,INDEX('Планы менеджеров'!$B$5:$M$16,B1243,D1243)/INDEX(Мес_Раб,D1243))</f>
        <v/>
      </c>
    </row>
    <row r="1244">
      <c r="A1244" t="inlineStr">
        <is>
          <t>Козлова</t>
        </is>
      </c>
      <c r="B1244" t="n">
        <v>8</v>
      </c>
      <c r="C1244" s="18">
        <f>'Календарь'!A128</f>
        <v/>
      </c>
      <c r="D1244">
        <f>MONTH(C1244)</f>
        <v/>
      </c>
      <c r="E1244">
        <f>'Календарь'!D128</f>
        <v/>
      </c>
      <c r="F1244">
        <f>INT((C1244-Нед_Начало)/7)+1</f>
        <v/>
      </c>
      <c r="G1244">
        <f>IF(E1244=0,0,INDEX('Планы менеджеров'!$B$5:$M$16,B1244,D1244)/INDEX(Мес_Раб,D1244))</f>
        <v/>
      </c>
    </row>
    <row r="1245">
      <c r="A1245" t="inlineStr">
        <is>
          <t>Козлова</t>
        </is>
      </c>
      <c r="B1245" t="n">
        <v>8</v>
      </c>
      <c r="C1245" s="18">
        <f>'Календарь'!A129</f>
        <v/>
      </c>
      <c r="D1245">
        <f>MONTH(C1245)</f>
        <v/>
      </c>
      <c r="E1245">
        <f>'Календарь'!D129</f>
        <v/>
      </c>
      <c r="F1245">
        <f>INT((C1245-Нед_Начало)/7)+1</f>
        <v/>
      </c>
      <c r="G1245">
        <f>IF(E1245=0,0,INDEX('Планы менеджеров'!$B$5:$M$16,B1245,D1245)/INDEX(Мес_Раб,D1245))</f>
        <v/>
      </c>
    </row>
    <row r="1246">
      <c r="A1246" t="inlineStr">
        <is>
          <t>Козлова</t>
        </is>
      </c>
      <c r="B1246" t="n">
        <v>8</v>
      </c>
      <c r="C1246" s="18">
        <f>'Календарь'!A130</f>
        <v/>
      </c>
      <c r="D1246">
        <f>MONTH(C1246)</f>
        <v/>
      </c>
      <c r="E1246">
        <f>'Календарь'!D130</f>
        <v/>
      </c>
      <c r="F1246">
        <f>INT((C1246-Нед_Начало)/7)+1</f>
        <v/>
      </c>
      <c r="G1246">
        <f>IF(E1246=0,0,INDEX('Планы менеджеров'!$B$5:$M$16,B1246,D1246)/INDEX(Мес_Раб,D1246))</f>
        <v/>
      </c>
    </row>
    <row r="1247">
      <c r="A1247" t="inlineStr">
        <is>
          <t>Козлова</t>
        </is>
      </c>
      <c r="B1247" t="n">
        <v>8</v>
      </c>
      <c r="C1247" s="18">
        <f>'Календарь'!A131</f>
        <v/>
      </c>
      <c r="D1247">
        <f>MONTH(C1247)</f>
        <v/>
      </c>
      <c r="E1247">
        <f>'Календарь'!D131</f>
        <v/>
      </c>
      <c r="F1247">
        <f>INT((C1247-Нед_Начало)/7)+1</f>
        <v/>
      </c>
      <c r="G1247">
        <f>IF(E1247=0,0,INDEX('Планы менеджеров'!$B$5:$M$16,B1247,D1247)/INDEX(Мес_Раб,D1247))</f>
        <v/>
      </c>
    </row>
    <row r="1248">
      <c r="A1248" t="inlineStr">
        <is>
          <t>Козлова</t>
        </is>
      </c>
      <c r="B1248" t="n">
        <v>8</v>
      </c>
      <c r="C1248" s="18">
        <f>'Календарь'!A132</f>
        <v/>
      </c>
      <c r="D1248">
        <f>MONTH(C1248)</f>
        <v/>
      </c>
      <c r="E1248">
        <f>'Календарь'!D132</f>
        <v/>
      </c>
      <c r="F1248">
        <f>INT((C1248-Нед_Начало)/7)+1</f>
        <v/>
      </c>
      <c r="G1248">
        <f>IF(E1248=0,0,INDEX('Планы менеджеров'!$B$5:$M$16,B1248,D1248)/INDEX(Мес_Раб,D1248))</f>
        <v/>
      </c>
    </row>
    <row r="1249">
      <c r="A1249" t="inlineStr">
        <is>
          <t>Козлова</t>
        </is>
      </c>
      <c r="B1249" t="n">
        <v>8</v>
      </c>
      <c r="C1249" s="18">
        <f>'Календарь'!A133</f>
        <v/>
      </c>
      <c r="D1249">
        <f>MONTH(C1249)</f>
        <v/>
      </c>
      <c r="E1249">
        <f>'Календарь'!D133</f>
        <v/>
      </c>
      <c r="F1249">
        <f>INT((C1249-Нед_Начало)/7)+1</f>
        <v/>
      </c>
      <c r="G1249">
        <f>IF(E1249=0,0,INDEX('Планы менеджеров'!$B$5:$M$16,B1249,D1249)/INDEX(Мес_Раб,D1249))</f>
        <v/>
      </c>
    </row>
    <row r="1250">
      <c r="A1250" t="inlineStr">
        <is>
          <t>Козлова</t>
        </is>
      </c>
      <c r="B1250" t="n">
        <v>8</v>
      </c>
      <c r="C1250" s="18">
        <f>'Календарь'!A134</f>
        <v/>
      </c>
      <c r="D1250">
        <f>MONTH(C1250)</f>
        <v/>
      </c>
      <c r="E1250">
        <f>'Календарь'!D134</f>
        <v/>
      </c>
      <c r="F1250">
        <f>INT((C1250-Нед_Начало)/7)+1</f>
        <v/>
      </c>
      <c r="G1250">
        <f>IF(E1250=0,0,INDEX('Планы менеджеров'!$B$5:$M$16,B1250,D1250)/INDEX(Мес_Раб,D1250))</f>
        <v/>
      </c>
    </row>
    <row r="1251">
      <c r="A1251" t="inlineStr">
        <is>
          <t>Козлова</t>
        </is>
      </c>
      <c r="B1251" t="n">
        <v>8</v>
      </c>
      <c r="C1251" s="18">
        <f>'Календарь'!A135</f>
        <v/>
      </c>
      <c r="D1251">
        <f>MONTH(C1251)</f>
        <v/>
      </c>
      <c r="E1251">
        <f>'Календарь'!D135</f>
        <v/>
      </c>
      <c r="F1251">
        <f>INT((C1251-Нед_Начало)/7)+1</f>
        <v/>
      </c>
      <c r="G1251">
        <f>IF(E1251=0,0,INDEX('Планы менеджеров'!$B$5:$M$16,B1251,D1251)/INDEX(Мес_Раб,D1251))</f>
        <v/>
      </c>
    </row>
    <row r="1252">
      <c r="A1252" t="inlineStr">
        <is>
          <t>Козлова</t>
        </is>
      </c>
      <c r="B1252" t="n">
        <v>8</v>
      </c>
      <c r="C1252" s="18">
        <f>'Календарь'!A136</f>
        <v/>
      </c>
      <c r="D1252">
        <f>MONTH(C1252)</f>
        <v/>
      </c>
      <c r="E1252">
        <f>'Календарь'!D136</f>
        <v/>
      </c>
      <c r="F1252">
        <f>INT((C1252-Нед_Начало)/7)+1</f>
        <v/>
      </c>
      <c r="G1252">
        <f>IF(E1252=0,0,INDEX('Планы менеджеров'!$B$5:$M$16,B1252,D1252)/INDEX(Мес_Раб,D1252))</f>
        <v/>
      </c>
    </row>
    <row r="1253">
      <c r="A1253" t="inlineStr">
        <is>
          <t>Козлова</t>
        </is>
      </c>
      <c r="B1253" t="n">
        <v>8</v>
      </c>
      <c r="C1253" s="18">
        <f>'Календарь'!A137</f>
        <v/>
      </c>
      <c r="D1253">
        <f>MONTH(C1253)</f>
        <v/>
      </c>
      <c r="E1253">
        <f>'Календарь'!D137</f>
        <v/>
      </c>
      <c r="F1253">
        <f>INT((C1253-Нед_Начало)/7)+1</f>
        <v/>
      </c>
      <c r="G1253">
        <f>IF(E1253=0,0,INDEX('Планы менеджеров'!$B$5:$M$16,B1253,D1253)/INDEX(Мес_Раб,D1253))</f>
        <v/>
      </c>
    </row>
    <row r="1254">
      <c r="A1254" t="inlineStr">
        <is>
          <t>Козлова</t>
        </is>
      </c>
      <c r="B1254" t="n">
        <v>8</v>
      </c>
      <c r="C1254" s="18">
        <f>'Календарь'!A138</f>
        <v/>
      </c>
      <c r="D1254">
        <f>MONTH(C1254)</f>
        <v/>
      </c>
      <c r="E1254">
        <f>'Календарь'!D138</f>
        <v/>
      </c>
      <c r="F1254">
        <f>INT((C1254-Нед_Начало)/7)+1</f>
        <v/>
      </c>
      <c r="G1254">
        <f>IF(E1254=0,0,INDEX('Планы менеджеров'!$B$5:$M$16,B1254,D1254)/INDEX(Мес_Раб,D1254))</f>
        <v/>
      </c>
    </row>
    <row r="1255">
      <c r="A1255" t="inlineStr">
        <is>
          <t>Козлова</t>
        </is>
      </c>
      <c r="B1255" t="n">
        <v>8</v>
      </c>
      <c r="C1255" s="18">
        <f>'Календарь'!A139</f>
        <v/>
      </c>
      <c r="D1255">
        <f>MONTH(C1255)</f>
        <v/>
      </c>
      <c r="E1255">
        <f>'Календарь'!D139</f>
        <v/>
      </c>
      <c r="F1255">
        <f>INT((C1255-Нед_Начало)/7)+1</f>
        <v/>
      </c>
      <c r="G1255">
        <f>IF(E1255=0,0,INDEX('Планы менеджеров'!$B$5:$M$16,B1255,D1255)/INDEX(Мес_Раб,D1255))</f>
        <v/>
      </c>
    </row>
    <row r="1256">
      <c r="A1256" t="inlineStr">
        <is>
          <t>Козлова</t>
        </is>
      </c>
      <c r="B1256" t="n">
        <v>8</v>
      </c>
      <c r="C1256" s="18">
        <f>'Календарь'!A140</f>
        <v/>
      </c>
      <c r="D1256">
        <f>MONTH(C1256)</f>
        <v/>
      </c>
      <c r="E1256">
        <f>'Календарь'!D140</f>
        <v/>
      </c>
      <c r="F1256">
        <f>INT((C1256-Нед_Начало)/7)+1</f>
        <v/>
      </c>
      <c r="G1256">
        <f>IF(E1256=0,0,INDEX('Планы менеджеров'!$B$5:$M$16,B1256,D1256)/INDEX(Мес_Раб,D1256))</f>
        <v/>
      </c>
    </row>
    <row r="1257">
      <c r="A1257" t="inlineStr">
        <is>
          <t>Козлова</t>
        </is>
      </c>
      <c r="B1257" t="n">
        <v>8</v>
      </c>
      <c r="C1257" s="18">
        <f>'Календарь'!A141</f>
        <v/>
      </c>
      <c r="D1257">
        <f>MONTH(C1257)</f>
        <v/>
      </c>
      <c r="E1257">
        <f>'Календарь'!D141</f>
        <v/>
      </c>
      <c r="F1257">
        <f>INT((C1257-Нед_Начало)/7)+1</f>
        <v/>
      </c>
      <c r="G1257">
        <f>IF(E1257=0,0,INDEX('Планы менеджеров'!$B$5:$M$16,B1257,D1257)/INDEX(Мес_Раб,D1257))</f>
        <v/>
      </c>
    </row>
    <row r="1258">
      <c r="A1258" t="inlineStr">
        <is>
          <t>Козлова</t>
        </is>
      </c>
      <c r="B1258" t="n">
        <v>8</v>
      </c>
      <c r="C1258" s="18">
        <f>'Календарь'!A142</f>
        <v/>
      </c>
      <c r="D1258">
        <f>MONTH(C1258)</f>
        <v/>
      </c>
      <c r="E1258">
        <f>'Календарь'!D142</f>
        <v/>
      </c>
      <c r="F1258">
        <f>INT((C1258-Нед_Начало)/7)+1</f>
        <v/>
      </c>
      <c r="G1258">
        <f>IF(E1258=0,0,INDEX('Планы менеджеров'!$B$5:$M$16,B1258,D1258)/INDEX(Мес_Раб,D1258))</f>
        <v/>
      </c>
    </row>
    <row r="1259">
      <c r="A1259" t="inlineStr">
        <is>
          <t>Козлова</t>
        </is>
      </c>
      <c r="B1259" t="n">
        <v>8</v>
      </c>
      <c r="C1259" s="18">
        <f>'Календарь'!A143</f>
        <v/>
      </c>
      <c r="D1259">
        <f>MONTH(C1259)</f>
        <v/>
      </c>
      <c r="E1259">
        <f>'Календарь'!D143</f>
        <v/>
      </c>
      <c r="F1259">
        <f>INT((C1259-Нед_Начало)/7)+1</f>
        <v/>
      </c>
      <c r="G1259">
        <f>IF(E1259=0,0,INDEX('Планы менеджеров'!$B$5:$M$16,B1259,D1259)/INDEX(Мес_Раб,D1259))</f>
        <v/>
      </c>
    </row>
    <row r="1260">
      <c r="A1260" t="inlineStr">
        <is>
          <t>Козлова</t>
        </is>
      </c>
      <c r="B1260" t="n">
        <v>8</v>
      </c>
      <c r="C1260" s="18">
        <f>'Календарь'!A144</f>
        <v/>
      </c>
      <c r="D1260">
        <f>MONTH(C1260)</f>
        <v/>
      </c>
      <c r="E1260">
        <f>'Календарь'!D144</f>
        <v/>
      </c>
      <c r="F1260">
        <f>INT((C1260-Нед_Начало)/7)+1</f>
        <v/>
      </c>
      <c r="G1260">
        <f>IF(E1260=0,0,INDEX('Планы менеджеров'!$B$5:$M$16,B1260,D1260)/INDEX(Мес_Раб,D1260))</f>
        <v/>
      </c>
    </row>
    <row r="1261">
      <c r="A1261" t="inlineStr">
        <is>
          <t>Козлова</t>
        </is>
      </c>
      <c r="B1261" t="n">
        <v>8</v>
      </c>
      <c r="C1261" s="18">
        <f>'Календарь'!A145</f>
        <v/>
      </c>
      <c r="D1261">
        <f>MONTH(C1261)</f>
        <v/>
      </c>
      <c r="E1261">
        <f>'Календарь'!D145</f>
        <v/>
      </c>
      <c r="F1261">
        <f>INT((C1261-Нед_Начало)/7)+1</f>
        <v/>
      </c>
      <c r="G1261">
        <f>IF(E1261=0,0,INDEX('Планы менеджеров'!$B$5:$M$16,B1261,D1261)/INDEX(Мес_Раб,D1261))</f>
        <v/>
      </c>
    </row>
    <row r="1262">
      <c r="A1262" t="inlineStr">
        <is>
          <t>Козлова</t>
        </is>
      </c>
      <c r="B1262" t="n">
        <v>8</v>
      </c>
      <c r="C1262" s="18">
        <f>'Календарь'!A146</f>
        <v/>
      </c>
      <c r="D1262">
        <f>MONTH(C1262)</f>
        <v/>
      </c>
      <c r="E1262">
        <f>'Календарь'!D146</f>
        <v/>
      </c>
      <c r="F1262">
        <f>INT((C1262-Нед_Начало)/7)+1</f>
        <v/>
      </c>
      <c r="G1262">
        <f>IF(E1262=0,0,INDEX('Планы менеджеров'!$B$5:$M$16,B1262,D1262)/INDEX(Мес_Раб,D1262))</f>
        <v/>
      </c>
    </row>
    <row r="1263">
      <c r="A1263" t="inlineStr">
        <is>
          <t>Козлова</t>
        </is>
      </c>
      <c r="B1263" t="n">
        <v>8</v>
      </c>
      <c r="C1263" s="18">
        <f>'Календарь'!A147</f>
        <v/>
      </c>
      <c r="D1263">
        <f>MONTH(C1263)</f>
        <v/>
      </c>
      <c r="E1263">
        <f>'Календарь'!D147</f>
        <v/>
      </c>
      <c r="F1263">
        <f>INT((C1263-Нед_Начало)/7)+1</f>
        <v/>
      </c>
      <c r="G1263">
        <f>IF(E1263=0,0,INDEX('Планы менеджеров'!$B$5:$M$16,B1263,D1263)/INDEX(Мес_Раб,D1263))</f>
        <v/>
      </c>
    </row>
    <row r="1264">
      <c r="A1264" t="inlineStr">
        <is>
          <t>Козлова</t>
        </is>
      </c>
      <c r="B1264" t="n">
        <v>8</v>
      </c>
      <c r="C1264" s="18">
        <f>'Календарь'!A148</f>
        <v/>
      </c>
      <c r="D1264">
        <f>MONTH(C1264)</f>
        <v/>
      </c>
      <c r="E1264">
        <f>'Календарь'!D148</f>
        <v/>
      </c>
      <c r="F1264">
        <f>INT((C1264-Нед_Начало)/7)+1</f>
        <v/>
      </c>
      <c r="G1264">
        <f>IF(E1264=0,0,INDEX('Планы менеджеров'!$B$5:$M$16,B1264,D1264)/INDEX(Мес_Раб,D1264))</f>
        <v/>
      </c>
    </row>
    <row r="1265">
      <c r="A1265" t="inlineStr">
        <is>
          <t>Козлова</t>
        </is>
      </c>
      <c r="B1265" t="n">
        <v>8</v>
      </c>
      <c r="C1265" s="18">
        <f>'Календарь'!A149</f>
        <v/>
      </c>
      <c r="D1265">
        <f>MONTH(C1265)</f>
        <v/>
      </c>
      <c r="E1265">
        <f>'Календарь'!D149</f>
        <v/>
      </c>
      <c r="F1265">
        <f>INT((C1265-Нед_Начало)/7)+1</f>
        <v/>
      </c>
      <c r="G1265">
        <f>IF(E1265=0,0,INDEX('Планы менеджеров'!$B$5:$M$16,B1265,D1265)/INDEX(Мес_Раб,D1265))</f>
        <v/>
      </c>
    </row>
    <row r="1266">
      <c r="A1266" t="inlineStr">
        <is>
          <t>Козлова</t>
        </is>
      </c>
      <c r="B1266" t="n">
        <v>8</v>
      </c>
      <c r="C1266" s="18">
        <f>'Календарь'!A150</f>
        <v/>
      </c>
      <c r="D1266">
        <f>MONTH(C1266)</f>
        <v/>
      </c>
      <c r="E1266">
        <f>'Календарь'!D150</f>
        <v/>
      </c>
      <c r="F1266">
        <f>INT((C1266-Нед_Начало)/7)+1</f>
        <v/>
      </c>
      <c r="G1266">
        <f>IF(E1266=0,0,INDEX('Планы менеджеров'!$B$5:$M$16,B1266,D1266)/INDEX(Мес_Раб,D1266))</f>
        <v/>
      </c>
    </row>
    <row r="1267">
      <c r="A1267" t="inlineStr">
        <is>
          <t>Козлова</t>
        </is>
      </c>
      <c r="B1267" t="n">
        <v>8</v>
      </c>
      <c r="C1267" s="18">
        <f>'Календарь'!A151</f>
        <v/>
      </c>
      <c r="D1267">
        <f>MONTH(C1267)</f>
        <v/>
      </c>
      <c r="E1267">
        <f>'Календарь'!D151</f>
        <v/>
      </c>
      <c r="F1267">
        <f>INT((C1267-Нед_Начало)/7)+1</f>
        <v/>
      </c>
      <c r="G1267">
        <f>IF(E1267=0,0,INDEX('Планы менеджеров'!$B$5:$M$16,B1267,D1267)/INDEX(Мес_Раб,D1267))</f>
        <v/>
      </c>
    </row>
    <row r="1268">
      <c r="A1268" t="inlineStr">
        <is>
          <t>Козлова</t>
        </is>
      </c>
      <c r="B1268" t="n">
        <v>8</v>
      </c>
      <c r="C1268" s="18">
        <f>'Календарь'!A152</f>
        <v/>
      </c>
      <c r="D1268">
        <f>MONTH(C1268)</f>
        <v/>
      </c>
      <c r="E1268">
        <f>'Календарь'!D152</f>
        <v/>
      </c>
      <c r="F1268">
        <f>INT((C1268-Нед_Начало)/7)+1</f>
        <v/>
      </c>
      <c r="G1268">
        <f>IF(E1268=0,0,INDEX('Планы менеджеров'!$B$5:$M$16,B1268,D1268)/INDEX(Мес_Раб,D1268))</f>
        <v/>
      </c>
    </row>
    <row r="1269">
      <c r="A1269" t="inlineStr">
        <is>
          <t>Козлова</t>
        </is>
      </c>
      <c r="B1269" t="n">
        <v>8</v>
      </c>
      <c r="C1269" s="18">
        <f>'Календарь'!A153</f>
        <v/>
      </c>
      <c r="D1269">
        <f>MONTH(C1269)</f>
        <v/>
      </c>
      <c r="E1269">
        <f>'Календарь'!D153</f>
        <v/>
      </c>
      <c r="F1269">
        <f>INT((C1269-Нед_Начало)/7)+1</f>
        <v/>
      </c>
      <c r="G1269">
        <f>IF(E1269=0,0,INDEX('Планы менеджеров'!$B$5:$M$16,B1269,D1269)/INDEX(Мес_Раб,D1269))</f>
        <v/>
      </c>
    </row>
    <row r="1270">
      <c r="A1270" t="inlineStr">
        <is>
          <t>Козлова</t>
        </is>
      </c>
      <c r="B1270" t="n">
        <v>8</v>
      </c>
      <c r="C1270" s="18">
        <f>'Календарь'!A154</f>
        <v/>
      </c>
      <c r="D1270">
        <f>MONTH(C1270)</f>
        <v/>
      </c>
      <c r="E1270">
        <f>'Календарь'!D154</f>
        <v/>
      </c>
      <c r="F1270">
        <f>INT((C1270-Нед_Начало)/7)+1</f>
        <v/>
      </c>
      <c r="G1270">
        <f>IF(E1270=0,0,INDEX('Планы менеджеров'!$B$5:$M$16,B1270,D1270)/INDEX(Мес_Раб,D1270))</f>
        <v/>
      </c>
    </row>
    <row r="1271">
      <c r="A1271" t="inlineStr">
        <is>
          <t>Козлова</t>
        </is>
      </c>
      <c r="B1271" t="n">
        <v>8</v>
      </c>
      <c r="C1271" s="18">
        <f>'Календарь'!A155</f>
        <v/>
      </c>
      <c r="D1271">
        <f>MONTH(C1271)</f>
        <v/>
      </c>
      <c r="E1271">
        <f>'Календарь'!D155</f>
        <v/>
      </c>
      <c r="F1271">
        <f>INT((C1271-Нед_Начало)/7)+1</f>
        <v/>
      </c>
      <c r="G1271">
        <f>IF(E1271=0,0,INDEX('Планы менеджеров'!$B$5:$M$16,B1271,D1271)/INDEX(Мес_Раб,D1271))</f>
        <v/>
      </c>
    </row>
    <row r="1272">
      <c r="A1272" t="inlineStr">
        <is>
          <t>Козлова</t>
        </is>
      </c>
      <c r="B1272" t="n">
        <v>8</v>
      </c>
      <c r="C1272" s="18">
        <f>'Календарь'!A156</f>
        <v/>
      </c>
      <c r="D1272">
        <f>MONTH(C1272)</f>
        <v/>
      </c>
      <c r="E1272">
        <f>'Календарь'!D156</f>
        <v/>
      </c>
      <c r="F1272">
        <f>INT((C1272-Нед_Начало)/7)+1</f>
        <v/>
      </c>
      <c r="G1272">
        <f>IF(E1272=0,0,INDEX('Планы менеджеров'!$B$5:$M$16,B1272,D1272)/INDEX(Мес_Раб,D1272))</f>
        <v/>
      </c>
    </row>
    <row r="1273">
      <c r="A1273" t="inlineStr">
        <is>
          <t>Козлова</t>
        </is>
      </c>
      <c r="B1273" t="n">
        <v>8</v>
      </c>
      <c r="C1273" s="18">
        <f>'Календарь'!A157</f>
        <v/>
      </c>
      <c r="D1273">
        <f>MONTH(C1273)</f>
        <v/>
      </c>
      <c r="E1273">
        <f>'Календарь'!D157</f>
        <v/>
      </c>
      <c r="F1273">
        <f>INT((C1273-Нед_Начало)/7)+1</f>
        <v/>
      </c>
      <c r="G1273">
        <f>IF(E1273=0,0,INDEX('Планы менеджеров'!$B$5:$M$16,B1273,D1273)/INDEX(Мес_Раб,D1273))</f>
        <v/>
      </c>
    </row>
    <row r="1274">
      <c r="A1274" t="inlineStr">
        <is>
          <t>Козлова</t>
        </is>
      </c>
      <c r="B1274" t="n">
        <v>8</v>
      </c>
      <c r="C1274" s="18">
        <f>'Календарь'!A158</f>
        <v/>
      </c>
      <c r="D1274">
        <f>MONTH(C1274)</f>
        <v/>
      </c>
      <c r="E1274">
        <f>'Календарь'!D158</f>
        <v/>
      </c>
      <c r="F1274">
        <f>INT((C1274-Нед_Начало)/7)+1</f>
        <v/>
      </c>
      <c r="G1274">
        <f>IF(E1274=0,0,INDEX('Планы менеджеров'!$B$5:$M$16,B1274,D1274)/INDEX(Мес_Раб,D1274))</f>
        <v/>
      </c>
    </row>
    <row r="1275">
      <c r="A1275" t="inlineStr">
        <is>
          <t>Козлова</t>
        </is>
      </c>
      <c r="B1275" t="n">
        <v>8</v>
      </c>
      <c r="C1275" s="18">
        <f>'Календарь'!A159</f>
        <v/>
      </c>
      <c r="D1275">
        <f>MONTH(C1275)</f>
        <v/>
      </c>
      <c r="E1275">
        <f>'Календарь'!D159</f>
        <v/>
      </c>
      <c r="F1275">
        <f>INT((C1275-Нед_Начало)/7)+1</f>
        <v/>
      </c>
      <c r="G1275">
        <f>IF(E1275=0,0,INDEX('Планы менеджеров'!$B$5:$M$16,B1275,D1275)/INDEX(Мес_Раб,D1275))</f>
        <v/>
      </c>
    </row>
    <row r="1276">
      <c r="A1276" t="inlineStr">
        <is>
          <t>Козлова</t>
        </is>
      </c>
      <c r="B1276" t="n">
        <v>8</v>
      </c>
      <c r="C1276" s="18">
        <f>'Календарь'!A160</f>
        <v/>
      </c>
      <c r="D1276">
        <f>MONTH(C1276)</f>
        <v/>
      </c>
      <c r="E1276">
        <f>'Календарь'!D160</f>
        <v/>
      </c>
      <c r="F1276">
        <f>INT((C1276-Нед_Начало)/7)+1</f>
        <v/>
      </c>
      <c r="G1276">
        <f>IF(E1276=0,0,INDEX('Планы менеджеров'!$B$5:$M$16,B1276,D1276)/INDEX(Мес_Раб,D1276))</f>
        <v/>
      </c>
    </row>
    <row r="1277">
      <c r="A1277" t="inlineStr">
        <is>
          <t>Козлова</t>
        </is>
      </c>
      <c r="B1277" t="n">
        <v>8</v>
      </c>
      <c r="C1277" s="18">
        <f>'Календарь'!A161</f>
        <v/>
      </c>
      <c r="D1277">
        <f>MONTH(C1277)</f>
        <v/>
      </c>
      <c r="E1277">
        <f>'Календарь'!D161</f>
        <v/>
      </c>
      <c r="F1277">
        <f>INT((C1277-Нед_Начало)/7)+1</f>
        <v/>
      </c>
      <c r="G1277">
        <f>IF(E1277=0,0,INDEX('Планы менеджеров'!$B$5:$M$16,B1277,D1277)/INDEX(Мес_Раб,D1277))</f>
        <v/>
      </c>
    </row>
    <row r="1278">
      <c r="A1278" t="inlineStr">
        <is>
          <t>Козлова</t>
        </is>
      </c>
      <c r="B1278" t="n">
        <v>8</v>
      </c>
      <c r="C1278" s="18">
        <f>'Календарь'!A162</f>
        <v/>
      </c>
      <c r="D1278">
        <f>MONTH(C1278)</f>
        <v/>
      </c>
      <c r="E1278">
        <f>'Календарь'!D162</f>
        <v/>
      </c>
      <c r="F1278">
        <f>INT((C1278-Нед_Начало)/7)+1</f>
        <v/>
      </c>
      <c r="G1278">
        <f>IF(E1278=0,0,INDEX('Планы менеджеров'!$B$5:$M$16,B1278,D1278)/INDEX(Мес_Раб,D1278))</f>
        <v/>
      </c>
    </row>
    <row r="1279">
      <c r="A1279" t="inlineStr">
        <is>
          <t>Козлова</t>
        </is>
      </c>
      <c r="B1279" t="n">
        <v>8</v>
      </c>
      <c r="C1279" s="18">
        <f>'Календарь'!A163</f>
        <v/>
      </c>
      <c r="D1279">
        <f>MONTH(C1279)</f>
        <v/>
      </c>
      <c r="E1279">
        <f>'Календарь'!D163</f>
        <v/>
      </c>
      <c r="F1279">
        <f>INT((C1279-Нед_Начало)/7)+1</f>
        <v/>
      </c>
      <c r="G1279">
        <f>IF(E1279=0,0,INDEX('Планы менеджеров'!$B$5:$M$16,B1279,D1279)/INDEX(Мес_Раб,D1279))</f>
        <v/>
      </c>
    </row>
    <row r="1280">
      <c r="A1280" t="inlineStr">
        <is>
          <t>Козлова</t>
        </is>
      </c>
      <c r="B1280" t="n">
        <v>8</v>
      </c>
      <c r="C1280" s="18">
        <f>'Календарь'!A164</f>
        <v/>
      </c>
      <c r="D1280">
        <f>MONTH(C1280)</f>
        <v/>
      </c>
      <c r="E1280">
        <f>'Календарь'!D164</f>
        <v/>
      </c>
      <c r="F1280">
        <f>INT((C1280-Нед_Начало)/7)+1</f>
        <v/>
      </c>
      <c r="G1280">
        <f>IF(E1280=0,0,INDEX('Планы менеджеров'!$B$5:$M$16,B1280,D1280)/INDEX(Мес_Раб,D1280))</f>
        <v/>
      </c>
    </row>
    <row r="1281">
      <c r="A1281" t="inlineStr">
        <is>
          <t>Козлова</t>
        </is>
      </c>
      <c r="B1281" t="n">
        <v>8</v>
      </c>
      <c r="C1281" s="18">
        <f>'Календарь'!A165</f>
        <v/>
      </c>
      <c r="D1281">
        <f>MONTH(C1281)</f>
        <v/>
      </c>
      <c r="E1281">
        <f>'Календарь'!D165</f>
        <v/>
      </c>
      <c r="F1281">
        <f>INT((C1281-Нед_Начало)/7)+1</f>
        <v/>
      </c>
      <c r="G1281">
        <f>IF(E1281=0,0,INDEX('Планы менеджеров'!$B$5:$M$16,B1281,D1281)/INDEX(Мес_Раб,D1281))</f>
        <v/>
      </c>
    </row>
    <row r="1282">
      <c r="A1282" t="inlineStr">
        <is>
          <t>Козлова</t>
        </is>
      </c>
      <c r="B1282" t="n">
        <v>8</v>
      </c>
      <c r="C1282" s="18">
        <f>'Календарь'!A166</f>
        <v/>
      </c>
      <c r="D1282">
        <f>MONTH(C1282)</f>
        <v/>
      </c>
      <c r="E1282">
        <f>'Календарь'!D166</f>
        <v/>
      </c>
      <c r="F1282">
        <f>INT((C1282-Нед_Начало)/7)+1</f>
        <v/>
      </c>
      <c r="G1282">
        <f>IF(E1282=0,0,INDEX('Планы менеджеров'!$B$5:$M$16,B1282,D1282)/INDEX(Мес_Раб,D1282))</f>
        <v/>
      </c>
    </row>
    <row r="1283">
      <c r="A1283" t="inlineStr">
        <is>
          <t>Козлова</t>
        </is>
      </c>
      <c r="B1283" t="n">
        <v>8</v>
      </c>
      <c r="C1283" s="18">
        <f>'Календарь'!A167</f>
        <v/>
      </c>
      <c r="D1283">
        <f>MONTH(C1283)</f>
        <v/>
      </c>
      <c r="E1283">
        <f>'Календарь'!D167</f>
        <v/>
      </c>
      <c r="F1283">
        <f>INT((C1283-Нед_Начало)/7)+1</f>
        <v/>
      </c>
      <c r="G1283">
        <f>IF(E1283=0,0,INDEX('Планы менеджеров'!$B$5:$M$16,B1283,D1283)/INDEX(Мес_Раб,D1283))</f>
        <v/>
      </c>
    </row>
    <row r="1284">
      <c r="A1284" t="inlineStr">
        <is>
          <t>Козлова</t>
        </is>
      </c>
      <c r="B1284" t="n">
        <v>8</v>
      </c>
      <c r="C1284" s="18">
        <f>'Календарь'!A168</f>
        <v/>
      </c>
      <c r="D1284">
        <f>MONTH(C1284)</f>
        <v/>
      </c>
      <c r="E1284">
        <f>'Календарь'!D168</f>
        <v/>
      </c>
      <c r="F1284">
        <f>INT((C1284-Нед_Начало)/7)+1</f>
        <v/>
      </c>
      <c r="G1284">
        <f>IF(E1284=0,0,INDEX('Планы менеджеров'!$B$5:$M$16,B1284,D1284)/INDEX(Мес_Раб,D1284))</f>
        <v/>
      </c>
    </row>
    <row r="1285">
      <c r="A1285" t="inlineStr">
        <is>
          <t>Козлова</t>
        </is>
      </c>
      <c r="B1285" t="n">
        <v>8</v>
      </c>
      <c r="C1285" s="18">
        <f>'Календарь'!A169</f>
        <v/>
      </c>
      <c r="D1285">
        <f>MONTH(C1285)</f>
        <v/>
      </c>
      <c r="E1285">
        <f>'Календарь'!D169</f>
        <v/>
      </c>
      <c r="F1285">
        <f>INT((C1285-Нед_Начало)/7)+1</f>
        <v/>
      </c>
      <c r="G1285">
        <f>IF(E1285=0,0,INDEX('Планы менеджеров'!$B$5:$M$16,B1285,D1285)/INDEX(Мес_Раб,D1285))</f>
        <v/>
      </c>
    </row>
    <row r="1286">
      <c r="A1286" t="inlineStr">
        <is>
          <t>Козлова</t>
        </is>
      </c>
      <c r="B1286" t="n">
        <v>8</v>
      </c>
      <c r="C1286" s="18">
        <f>'Календарь'!A170</f>
        <v/>
      </c>
      <c r="D1286">
        <f>MONTH(C1286)</f>
        <v/>
      </c>
      <c r="E1286">
        <f>'Календарь'!D170</f>
        <v/>
      </c>
      <c r="F1286">
        <f>INT((C1286-Нед_Начало)/7)+1</f>
        <v/>
      </c>
      <c r="G1286">
        <f>IF(E1286=0,0,INDEX('Планы менеджеров'!$B$5:$M$16,B1286,D1286)/INDEX(Мес_Раб,D1286))</f>
        <v/>
      </c>
    </row>
    <row r="1287">
      <c r="A1287" t="inlineStr">
        <is>
          <t>Козлова</t>
        </is>
      </c>
      <c r="B1287" t="n">
        <v>8</v>
      </c>
      <c r="C1287" s="18">
        <f>'Календарь'!A171</f>
        <v/>
      </c>
      <c r="D1287">
        <f>MONTH(C1287)</f>
        <v/>
      </c>
      <c r="E1287">
        <f>'Календарь'!D171</f>
        <v/>
      </c>
      <c r="F1287">
        <f>INT((C1287-Нед_Начало)/7)+1</f>
        <v/>
      </c>
      <c r="G1287">
        <f>IF(E1287=0,0,INDEX('Планы менеджеров'!$B$5:$M$16,B1287,D1287)/INDEX(Мес_Раб,D1287))</f>
        <v/>
      </c>
    </row>
    <row r="1288">
      <c r="A1288" t="inlineStr">
        <is>
          <t>Козлова</t>
        </is>
      </c>
      <c r="B1288" t="n">
        <v>8</v>
      </c>
      <c r="C1288" s="18">
        <f>'Календарь'!A172</f>
        <v/>
      </c>
      <c r="D1288">
        <f>MONTH(C1288)</f>
        <v/>
      </c>
      <c r="E1288">
        <f>'Календарь'!D172</f>
        <v/>
      </c>
      <c r="F1288">
        <f>INT((C1288-Нед_Начало)/7)+1</f>
        <v/>
      </c>
      <c r="G1288">
        <f>IF(E1288=0,0,INDEX('Планы менеджеров'!$B$5:$M$16,B1288,D1288)/INDEX(Мес_Раб,D1288))</f>
        <v/>
      </c>
    </row>
    <row r="1289">
      <c r="A1289" t="inlineStr">
        <is>
          <t>Козлова</t>
        </is>
      </c>
      <c r="B1289" t="n">
        <v>8</v>
      </c>
      <c r="C1289" s="18">
        <f>'Календарь'!A173</f>
        <v/>
      </c>
      <c r="D1289">
        <f>MONTH(C1289)</f>
        <v/>
      </c>
      <c r="E1289">
        <f>'Календарь'!D173</f>
        <v/>
      </c>
      <c r="F1289">
        <f>INT((C1289-Нед_Начало)/7)+1</f>
        <v/>
      </c>
      <c r="G1289">
        <f>IF(E1289=0,0,INDEX('Планы менеджеров'!$B$5:$M$16,B1289,D1289)/INDEX(Мес_Раб,D1289))</f>
        <v/>
      </c>
    </row>
    <row r="1290">
      <c r="A1290" t="inlineStr">
        <is>
          <t>Козлова</t>
        </is>
      </c>
      <c r="B1290" t="n">
        <v>8</v>
      </c>
      <c r="C1290" s="18">
        <f>'Календарь'!A174</f>
        <v/>
      </c>
      <c r="D1290">
        <f>MONTH(C1290)</f>
        <v/>
      </c>
      <c r="E1290">
        <f>'Календарь'!D174</f>
        <v/>
      </c>
      <c r="F1290">
        <f>INT((C1290-Нед_Начало)/7)+1</f>
        <v/>
      </c>
      <c r="G1290">
        <f>IF(E1290=0,0,INDEX('Планы менеджеров'!$B$5:$M$16,B1290,D1290)/INDEX(Мес_Раб,D1290))</f>
        <v/>
      </c>
    </row>
    <row r="1291">
      <c r="A1291" t="inlineStr">
        <is>
          <t>Козлова</t>
        </is>
      </c>
      <c r="B1291" t="n">
        <v>8</v>
      </c>
      <c r="C1291" s="18">
        <f>'Календарь'!A175</f>
        <v/>
      </c>
      <c r="D1291">
        <f>MONTH(C1291)</f>
        <v/>
      </c>
      <c r="E1291">
        <f>'Календарь'!D175</f>
        <v/>
      </c>
      <c r="F1291">
        <f>INT((C1291-Нед_Начало)/7)+1</f>
        <v/>
      </c>
      <c r="G1291">
        <f>IF(E1291=0,0,INDEX('Планы менеджеров'!$B$5:$M$16,B1291,D1291)/INDEX(Мес_Раб,D1291))</f>
        <v/>
      </c>
    </row>
    <row r="1292">
      <c r="A1292" t="inlineStr">
        <is>
          <t>Козлова</t>
        </is>
      </c>
      <c r="B1292" t="n">
        <v>8</v>
      </c>
      <c r="C1292" s="18">
        <f>'Календарь'!A176</f>
        <v/>
      </c>
      <c r="D1292">
        <f>MONTH(C1292)</f>
        <v/>
      </c>
      <c r="E1292">
        <f>'Календарь'!D176</f>
        <v/>
      </c>
      <c r="F1292">
        <f>INT((C1292-Нед_Начало)/7)+1</f>
        <v/>
      </c>
      <c r="G1292">
        <f>IF(E1292=0,0,INDEX('Планы менеджеров'!$B$5:$M$16,B1292,D1292)/INDEX(Мес_Раб,D1292))</f>
        <v/>
      </c>
    </row>
    <row r="1293">
      <c r="A1293" t="inlineStr">
        <is>
          <t>Козлова</t>
        </is>
      </c>
      <c r="B1293" t="n">
        <v>8</v>
      </c>
      <c r="C1293" s="18">
        <f>'Календарь'!A177</f>
        <v/>
      </c>
      <c r="D1293">
        <f>MONTH(C1293)</f>
        <v/>
      </c>
      <c r="E1293">
        <f>'Календарь'!D177</f>
        <v/>
      </c>
      <c r="F1293">
        <f>INT((C1293-Нед_Начало)/7)+1</f>
        <v/>
      </c>
      <c r="G1293">
        <f>IF(E1293=0,0,INDEX('Планы менеджеров'!$B$5:$M$16,B1293,D1293)/INDEX(Мес_Раб,D1293))</f>
        <v/>
      </c>
    </row>
    <row r="1294">
      <c r="A1294" t="inlineStr">
        <is>
          <t>Козлова</t>
        </is>
      </c>
      <c r="B1294" t="n">
        <v>8</v>
      </c>
      <c r="C1294" s="18">
        <f>'Календарь'!A178</f>
        <v/>
      </c>
      <c r="D1294">
        <f>MONTH(C1294)</f>
        <v/>
      </c>
      <c r="E1294">
        <f>'Календарь'!D178</f>
        <v/>
      </c>
      <c r="F1294">
        <f>INT((C1294-Нед_Начало)/7)+1</f>
        <v/>
      </c>
      <c r="G1294">
        <f>IF(E1294=0,0,INDEX('Планы менеджеров'!$B$5:$M$16,B1294,D1294)/INDEX(Мес_Раб,D1294))</f>
        <v/>
      </c>
    </row>
    <row r="1295">
      <c r="A1295" t="inlineStr">
        <is>
          <t>Козлова</t>
        </is>
      </c>
      <c r="B1295" t="n">
        <v>8</v>
      </c>
      <c r="C1295" s="18">
        <f>'Календарь'!A179</f>
        <v/>
      </c>
      <c r="D1295">
        <f>MONTH(C1295)</f>
        <v/>
      </c>
      <c r="E1295">
        <f>'Календарь'!D179</f>
        <v/>
      </c>
      <c r="F1295">
        <f>INT((C1295-Нед_Начало)/7)+1</f>
        <v/>
      </c>
      <c r="G1295">
        <f>IF(E1295=0,0,INDEX('Планы менеджеров'!$B$5:$M$16,B1295,D1295)/INDEX(Мес_Раб,D1295))</f>
        <v/>
      </c>
    </row>
    <row r="1296">
      <c r="A1296" t="inlineStr">
        <is>
          <t>Козлова</t>
        </is>
      </c>
      <c r="B1296" t="n">
        <v>8</v>
      </c>
      <c r="C1296" s="18">
        <f>'Календарь'!A180</f>
        <v/>
      </c>
      <c r="D1296">
        <f>MONTH(C1296)</f>
        <v/>
      </c>
      <c r="E1296">
        <f>'Календарь'!D180</f>
        <v/>
      </c>
      <c r="F1296">
        <f>INT((C1296-Нед_Начало)/7)+1</f>
        <v/>
      </c>
      <c r="G1296">
        <f>IF(E1296=0,0,INDEX('Планы менеджеров'!$B$5:$M$16,B1296,D1296)/INDEX(Мес_Раб,D1296))</f>
        <v/>
      </c>
    </row>
    <row r="1297">
      <c r="A1297" t="inlineStr">
        <is>
          <t>Козлова</t>
        </is>
      </c>
      <c r="B1297" t="n">
        <v>8</v>
      </c>
      <c r="C1297" s="18">
        <f>'Календарь'!A181</f>
        <v/>
      </c>
      <c r="D1297">
        <f>MONTH(C1297)</f>
        <v/>
      </c>
      <c r="E1297">
        <f>'Календарь'!D181</f>
        <v/>
      </c>
      <c r="F1297">
        <f>INT((C1297-Нед_Начало)/7)+1</f>
        <v/>
      </c>
      <c r="G1297">
        <f>IF(E1297=0,0,INDEX('Планы менеджеров'!$B$5:$M$16,B1297,D1297)/INDEX(Мес_Раб,D1297))</f>
        <v/>
      </c>
    </row>
    <row r="1298">
      <c r="A1298" t="inlineStr">
        <is>
          <t>Козлова</t>
        </is>
      </c>
      <c r="B1298" t="n">
        <v>8</v>
      </c>
      <c r="C1298" s="18">
        <f>'Календарь'!A182</f>
        <v/>
      </c>
      <c r="D1298">
        <f>MONTH(C1298)</f>
        <v/>
      </c>
      <c r="E1298">
        <f>'Календарь'!D182</f>
        <v/>
      </c>
      <c r="F1298">
        <f>INT((C1298-Нед_Начало)/7)+1</f>
        <v/>
      </c>
      <c r="G1298">
        <f>IF(E1298=0,0,INDEX('Планы менеджеров'!$B$5:$M$16,B1298,D1298)/INDEX(Мес_Раб,D1298))</f>
        <v/>
      </c>
    </row>
    <row r="1299">
      <c r="A1299" t="inlineStr">
        <is>
          <t>Козлова</t>
        </is>
      </c>
      <c r="B1299" t="n">
        <v>8</v>
      </c>
      <c r="C1299" s="18">
        <f>'Календарь'!A183</f>
        <v/>
      </c>
      <c r="D1299">
        <f>MONTH(C1299)</f>
        <v/>
      </c>
      <c r="E1299">
        <f>'Календарь'!D183</f>
        <v/>
      </c>
      <c r="F1299">
        <f>INT((C1299-Нед_Начало)/7)+1</f>
        <v/>
      </c>
      <c r="G1299">
        <f>IF(E1299=0,0,INDEX('Планы менеджеров'!$B$5:$M$16,B1299,D1299)/INDEX(Мес_Раб,D1299))</f>
        <v/>
      </c>
    </row>
    <row r="1300">
      <c r="A1300" t="inlineStr">
        <is>
          <t>Козлова</t>
        </is>
      </c>
      <c r="B1300" t="n">
        <v>8</v>
      </c>
      <c r="C1300" s="18">
        <f>'Календарь'!A184</f>
        <v/>
      </c>
      <c r="D1300">
        <f>MONTH(C1300)</f>
        <v/>
      </c>
      <c r="E1300">
        <f>'Календарь'!D184</f>
        <v/>
      </c>
      <c r="F1300">
        <f>INT((C1300-Нед_Начало)/7)+1</f>
        <v/>
      </c>
      <c r="G1300">
        <f>IF(E1300=0,0,INDEX('Планы менеджеров'!$B$5:$M$16,B1300,D1300)/INDEX(Мес_Раб,D1300))</f>
        <v/>
      </c>
    </row>
    <row r="1301">
      <c r="A1301" t="inlineStr">
        <is>
          <t>Козлова</t>
        </is>
      </c>
      <c r="B1301" t="n">
        <v>8</v>
      </c>
      <c r="C1301" s="18">
        <f>'Календарь'!A185</f>
        <v/>
      </c>
      <c r="D1301">
        <f>MONTH(C1301)</f>
        <v/>
      </c>
      <c r="E1301">
        <f>'Календарь'!D185</f>
        <v/>
      </c>
      <c r="F1301">
        <f>INT((C1301-Нед_Начало)/7)+1</f>
        <v/>
      </c>
      <c r="G1301">
        <f>IF(E1301=0,0,INDEX('Планы менеджеров'!$B$5:$M$16,B1301,D1301)/INDEX(Мес_Раб,D1301))</f>
        <v/>
      </c>
    </row>
    <row r="1302">
      <c r="A1302" t="inlineStr">
        <is>
          <t>Козлова</t>
        </is>
      </c>
      <c r="B1302" t="n">
        <v>8</v>
      </c>
      <c r="C1302" s="18">
        <f>'Календарь'!A186</f>
        <v/>
      </c>
      <c r="D1302">
        <f>MONTH(C1302)</f>
        <v/>
      </c>
      <c r="E1302">
        <f>'Календарь'!D186</f>
        <v/>
      </c>
      <c r="F1302">
        <f>INT((C1302-Нед_Начало)/7)+1</f>
        <v/>
      </c>
      <c r="G1302">
        <f>IF(E1302=0,0,INDEX('Планы менеджеров'!$B$5:$M$16,B1302,D1302)/INDEX(Мес_Раб,D1302))</f>
        <v/>
      </c>
    </row>
    <row r="1303">
      <c r="A1303" t="inlineStr">
        <is>
          <t>Козлова</t>
        </is>
      </c>
      <c r="B1303" t="n">
        <v>8</v>
      </c>
      <c r="C1303" s="18">
        <f>'Календарь'!A187</f>
        <v/>
      </c>
      <c r="D1303">
        <f>MONTH(C1303)</f>
        <v/>
      </c>
      <c r="E1303">
        <f>'Календарь'!D187</f>
        <v/>
      </c>
      <c r="F1303">
        <f>INT((C1303-Нед_Начало)/7)+1</f>
        <v/>
      </c>
      <c r="G1303">
        <f>IF(E1303=0,0,INDEX('Планы менеджеров'!$B$5:$M$16,B1303,D1303)/INDEX(Мес_Раб,D1303))</f>
        <v/>
      </c>
    </row>
    <row r="1304">
      <c r="A1304" t="inlineStr">
        <is>
          <t>Козлова</t>
        </is>
      </c>
      <c r="B1304" t="n">
        <v>8</v>
      </c>
      <c r="C1304" s="18">
        <f>'Календарь'!A188</f>
        <v/>
      </c>
      <c r="D1304">
        <f>MONTH(C1304)</f>
        <v/>
      </c>
      <c r="E1304">
        <f>'Календарь'!D188</f>
        <v/>
      </c>
      <c r="F1304">
        <f>INT((C1304-Нед_Начало)/7)+1</f>
        <v/>
      </c>
      <c r="G1304">
        <f>IF(E1304=0,0,INDEX('Планы менеджеров'!$B$5:$M$16,B1304,D1304)/INDEX(Мес_Раб,D1304))</f>
        <v/>
      </c>
    </row>
    <row r="1305">
      <c r="A1305" t="inlineStr">
        <is>
          <t>Козлова</t>
        </is>
      </c>
      <c r="B1305" t="n">
        <v>8</v>
      </c>
      <c r="C1305" s="18">
        <f>'Календарь'!A189</f>
        <v/>
      </c>
      <c r="D1305">
        <f>MONTH(C1305)</f>
        <v/>
      </c>
      <c r="E1305">
        <f>'Календарь'!D189</f>
        <v/>
      </c>
      <c r="F1305">
        <f>INT((C1305-Нед_Начало)/7)+1</f>
        <v/>
      </c>
      <c r="G1305">
        <f>IF(E1305=0,0,INDEX('Планы менеджеров'!$B$5:$M$16,B1305,D1305)/INDEX(Мес_Раб,D1305))</f>
        <v/>
      </c>
    </row>
    <row r="1306">
      <c r="A1306" t="inlineStr">
        <is>
          <t>Козлова</t>
        </is>
      </c>
      <c r="B1306" t="n">
        <v>8</v>
      </c>
      <c r="C1306" s="18">
        <f>'Календарь'!A190</f>
        <v/>
      </c>
      <c r="D1306">
        <f>MONTH(C1306)</f>
        <v/>
      </c>
      <c r="E1306">
        <f>'Календарь'!D190</f>
        <v/>
      </c>
      <c r="F1306">
        <f>INT((C1306-Нед_Начало)/7)+1</f>
        <v/>
      </c>
      <c r="G1306">
        <f>IF(E1306=0,0,INDEX('Планы менеджеров'!$B$5:$M$16,B1306,D1306)/INDEX(Мес_Раб,D1306))</f>
        <v/>
      </c>
    </row>
    <row r="1307">
      <c r="A1307" t="inlineStr">
        <is>
          <t>Козлова</t>
        </is>
      </c>
      <c r="B1307" t="n">
        <v>8</v>
      </c>
      <c r="C1307" s="18">
        <f>'Календарь'!A191</f>
        <v/>
      </c>
      <c r="D1307">
        <f>MONTH(C1307)</f>
        <v/>
      </c>
      <c r="E1307">
        <f>'Календарь'!D191</f>
        <v/>
      </c>
      <c r="F1307">
        <f>INT((C1307-Нед_Начало)/7)+1</f>
        <v/>
      </c>
      <c r="G1307">
        <f>IF(E1307=0,0,INDEX('Планы менеджеров'!$B$5:$M$16,B1307,D1307)/INDEX(Мес_Раб,D1307))</f>
        <v/>
      </c>
    </row>
    <row r="1308">
      <c r="A1308" t="inlineStr">
        <is>
          <t>Козлова</t>
        </is>
      </c>
      <c r="B1308" t="n">
        <v>8</v>
      </c>
      <c r="C1308" s="18">
        <f>'Календарь'!A192</f>
        <v/>
      </c>
      <c r="D1308">
        <f>MONTH(C1308)</f>
        <v/>
      </c>
      <c r="E1308">
        <f>'Календарь'!D192</f>
        <v/>
      </c>
      <c r="F1308">
        <f>INT((C1308-Нед_Начало)/7)+1</f>
        <v/>
      </c>
      <c r="G1308">
        <f>IF(E1308=0,0,INDEX('Планы менеджеров'!$B$5:$M$16,B1308,D1308)/INDEX(Мес_Раб,D1308))</f>
        <v/>
      </c>
    </row>
    <row r="1309">
      <c r="A1309" t="inlineStr">
        <is>
          <t>Козлова</t>
        </is>
      </c>
      <c r="B1309" t="n">
        <v>8</v>
      </c>
      <c r="C1309" s="18">
        <f>'Календарь'!A193</f>
        <v/>
      </c>
      <c r="D1309">
        <f>MONTH(C1309)</f>
        <v/>
      </c>
      <c r="E1309">
        <f>'Календарь'!D193</f>
        <v/>
      </c>
      <c r="F1309">
        <f>INT((C1309-Нед_Начало)/7)+1</f>
        <v/>
      </c>
      <c r="G1309">
        <f>IF(E1309=0,0,INDEX('Планы менеджеров'!$B$5:$M$16,B1309,D1309)/INDEX(Мес_Раб,D1309))</f>
        <v/>
      </c>
    </row>
    <row r="1310">
      <c r="A1310" t="inlineStr">
        <is>
          <t>Козлова</t>
        </is>
      </c>
      <c r="B1310" t="n">
        <v>8</v>
      </c>
      <c r="C1310" s="18">
        <f>'Календарь'!A194</f>
        <v/>
      </c>
      <c r="D1310">
        <f>MONTH(C1310)</f>
        <v/>
      </c>
      <c r="E1310">
        <f>'Календарь'!D194</f>
        <v/>
      </c>
      <c r="F1310">
        <f>INT((C1310-Нед_Начало)/7)+1</f>
        <v/>
      </c>
      <c r="G1310">
        <f>IF(E1310=0,0,INDEX('Планы менеджеров'!$B$5:$M$16,B1310,D1310)/INDEX(Мес_Раб,D1310))</f>
        <v/>
      </c>
    </row>
    <row r="1311">
      <c r="A1311" t="inlineStr">
        <is>
          <t>Козлова</t>
        </is>
      </c>
      <c r="B1311" t="n">
        <v>8</v>
      </c>
      <c r="C1311" s="18">
        <f>'Календарь'!A195</f>
        <v/>
      </c>
      <c r="D1311">
        <f>MONTH(C1311)</f>
        <v/>
      </c>
      <c r="E1311">
        <f>'Календарь'!D195</f>
        <v/>
      </c>
      <c r="F1311">
        <f>INT((C1311-Нед_Начало)/7)+1</f>
        <v/>
      </c>
      <c r="G1311">
        <f>IF(E1311=0,0,INDEX('Планы менеджеров'!$B$5:$M$16,B1311,D1311)/INDEX(Мес_Раб,D1311))</f>
        <v/>
      </c>
    </row>
    <row r="1312">
      <c r="A1312" t="inlineStr">
        <is>
          <t>Козлова</t>
        </is>
      </c>
      <c r="B1312" t="n">
        <v>8</v>
      </c>
      <c r="C1312" s="18">
        <f>'Календарь'!A196</f>
        <v/>
      </c>
      <c r="D1312">
        <f>MONTH(C1312)</f>
        <v/>
      </c>
      <c r="E1312">
        <f>'Календарь'!D196</f>
        <v/>
      </c>
      <c r="F1312">
        <f>INT((C1312-Нед_Начало)/7)+1</f>
        <v/>
      </c>
      <c r="G1312">
        <f>IF(E1312=0,0,INDEX('Планы менеджеров'!$B$5:$M$16,B1312,D1312)/INDEX(Мес_Раб,D1312))</f>
        <v/>
      </c>
    </row>
    <row r="1313">
      <c r="A1313" t="inlineStr">
        <is>
          <t>Козлова</t>
        </is>
      </c>
      <c r="B1313" t="n">
        <v>8</v>
      </c>
      <c r="C1313" s="18">
        <f>'Календарь'!A197</f>
        <v/>
      </c>
      <c r="D1313">
        <f>MONTH(C1313)</f>
        <v/>
      </c>
      <c r="E1313">
        <f>'Календарь'!D197</f>
        <v/>
      </c>
      <c r="F1313">
        <f>INT((C1313-Нед_Начало)/7)+1</f>
        <v/>
      </c>
      <c r="G1313">
        <f>IF(E1313=0,0,INDEX('Планы менеджеров'!$B$5:$M$16,B1313,D1313)/INDEX(Мес_Раб,D1313))</f>
        <v/>
      </c>
    </row>
    <row r="1314">
      <c r="A1314" t="inlineStr">
        <is>
          <t>Козлова</t>
        </is>
      </c>
      <c r="B1314" t="n">
        <v>8</v>
      </c>
      <c r="C1314" s="18">
        <f>'Календарь'!A198</f>
        <v/>
      </c>
      <c r="D1314">
        <f>MONTH(C1314)</f>
        <v/>
      </c>
      <c r="E1314">
        <f>'Календарь'!D198</f>
        <v/>
      </c>
      <c r="F1314">
        <f>INT((C1314-Нед_Начало)/7)+1</f>
        <v/>
      </c>
      <c r="G1314">
        <f>IF(E1314=0,0,INDEX('Планы менеджеров'!$B$5:$M$16,B1314,D1314)/INDEX(Мес_Раб,D1314))</f>
        <v/>
      </c>
    </row>
    <row r="1315">
      <c r="A1315" t="inlineStr">
        <is>
          <t>Козлова</t>
        </is>
      </c>
      <c r="B1315" t="n">
        <v>8</v>
      </c>
      <c r="C1315" s="18">
        <f>'Календарь'!A199</f>
        <v/>
      </c>
      <c r="D1315">
        <f>MONTH(C1315)</f>
        <v/>
      </c>
      <c r="E1315">
        <f>'Календарь'!D199</f>
        <v/>
      </c>
      <c r="F1315">
        <f>INT((C1315-Нед_Начало)/7)+1</f>
        <v/>
      </c>
      <c r="G1315">
        <f>IF(E1315=0,0,INDEX('Планы менеджеров'!$B$5:$M$16,B1315,D1315)/INDEX(Мес_Раб,D1315))</f>
        <v/>
      </c>
    </row>
    <row r="1316">
      <c r="A1316" t="inlineStr">
        <is>
          <t>Козлова</t>
        </is>
      </c>
      <c r="B1316" t="n">
        <v>8</v>
      </c>
      <c r="C1316" s="18">
        <f>'Календарь'!A200</f>
        <v/>
      </c>
      <c r="D1316">
        <f>MONTH(C1316)</f>
        <v/>
      </c>
      <c r="E1316">
        <f>'Календарь'!D200</f>
        <v/>
      </c>
      <c r="F1316">
        <f>INT((C1316-Нед_Начало)/7)+1</f>
        <v/>
      </c>
      <c r="G1316">
        <f>IF(E1316=0,0,INDEX('Планы менеджеров'!$B$5:$M$16,B1316,D1316)/INDEX(Мес_Раб,D1316))</f>
        <v/>
      </c>
    </row>
    <row r="1317">
      <c r="A1317" t="inlineStr">
        <is>
          <t>Козлова</t>
        </is>
      </c>
      <c r="B1317" t="n">
        <v>8</v>
      </c>
      <c r="C1317" s="18">
        <f>'Календарь'!A201</f>
        <v/>
      </c>
      <c r="D1317">
        <f>MONTH(C1317)</f>
        <v/>
      </c>
      <c r="E1317">
        <f>'Календарь'!D201</f>
        <v/>
      </c>
      <c r="F1317">
        <f>INT((C1317-Нед_Начало)/7)+1</f>
        <v/>
      </c>
      <c r="G1317">
        <f>IF(E1317=0,0,INDEX('Планы менеджеров'!$B$5:$M$16,B1317,D1317)/INDEX(Мес_Раб,D1317))</f>
        <v/>
      </c>
    </row>
    <row r="1318">
      <c r="A1318" t="inlineStr">
        <is>
          <t>Козлова</t>
        </is>
      </c>
      <c r="B1318" t="n">
        <v>8</v>
      </c>
      <c r="C1318" s="18">
        <f>'Календарь'!A202</f>
        <v/>
      </c>
      <c r="D1318">
        <f>MONTH(C1318)</f>
        <v/>
      </c>
      <c r="E1318">
        <f>'Календарь'!D202</f>
        <v/>
      </c>
      <c r="F1318">
        <f>INT((C1318-Нед_Начало)/7)+1</f>
        <v/>
      </c>
      <c r="G1318">
        <f>IF(E1318=0,0,INDEX('Планы менеджеров'!$B$5:$M$16,B1318,D1318)/INDEX(Мес_Раб,D1318))</f>
        <v/>
      </c>
    </row>
    <row r="1319">
      <c r="A1319" t="inlineStr">
        <is>
          <t>Козлова</t>
        </is>
      </c>
      <c r="B1319" t="n">
        <v>8</v>
      </c>
      <c r="C1319" s="18">
        <f>'Календарь'!A203</f>
        <v/>
      </c>
      <c r="D1319">
        <f>MONTH(C1319)</f>
        <v/>
      </c>
      <c r="E1319">
        <f>'Календарь'!D203</f>
        <v/>
      </c>
      <c r="F1319">
        <f>INT((C1319-Нед_Начало)/7)+1</f>
        <v/>
      </c>
      <c r="G1319">
        <f>IF(E1319=0,0,INDEX('Планы менеджеров'!$B$5:$M$16,B1319,D1319)/INDEX(Мес_Раб,D1319))</f>
        <v/>
      </c>
    </row>
    <row r="1320">
      <c r="A1320" t="inlineStr">
        <is>
          <t>Козлова</t>
        </is>
      </c>
      <c r="B1320" t="n">
        <v>8</v>
      </c>
      <c r="C1320" s="18">
        <f>'Календарь'!A204</f>
        <v/>
      </c>
      <c r="D1320">
        <f>MONTH(C1320)</f>
        <v/>
      </c>
      <c r="E1320">
        <f>'Календарь'!D204</f>
        <v/>
      </c>
      <c r="F1320">
        <f>INT((C1320-Нед_Начало)/7)+1</f>
        <v/>
      </c>
      <c r="G1320">
        <f>IF(E1320=0,0,INDEX('Планы менеджеров'!$B$5:$M$16,B1320,D1320)/INDEX(Мес_Раб,D1320))</f>
        <v/>
      </c>
    </row>
    <row r="1321">
      <c r="A1321" t="inlineStr">
        <is>
          <t>Козлова</t>
        </is>
      </c>
      <c r="B1321" t="n">
        <v>8</v>
      </c>
      <c r="C1321" s="18">
        <f>'Календарь'!A205</f>
        <v/>
      </c>
      <c r="D1321">
        <f>MONTH(C1321)</f>
        <v/>
      </c>
      <c r="E1321">
        <f>'Календарь'!D205</f>
        <v/>
      </c>
      <c r="F1321">
        <f>INT((C1321-Нед_Начало)/7)+1</f>
        <v/>
      </c>
      <c r="G1321">
        <f>IF(E1321=0,0,INDEX('Планы менеджеров'!$B$5:$M$16,B1321,D1321)/INDEX(Мес_Раб,D1321))</f>
        <v/>
      </c>
    </row>
    <row r="1322">
      <c r="A1322" t="inlineStr">
        <is>
          <t>Козлова</t>
        </is>
      </c>
      <c r="B1322" t="n">
        <v>8</v>
      </c>
      <c r="C1322" s="18">
        <f>'Календарь'!A206</f>
        <v/>
      </c>
      <c r="D1322">
        <f>MONTH(C1322)</f>
        <v/>
      </c>
      <c r="E1322">
        <f>'Календарь'!D206</f>
        <v/>
      </c>
      <c r="F1322">
        <f>INT((C1322-Нед_Начало)/7)+1</f>
        <v/>
      </c>
      <c r="G1322">
        <f>IF(E1322=0,0,INDEX('Планы менеджеров'!$B$5:$M$16,B1322,D1322)/INDEX(Мес_Раб,D1322))</f>
        <v/>
      </c>
    </row>
    <row r="1323">
      <c r="A1323" t="inlineStr">
        <is>
          <t>Козлова</t>
        </is>
      </c>
      <c r="B1323" t="n">
        <v>8</v>
      </c>
      <c r="C1323" s="18">
        <f>'Календарь'!A207</f>
        <v/>
      </c>
      <c r="D1323">
        <f>MONTH(C1323)</f>
        <v/>
      </c>
      <c r="E1323">
        <f>'Календарь'!D207</f>
        <v/>
      </c>
      <c r="F1323">
        <f>INT((C1323-Нед_Начало)/7)+1</f>
        <v/>
      </c>
      <c r="G1323">
        <f>IF(E1323=0,0,INDEX('Планы менеджеров'!$B$5:$M$16,B1323,D1323)/INDEX(Мес_Раб,D1323))</f>
        <v/>
      </c>
    </row>
    <row r="1324">
      <c r="A1324" t="inlineStr">
        <is>
          <t>Козлова</t>
        </is>
      </c>
      <c r="B1324" t="n">
        <v>8</v>
      </c>
      <c r="C1324" s="18">
        <f>'Календарь'!A208</f>
        <v/>
      </c>
      <c r="D1324">
        <f>MONTH(C1324)</f>
        <v/>
      </c>
      <c r="E1324">
        <f>'Календарь'!D208</f>
        <v/>
      </c>
      <c r="F1324">
        <f>INT((C1324-Нед_Начало)/7)+1</f>
        <v/>
      </c>
      <c r="G1324">
        <f>IF(E1324=0,0,INDEX('Планы менеджеров'!$B$5:$M$16,B1324,D1324)/INDEX(Мес_Раб,D1324))</f>
        <v/>
      </c>
    </row>
    <row r="1325">
      <c r="A1325" t="inlineStr">
        <is>
          <t>Козлова</t>
        </is>
      </c>
      <c r="B1325" t="n">
        <v>8</v>
      </c>
      <c r="C1325" s="18">
        <f>'Календарь'!A209</f>
        <v/>
      </c>
      <c r="D1325">
        <f>MONTH(C1325)</f>
        <v/>
      </c>
      <c r="E1325">
        <f>'Календарь'!D209</f>
        <v/>
      </c>
      <c r="F1325">
        <f>INT((C1325-Нед_Начало)/7)+1</f>
        <v/>
      </c>
      <c r="G1325">
        <f>IF(E1325=0,0,INDEX('Планы менеджеров'!$B$5:$M$16,B1325,D1325)/INDEX(Мес_Раб,D1325))</f>
        <v/>
      </c>
    </row>
    <row r="1326">
      <c r="A1326" t="inlineStr">
        <is>
          <t>Козлова</t>
        </is>
      </c>
      <c r="B1326" t="n">
        <v>8</v>
      </c>
      <c r="C1326" s="18">
        <f>'Календарь'!A210</f>
        <v/>
      </c>
      <c r="D1326">
        <f>MONTH(C1326)</f>
        <v/>
      </c>
      <c r="E1326">
        <f>'Календарь'!D210</f>
        <v/>
      </c>
      <c r="F1326">
        <f>INT((C1326-Нед_Начало)/7)+1</f>
        <v/>
      </c>
      <c r="G1326">
        <f>IF(E1326=0,0,INDEX('Планы менеджеров'!$B$5:$M$16,B1326,D1326)/INDEX(Мес_Раб,D1326))</f>
        <v/>
      </c>
    </row>
    <row r="1327">
      <c r="A1327" t="inlineStr">
        <is>
          <t>Козлова</t>
        </is>
      </c>
      <c r="B1327" t="n">
        <v>8</v>
      </c>
      <c r="C1327" s="18">
        <f>'Календарь'!A211</f>
        <v/>
      </c>
      <c r="D1327">
        <f>MONTH(C1327)</f>
        <v/>
      </c>
      <c r="E1327">
        <f>'Календарь'!D211</f>
        <v/>
      </c>
      <c r="F1327">
        <f>INT((C1327-Нед_Начало)/7)+1</f>
        <v/>
      </c>
      <c r="G1327">
        <f>IF(E1327=0,0,INDEX('Планы менеджеров'!$B$5:$M$16,B1327,D1327)/INDEX(Мес_Раб,D1327))</f>
        <v/>
      </c>
    </row>
    <row r="1328">
      <c r="A1328" t="inlineStr">
        <is>
          <t>Козлова</t>
        </is>
      </c>
      <c r="B1328" t="n">
        <v>8</v>
      </c>
      <c r="C1328" s="18">
        <f>'Календарь'!A212</f>
        <v/>
      </c>
      <c r="D1328">
        <f>MONTH(C1328)</f>
        <v/>
      </c>
      <c r="E1328">
        <f>'Календарь'!D212</f>
        <v/>
      </c>
      <c r="F1328">
        <f>INT((C1328-Нед_Начало)/7)+1</f>
        <v/>
      </c>
      <c r="G1328">
        <f>IF(E1328=0,0,INDEX('Планы менеджеров'!$B$5:$M$16,B1328,D1328)/INDEX(Мес_Раб,D1328))</f>
        <v/>
      </c>
    </row>
    <row r="1329">
      <c r="A1329" t="inlineStr">
        <is>
          <t>Козлова</t>
        </is>
      </c>
      <c r="B1329" t="n">
        <v>8</v>
      </c>
      <c r="C1329" s="18">
        <f>'Календарь'!A213</f>
        <v/>
      </c>
      <c r="D1329">
        <f>MONTH(C1329)</f>
        <v/>
      </c>
      <c r="E1329">
        <f>'Календарь'!D213</f>
        <v/>
      </c>
      <c r="F1329">
        <f>INT((C1329-Нед_Начало)/7)+1</f>
        <v/>
      </c>
      <c r="G1329">
        <f>IF(E1329=0,0,INDEX('Планы менеджеров'!$B$5:$M$16,B1329,D1329)/INDEX(Мес_Раб,D1329))</f>
        <v/>
      </c>
    </row>
    <row r="1330">
      <c r="A1330" t="inlineStr">
        <is>
          <t>Козлова</t>
        </is>
      </c>
      <c r="B1330" t="n">
        <v>8</v>
      </c>
      <c r="C1330" s="18">
        <f>'Календарь'!A214</f>
        <v/>
      </c>
      <c r="D1330">
        <f>MONTH(C1330)</f>
        <v/>
      </c>
      <c r="E1330">
        <f>'Календарь'!D214</f>
        <v/>
      </c>
      <c r="F1330">
        <f>INT((C1330-Нед_Начало)/7)+1</f>
        <v/>
      </c>
      <c r="G1330">
        <f>IF(E1330=0,0,INDEX('Планы менеджеров'!$B$5:$M$16,B1330,D1330)/INDEX(Мес_Раб,D1330))</f>
        <v/>
      </c>
    </row>
    <row r="1331">
      <c r="A1331" t="inlineStr">
        <is>
          <t>Козлова</t>
        </is>
      </c>
      <c r="B1331" t="n">
        <v>8</v>
      </c>
      <c r="C1331" s="18">
        <f>'Календарь'!A215</f>
        <v/>
      </c>
      <c r="D1331">
        <f>MONTH(C1331)</f>
        <v/>
      </c>
      <c r="E1331">
        <f>'Календарь'!D215</f>
        <v/>
      </c>
      <c r="F1331">
        <f>INT((C1331-Нед_Начало)/7)+1</f>
        <v/>
      </c>
      <c r="G1331">
        <f>IF(E1331=0,0,INDEX('Планы менеджеров'!$B$5:$M$16,B1331,D1331)/INDEX(Мес_Раб,D1331))</f>
        <v/>
      </c>
    </row>
    <row r="1332">
      <c r="A1332" t="inlineStr">
        <is>
          <t>Козлова</t>
        </is>
      </c>
      <c r="B1332" t="n">
        <v>8</v>
      </c>
      <c r="C1332" s="18">
        <f>'Календарь'!A216</f>
        <v/>
      </c>
      <c r="D1332">
        <f>MONTH(C1332)</f>
        <v/>
      </c>
      <c r="E1332">
        <f>'Календарь'!D216</f>
        <v/>
      </c>
      <c r="F1332">
        <f>INT((C1332-Нед_Начало)/7)+1</f>
        <v/>
      </c>
      <c r="G1332">
        <f>IF(E1332=0,0,INDEX('Планы менеджеров'!$B$5:$M$16,B1332,D1332)/INDEX(Мес_Раб,D1332))</f>
        <v/>
      </c>
    </row>
    <row r="1333">
      <c r="A1333" t="inlineStr">
        <is>
          <t>Козлова</t>
        </is>
      </c>
      <c r="B1333" t="n">
        <v>8</v>
      </c>
      <c r="C1333" s="18">
        <f>'Календарь'!A217</f>
        <v/>
      </c>
      <c r="D1333">
        <f>MONTH(C1333)</f>
        <v/>
      </c>
      <c r="E1333">
        <f>'Календарь'!D217</f>
        <v/>
      </c>
      <c r="F1333">
        <f>INT((C1333-Нед_Начало)/7)+1</f>
        <v/>
      </c>
      <c r="G1333">
        <f>IF(E1333=0,0,INDEX('Планы менеджеров'!$B$5:$M$16,B1333,D1333)/INDEX(Мес_Раб,D1333))</f>
        <v/>
      </c>
    </row>
    <row r="1334">
      <c r="A1334" t="inlineStr">
        <is>
          <t>Козлова</t>
        </is>
      </c>
      <c r="B1334" t="n">
        <v>8</v>
      </c>
      <c r="C1334" s="18">
        <f>'Календарь'!A218</f>
        <v/>
      </c>
      <c r="D1334">
        <f>MONTH(C1334)</f>
        <v/>
      </c>
      <c r="E1334">
        <f>'Календарь'!D218</f>
        <v/>
      </c>
      <c r="F1334">
        <f>INT((C1334-Нед_Начало)/7)+1</f>
        <v/>
      </c>
      <c r="G1334">
        <f>IF(E1334=0,0,INDEX('Планы менеджеров'!$B$5:$M$16,B1334,D1334)/INDEX(Мес_Раб,D1334))</f>
        <v/>
      </c>
    </row>
    <row r="1335">
      <c r="A1335" t="inlineStr">
        <is>
          <t>Козлова</t>
        </is>
      </c>
      <c r="B1335" t="n">
        <v>8</v>
      </c>
      <c r="C1335" s="18">
        <f>'Календарь'!A219</f>
        <v/>
      </c>
      <c r="D1335">
        <f>MONTH(C1335)</f>
        <v/>
      </c>
      <c r="E1335">
        <f>'Календарь'!D219</f>
        <v/>
      </c>
      <c r="F1335">
        <f>INT((C1335-Нед_Начало)/7)+1</f>
        <v/>
      </c>
      <c r="G1335">
        <f>IF(E1335=0,0,INDEX('Планы менеджеров'!$B$5:$M$16,B1335,D1335)/INDEX(Мес_Раб,D1335))</f>
        <v/>
      </c>
    </row>
    <row r="1336">
      <c r="A1336" t="inlineStr">
        <is>
          <t>Козлова</t>
        </is>
      </c>
      <c r="B1336" t="n">
        <v>8</v>
      </c>
      <c r="C1336" s="18">
        <f>'Календарь'!A220</f>
        <v/>
      </c>
      <c r="D1336">
        <f>MONTH(C1336)</f>
        <v/>
      </c>
      <c r="E1336">
        <f>'Календарь'!D220</f>
        <v/>
      </c>
      <c r="F1336">
        <f>INT((C1336-Нед_Начало)/7)+1</f>
        <v/>
      </c>
      <c r="G1336">
        <f>IF(E1336=0,0,INDEX('Планы менеджеров'!$B$5:$M$16,B1336,D1336)/INDEX(Мес_Раб,D1336))</f>
        <v/>
      </c>
    </row>
    <row r="1337">
      <c r="A1337" t="inlineStr">
        <is>
          <t>Козлова</t>
        </is>
      </c>
      <c r="B1337" t="n">
        <v>8</v>
      </c>
      <c r="C1337" s="18">
        <f>'Календарь'!A221</f>
        <v/>
      </c>
      <c r="D1337">
        <f>MONTH(C1337)</f>
        <v/>
      </c>
      <c r="E1337">
        <f>'Календарь'!D221</f>
        <v/>
      </c>
      <c r="F1337">
        <f>INT((C1337-Нед_Начало)/7)+1</f>
        <v/>
      </c>
      <c r="G1337">
        <f>IF(E1337=0,0,INDEX('Планы менеджеров'!$B$5:$M$16,B1337,D1337)/INDEX(Мес_Раб,D1337))</f>
        <v/>
      </c>
    </row>
    <row r="1338">
      <c r="A1338" t="inlineStr">
        <is>
          <t>Козлова</t>
        </is>
      </c>
      <c r="B1338" t="n">
        <v>8</v>
      </c>
      <c r="C1338" s="18">
        <f>'Календарь'!A222</f>
        <v/>
      </c>
      <c r="D1338">
        <f>MONTH(C1338)</f>
        <v/>
      </c>
      <c r="E1338">
        <f>'Календарь'!D222</f>
        <v/>
      </c>
      <c r="F1338">
        <f>INT((C1338-Нед_Начало)/7)+1</f>
        <v/>
      </c>
      <c r="G1338">
        <f>IF(E1338=0,0,INDEX('Планы менеджеров'!$B$5:$M$16,B1338,D1338)/INDEX(Мес_Раб,D1338))</f>
        <v/>
      </c>
    </row>
    <row r="1339">
      <c r="A1339" t="inlineStr">
        <is>
          <t>Козлова</t>
        </is>
      </c>
      <c r="B1339" t="n">
        <v>8</v>
      </c>
      <c r="C1339" s="18">
        <f>'Календарь'!A223</f>
        <v/>
      </c>
      <c r="D1339">
        <f>MONTH(C1339)</f>
        <v/>
      </c>
      <c r="E1339">
        <f>'Календарь'!D223</f>
        <v/>
      </c>
      <c r="F1339">
        <f>INT((C1339-Нед_Начало)/7)+1</f>
        <v/>
      </c>
      <c r="G1339">
        <f>IF(E1339=0,0,INDEX('Планы менеджеров'!$B$5:$M$16,B1339,D1339)/INDEX(Мес_Раб,D1339))</f>
        <v/>
      </c>
    </row>
    <row r="1340">
      <c r="A1340" t="inlineStr">
        <is>
          <t>Козлова</t>
        </is>
      </c>
      <c r="B1340" t="n">
        <v>8</v>
      </c>
      <c r="C1340" s="18">
        <f>'Календарь'!A224</f>
        <v/>
      </c>
      <c r="D1340">
        <f>MONTH(C1340)</f>
        <v/>
      </c>
      <c r="E1340">
        <f>'Календарь'!D224</f>
        <v/>
      </c>
      <c r="F1340">
        <f>INT((C1340-Нед_Начало)/7)+1</f>
        <v/>
      </c>
      <c r="G1340">
        <f>IF(E1340=0,0,INDEX('Планы менеджеров'!$B$5:$M$16,B1340,D1340)/INDEX(Мес_Раб,D1340))</f>
        <v/>
      </c>
    </row>
    <row r="1341">
      <c r="A1341" t="inlineStr">
        <is>
          <t>Козлова</t>
        </is>
      </c>
      <c r="B1341" t="n">
        <v>8</v>
      </c>
      <c r="C1341" s="18">
        <f>'Календарь'!A225</f>
        <v/>
      </c>
      <c r="D1341">
        <f>MONTH(C1341)</f>
        <v/>
      </c>
      <c r="E1341">
        <f>'Календарь'!D225</f>
        <v/>
      </c>
      <c r="F1341">
        <f>INT((C1341-Нед_Начало)/7)+1</f>
        <v/>
      </c>
      <c r="G1341">
        <f>IF(E1341=0,0,INDEX('Планы менеджеров'!$B$5:$M$16,B1341,D1341)/INDEX(Мес_Раб,D1341))</f>
        <v/>
      </c>
    </row>
    <row r="1342">
      <c r="A1342" t="inlineStr">
        <is>
          <t>Козлова</t>
        </is>
      </c>
      <c r="B1342" t="n">
        <v>8</v>
      </c>
      <c r="C1342" s="18">
        <f>'Календарь'!A226</f>
        <v/>
      </c>
      <c r="D1342">
        <f>MONTH(C1342)</f>
        <v/>
      </c>
      <c r="E1342">
        <f>'Календарь'!D226</f>
        <v/>
      </c>
      <c r="F1342">
        <f>INT((C1342-Нед_Начало)/7)+1</f>
        <v/>
      </c>
      <c r="G1342">
        <f>IF(E1342=0,0,INDEX('Планы менеджеров'!$B$5:$M$16,B1342,D1342)/INDEX(Мес_Раб,D1342))</f>
        <v/>
      </c>
    </row>
    <row r="1343">
      <c r="A1343" t="inlineStr">
        <is>
          <t>Козлова</t>
        </is>
      </c>
      <c r="B1343" t="n">
        <v>8</v>
      </c>
      <c r="C1343" s="18">
        <f>'Календарь'!A227</f>
        <v/>
      </c>
      <c r="D1343">
        <f>MONTH(C1343)</f>
        <v/>
      </c>
      <c r="E1343">
        <f>'Календарь'!D227</f>
        <v/>
      </c>
      <c r="F1343">
        <f>INT((C1343-Нед_Начало)/7)+1</f>
        <v/>
      </c>
      <c r="G1343">
        <f>IF(E1343=0,0,INDEX('Планы менеджеров'!$B$5:$M$16,B1343,D1343)/INDEX(Мес_Раб,D1343))</f>
        <v/>
      </c>
    </row>
    <row r="1344">
      <c r="A1344" t="inlineStr">
        <is>
          <t>Козлова</t>
        </is>
      </c>
      <c r="B1344" t="n">
        <v>8</v>
      </c>
      <c r="C1344" s="18">
        <f>'Календарь'!A228</f>
        <v/>
      </c>
      <c r="D1344">
        <f>MONTH(C1344)</f>
        <v/>
      </c>
      <c r="E1344">
        <f>'Календарь'!D228</f>
        <v/>
      </c>
      <c r="F1344">
        <f>INT((C1344-Нед_Начало)/7)+1</f>
        <v/>
      </c>
      <c r="G1344">
        <f>IF(E1344=0,0,INDEX('Планы менеджеров'!$B$5:$M$16,B1344,D1344)/INDEX(Мес_Раб,D1344))</f>
        <v/>
      </c>
    </row>
    <row r="1345">
      <c r="A1345" t="inlineStr">
        <is>
          <t>Козлова</t>
        </is>
      </c>
      <c r="B1345" t="n">
        <v>8</v>
      </c>
      <c r="C1345" s="18">
        <f>'Календарь'!A229</f>
        <v/>
      </c>
      <c r="D1345">
        <f>MONTH(C1345)</f>
        <v/>
      </c>
      <c r="E1345">
        <f>'Календарь'!D229</f>
        <v/>
      </c>
      <c r="F1345">
        <f>INT((C1345-Нед_Начало)/7)+1</f>
        <v/>
      </c>
      <c r="G1345">
        <f>IF(E1345=0,0,INDEX('Планы менеджеров'!$B$5:$M$16,B1345,D1345)/INDEX(Мес_Раб,D1345))</f>
        <v/>
      </c>
    </row>
    <row r="1346">
      <c r="A1346" t="inlineStr">
        <is>
          <t>Козлова</t>
        </is>
      </c>
      <c r="B1346" t="n">
        <v>8</v>
      </c>
      <c r="C1346" s="18">
        <f>'Календарь'!A230</f>
        <v/>
      </c>
      <c r="D1346">
        <f>MONTH(C1346)</f>
        <v/>
      </c>
      <c r="E1346">
        <f>'Календарь'!D230</f>
        <v/>
      </c>
      <c r="F1346">
        <f>INT((C1346-Нед_Начало)/7)+1</f>
        <v/>
      </c>
      <c r="G1346">
        <f>IF(E1346=0,0,INDEX('Планы менеджеров'!$B$5:$M$16,B1346,D1346)/INDEX(Мес_Раб,D1346))</f>
        <v/>
      </c>
    </row>
    <row r="1347">
      <c r="A1347" t="inlineStr">
        <is>
          <t>Козлова</t>
        </is>
      </c>
      <c r="B1347" t="n">
        <v>8</v>
      </c>
      <c r="C1347" s="18">
        <f>'Календарь'!A231</f>
        <v/>
      </c>
      <c r="D1347">
        <f>MONTH(C1347)</f>
        <v/>
      </c>
      <c r="E1347">
        <f>'Календарь'!D231</f>
        <v/>
      </c>
      <c r="F1347">
        <f>INT((C1347-Нед_Начало)/7)+1</f>
        <v/>
      </c>
      <c r="G1347">
        <f>IF(E1347=0,0,INDEX('Планы менеджеров'!$B$5:$M$16,B1347,D1347)/INDEX(Мес_Раб,D1347))</f>
        <v/>
      </c>
    </row>
    <row r="1348">
      <c r="A1348" t="inlineStr">
        <is>
          <t>Козлова</t>
        </is>
      </c>
      <c r="B1348" t="n">
        <v>8</v>
      </c>
      <c r="C1348" s="18">
        <f>'Календарь'!A232</f>
        <v/>
      </c>
      <c r="D1348">
        <f>MONTH(C1348)</f>
        <v/>
      </c>
      <c r="E1348">
        <f>'Календарь'!D232</f>
        <v/>
      </c>
      <c r="F1348">
        <f>INT((C1348-Нед_Начало)/7)+1</f>
        <v/>
      </c>
      <c r="G1348">
        <f>IF(E1348=0,0,INDEX('Планы менеджеров'!$B$5:$M$16,B1348,D1348)/INDEX(Мес_Раб,D1348))</f>
        <v/>
      </c>
    </row>
    <row r="1349">
      <c r="A1349" t="inlineStr">
        <is>
          <t>Козлова</t>
        </is>
      </c>
      <c r="B1349" t="n">
        <v>8</v>
      </c>
      <c r="C1349" s="18">
        <f>'Календарь'!A233</f>
        <v/>
      </c>
      <c r="D1349">
        <f>MONTH(C1349)</f>
        <v/>
      </c>
      <c r="E1349">
        <f>'Календарь'!D233</f>
        <v/>
      </c>
      <c r="F1349">
        <f>INT((C1349-Нед_Начало)/7)+1</f>
        <v/>
      </c>
      <c r="G1349">
        <f>IF(E1349=0,0,INDEX('Планы менеджеров'!$B$5:$M$16,B1349,D1349)/INDEX(Мес_Раб,D1349))</f>
        <v/>
      </c>
    </row>
    <row r="1350">
      <c r="A1350" t="inlineStr">
        <is>
          <t>Козлова</t>
        </is>
      </c>
      <c r="B1350" t="n">
        <v>8</v>
      </c>
      <c r="C1350" s="18">
        <f>'Календарь'!A234</f>
        <v/>
      </c>
      <c r="D1350">
        <f>MONTH(C1350)</f>
        <v/>
      </c>
      <c r="E1350">
        <f>'Календарь'!D234</f>
        <v/>
      </c>
      <c r="F1350">
        <f>INT((C1350-Нед_Начало)/7)+1</f>
        <v/>
      </c>
      <c r="G1350">
        <f>IF(E1350=0,0,INDEX('Планы менеджеров'!$B$5:$M$16,B1350,D1350)/INDEX(Мес_Раб,D1350))</f>
        <v/>
      </c>
    </row>
    <row r="1351">
      <c r="A1351" t="inlineStr">
        <is>
          <t>Козлова</t>
        </is>
      </c>
      <c r="B1351" t="n">
        <v>8</v>
      </c>
      <c r="C1351" s="18">
        <f>'Календарь'!A235</f>
        <v/>
      </c>
      <c r="D1351">
        <f>MONTH(C1351)</f>
        <v/>
      </c>
      <c r="E1351">
        <f>'Календарь'!D235</f>
        <v/>
      </c>
      <c r="F1351">
        <f>INT((C1351-Нед_Начало)/7)+1</f>
        <v/>
      </c>
      <c r="G1351">
        <f>IF(E1351=0,0,INDEX('Планы менеджеров'!$B$5:$M$16,B1351,D1351)/INDEX(Мес_Раб,D1351))</f>
        <v/>
      </c>
    </row>
    <row r="1352">
      <c r="A1352" t="inlineStr">
        <is>
          <t>Козлова</t>
        </is>
      </c>
      <c r="B1352" t="n">
        <v>8</v>
      </c>
      <c r="C1352" s="18">
        <f>'Календарь'!A236</f>
        <v/>
      </c>
      <c r="D1352">
        <f>MONTH(C1352)</f>
        <v/>
      </c>
      <c r="E1352">
        <f>'Календарь'!D236</f>
        <v/>
      </c>
      <c r="F1352">
        <f>INT((C1352-Нед_Начало)/7)+1</f>
        <v/>
      </c>
      <c r="G1352">
        <f>IF(E1352=0,0,INDEX('Планы менеджеров'!$B$5:$M$16,B1352,D1352)/INDEX(Мес_Раб,D1352))</f>
        <v/>
      </c>
    </row>
    <row r="1353">
      <c r="A1353" t="inlineStr">
        <is>
          <t>Козлова</t>
        </is>
      </c>
      <c r="B1353" t="n">
        <v>8</v>
      </c>
      <c r="C1353" s="18">
        <f>'Календарь'!A237</f>
        <v/>
      </c>
      <c r="D1353">
        <f>MONTH(C1353)</f>
        <v/>
      </c>
      <c r="E1353">
        <f>'Календарь'!D237</f>
        <v/>
      </c>
      <c r="F1353">
        <f>INT((C1353-Нед_Начало)/7)+1</f>
        <v/>
      </c>
      <c r="G1353">
        <f>IF(E1353=0,0,INDEX('Планы менеджеров'!$B$5:$M$16,B1353,D1353)/INDEX(Мес_Раб,D1353))</f>
        <v/>
      </c>
    </row>
    <row r="1354">
      <c r="A1354" t="inlineStr">
        <is>
          <t>Козлова</t>
        </is>
      </c>
      <c r="B1354" t="n">
        <v>8</v>
      </c>
      <c r="C1354" s="18">
        <f>'Календарь'!A238</f>
        <v/>
      </c>
      <c r="D1354">
        <f>MONTH(C1354)</f>
        <v/>
      </c>
      <c r="E1354">
        <f>'Календарь'!D238</f>
        <v/>
      </c>
      <c r="F1354">
        <f>INT((C1354-Нед_Начало)/7)+1</f>
        <v/>
      </c>
      <c r="G1354">
        <f>IF(E1354=0,0,INDEX('Планы менеджеров'!$B$5:$M$16,B1354,D1354)/INDEX(Мес_Раб,D1354))</f>
        <v/>
      </c>
    </row>
    <row r="1355">
      <c r="A1355" t="inlineStr">
        <is>
          <t>Козлова</t>
        </is>
      </c>
      <c r="B1355" t="n">
        <v>8</v>
      </c>
      <c r="C1355" s="18">
        <f>'Календарь'!A239</f>
        <v/>
      </c>
      <c r="D1355">
        <f>MONTH(C1355)</f>
        <v/>
      </c>
      <c r="E1355">
        <f>'Календарь'!D239</f>
        <v/>
      </c>
      <c r="F1355">
        <f>INT((C1355-Нед_Начало)/7)+1</f>
        <v/>
      </c>
      <c r="G1355">
        <f>IF(E1355=0,0,INDEX('Планы менеджеров'!$B$5:$M$16,B1355,D1355)/INDEX(Мес_Раб,D1355))</f>
        <v/>
      </c>
    </row>
    <row r="1356">
      <c r="A1356" t="inlineStr">
        <is>
          <t>Козлова</t>
        </is>
      </c>
      <c r="B1356" t="n">
        <v>8</v>
      </c>
      <c r="C1356" s="18">
        <f>'Календарь'!A240</f>
        <v/>
      </c>
      <c r="D1356">
        <f>MONTH(C1356)</f>
        <v/>
      </c>
      <c r="E1356">
        <f>'Календарь'!D240</f>
        <v/>
      </c>
      <c r="F1356">
        <f>INT((C1356-Нед_Начало)/7)+1</f>
        <v/>
      </c>
      <c r="G1356">
        <f>IF(E1356=0,0,INDEX('Планы менеджеров'!$B$5:$M$16,B1356,D1356)/INDEX(Мес_Раб,D1356))</f>
        <v/>
      </c>
    </row>
    <row r="1357">
      <c r="A1357" t="inlineStr">
        <is>
          <t>Козлова</t>
        </is>
      </c>
      <c r="B1357" t="n">
        <v>8</v>
      </c>
      <c r="C1357" s="18">
        <f>'Календарь'!A241</f>
        <v/>
      </c>
      <c r="D1357">
        <f>MONTH(C1357)</f>
        <v/>
      </c>
      <c r="E1357">
        <f>'Календарь'!D241</f>
        <v/>
      </c>
      <c r="F1357">
        <f>INT((C1357-Нед_Начало)/7)+1</f>
        <v/>
      </c>
      <c r="G1357">
        <f>IF(E1357=0,0,INDEX('Планы менеджеров'!$B$5:$M$16,B1357,D1357)/INDEX(Мес_Раб,D1357))</f>
        <v/>
      </c>
    </row>
    <row r="1358">
      <c r="A1358" t="inlineStr">
        <is>
          <t>Козлова</t>
        </is>
      </c>
      <c r="B1358" t="n">
        <v>8</v>
      </c>
      <c r="C1358" s="18">
        <f>'Календарь'!A242</f>
        <v/>
      </c>
      <c r="D1358">
        <f>MONTH(C1358)</f>
        <v/>
      </c>
      <c r="E1358">
        <f>'Календарь'!D242</f>
        <v/>
      </c>
      <c r="F1358">
        <f>INT((C1358-Нед_Начало)/7)+1</f>
        <v/>
      </c>
      <c r="G1358">
        <f>IF(E1358=0,0,INDEX('Планы менеджеров'!$B$5:$M$16,B1358,D1358)/INDEX(Мес_Раб,D1358))</f>
        <v/>
      </c>
    </row>
    <row r="1359">
      <c r="A1359" t="inlineStr">
        <is>
          <t>Козлова</t>
        </is>
      </c>
      <c r="B1359" t="n">
        <v>8</v>
      </c>
      <c r="C1359" s="18">
        <f>'Календарь'!A243</f>
        <v/>
      </c>
      <c r="D1359">
        <f>MONTH(C1359)</f>
        <v/>
      </c>
      <c r="E1359">
        <f>'Календарь'!D243</f>
        <v/>
      </c>
      <c r="F1359">
        <f>INT((C1359-Нед_Начало)/7)+1</f>
        <v/>
      </c>
      <c r="G1359">
        <f>IF(E1359=0,0,INDEX('Планы менеджеров'!$B$5:$M$16,B1359,D1359)/INDEX(Мес_Раб,D1359))</f>
        <v/>
      </c>
    </row>
    <row r="1360">
      <c r="A1360" t="inlineStr">
        <is>
          <t>Козлова</t>
        </is>
      </c>
      <c r="B1360" t="n">
        <v>8</v>
      </c>
      <c r="C1360" s="18">
        <f>'Календарь'!A244</f>
        <v/>
      </c>
      <c r="D1360">
        <f>MONTH(C1360)</f>
        <v/>
      </c>
      <c r="E1360">
        <f>'Календарь'!D244</f>
        <v/>
      </c>
      <c r="F1360">
        <f>INT((C1360-Нед_Начало)/7)+1</f>
        <v/>
      </c>
      <c r="G1360">
        <f>IF(E1360=0,0,INDEX('Планы менеджеров'!$B$5:$M$16,B1360,D1360)/INDEX(Мес_Раб,D1360))</f>
        <v/>
      </c>
    </row>
    <row r="1361">
      <c r="A1361" t="inlineStr">
        <is>
          <t>Козлова</t>
        </is>
      </c>
      <c r="B1361" t="n">
        <v>8</v>
      </c>
      <c r="C1361" s="18">
        <f>'Календарь'!A245</f>
        <v/>
      </c>
      <c r="D1361">
        <f>MONTH(C1361)</f>
        <v/>
      </c>
      <c r="E1361">
        <f>'Календарь'!D245</f>
        <v/>
      </c>
      <c r="F1361">
        <f>INT((C1361-Нед_Начало)/7)+1</f>
        <v/>
      </c>
      <c r="G1361">
        <f>IF(E1361=0,0,INDEX('Планы менеджеров'!$B$5:$M$16,B1361,D1361)/INDEX(Мес_Раб,D1361))</f>
        <v/>
      </c>
    </row>
    <row r="1362">
      <c r="A1362" t="inlineStr">
        <is>
          <t>Козлова</t>
        </is>
      </c>
      <c r="B1362" t="n">
        <v>8</v>
      </c>
      <c r="C1362" s="18">
        <f>'Календарь'!A246</f>
        <v/>
      </c>
      <c r="D1362">
        <f>MONTH(C1362)</f>
        <v/>
      </c>
      <c r="E1362">
        <f>'Календарь'!D246</f>
        <v/>
      </c>
      <c r="F1362">
        <f>INT((C1362-Нед_Начало)/7)+1</f>
        <v/>
      </c>
      <c r="G1362">
        <f>IF(E1362=0,0,INDEX('Планы менеджеров'!$B$5:$M$16,B1362,D1362)/INDEX(Мес_Раб,D1362))</f>
        <v/>
      </c>
    </row>
    <row r="1363">
      <c r="A1363" t="inlineStr">
        <is>
          <t>Козлова</t>
        </is>
      </c>
      <c r="B1363" t="n">
        <v>8</v>
      </c>
      <c r="C1363" s="18">
        <f>'Календарь'!A247</f>
        <v/>
      </c>
      <c r="D1363">
        <f>MONTH(C1363)</f>
        <v/>
      </c>
      <c r="E1363">
        <f>'Календарь'!D247</f>
        <v/>
      </c>
      <c r="F1363">
        <f>INT((C1363-Нед_Начало)/7)+1</f>
        <v/>
      </c>
      <c r="G1363">
        <f>IF(E1363=0,0,INDEX('Планы менеджеров'!$B$5:$M$16,B1363,D1363)/INDEX(Мес_Раб,D1363))</f>
        <v/>
      </c>
    </row>
    <row r="1364">
      <c r="A1364" t="inlineStr">
        <is>
          <t>Козлова</t>
        </is>
      </c>
      <c r="B1364" t="n">
        <v>8</v>
      </c>
      <c r="C1364" s="18">
        <f>'Календарь'!A248</f>
        <v/>
      </c>
      <c r="D1364">
        <f>MONTH(C1364)</f>
        <v/>
      </c>
      <c r="E1364">
        <f>'Календарь'!D248</f>
        <v/>
      </c>
      <c r="F1364">
        <f>INT((C1364-Нед_Начало)/7)+1</f>
        <v/>
      </c>
      <c r="G1364">
        <f>IF(E1364=0,0,INDEX('Планы менеджеров'!$B$5:$M$16,B1364,D1364)/INDEX(Мес_Раб,D1364))</f>
        <v/>
      </c>
    </row>
    <row r="1365">
      <c r="A1365" t="inlineStr">
        <is>
          <t>Козлова</t>
        </is>
      </c>
      <c r="B1365" t="n">
        <v>8</v>
      </c>
      <c r="C1365" s="18">
        <f>'Календарь'!A249</f>
        <v/>
      </c>
      <c r="D1365">
        <f>MONTH(C1365)</f>
        <v/>
      </c>
      <c r="E1365">
        <f>'Календарь'!D249</f>
        <v/>
      </c>
      <c r="F1365">
        <f>INT((C1365-Нед_Начало)/7)+1</f>
        <v/>
      </c>
      <c r="G1365">
        <f>IF(E1365=0,0,INDEX('Планы менеджеров'!$B$5:$M$16,B1365,D1365)/INDEX(Мес_Раб,D1365))</f>
        <v/>
      </c>
    </row>
    <row r="1366">
      <c r="A1366" t="inlineStr">
        <is>
          <t>Козлова</t>
        </is>
      </c>
      <c r="B1366" t="n">
        <v>8</v>
      </c>
      <c r="C1366" s="18">
        <f>'Календарь'!A250</f>
        <v/>
      </c>
      <c r="D1366">
        <f>MONTH(C1366)</f>
        <v/>
      </c>
      <c r="E1366">
        <f>'Календарь'!D250</f>
        <v/>
      </c>
      <c r="F1366">
        <f>INT((C1366-Нед_Начало)/7)+1</f>
        <v/>
      </c>
      <c r="G1366">
        <f>IF(E1366=0,0,INDEX('Планы менеджеров'!$B$5:$M$16,B1366,D1366)/INDEX(Мес_Раб,D1366))</f>
        <v/>
      </c>
    </row>
    <row r="1367">
      <c r="A1367" t="inlineStr">
        <is>
          <t>Козлова</t>
        </is>
      </c>
      <c r="B1367" t="n">
        <v>8</v>
      </c>
      <c r="C1367" s="18">
        <f>'Календарь'!A251</f>
        <v/>
      </c>
      <c r="D1367">
        <f>MONTH(C1367)</f>
        <v/>
      </c>
      <c r="E1367">
        <f>'Календарь'!D251</f>
        <v/>
      </c>
      <c r="F1367">
        <f>INT((C1367-Нед_Начало)/7)+1</f>
        <v/>
      </c>
      <c r="G1367">
        <f>IF(E1367=0,0,INDEX('Планы менеджеров'!$B$5:$M$16,B1367,D1367)/INDEX(Мес_Раб,D1367))</f>
        <v/>
      </c>
    </row>
    <row r="1368">
      <c r="A1368" t="inlineStr">
        <is>
          <t>Козлова</t>
        </is>
      </c>
      <c r="B1368" t="n">
        <v>8</v>
      </c>
      <c r="C1368" s="18">
        <f>'Календарь'!A252</f>
        <v/>
      </c>
      <c r="D1368">
        <f>MONTH(C1368)</f>
        <v/>
      </c>
      <c r="E1368">
        <f>'Календарь'!D252</f>
        <v/>
      </c>
      <c r="F1368">
        <f>INT((C1368-Нед_Начало)/7)+1</f>
        <v/>
      </c>
      <c r="G1368">
        <f>IF(E1368=0,0,INDEX('Планы менеджеров'!$B$5:$M$16,B1368,D1368)/INDEX(Мес_Раб,D1368))</f>
        <v/>
      </c>
    </row>
    <row r="1369">
      <c r="A1369" t="inlineStr">
        <is>
          <t>Козлова</t>
        </is>
      </c>
      <c r="B1369" t="n">
        <v>8</v>
      </c>
      <c r="C1369" s="18">
        <f>'Календарь'!A253</f>
        <v/>
      </c>
      <c r="D1369">
        <f>MONTH(C1369)</f>
        <v/>
      </c>
      <c r="E1369">
        <f>'Календарь'!D253</f>
        <v/>
      </c>
      <c r="F1369">
        <f>INT((C1369-Нед_Начало)/7)+1</f>
        <v/>
      </c>
      <c r="G1369">
        <f>IF(E1369=0,0,INDEX('Планы менеджеров'!$B$5:$M$16,B1369,D1369)/INDEX(Мес_Раб,D1369))</f>
        <v/>
      </c>
    </row>
    <row r="1370">
      <c r="A1370" t="inlineStr">
        <is>
          <t>Козлова</t>
        </is>
      </c>
      <c r="B1370" t="n">
        <v>8</v>
      </c>
      <c r="C1370" s="18">
        <f>'Календарь'!A254</f>
        <v/>
      </c>
      <c r="D1370">
        <f>MONTH(C1370)</f>
        <v/>
      </c>
      <c r="E1370">
        <f>'Календарь'!D254</f>
        <v/>
      </c>
      <c r="F1370">
        <f>INT((C1370-Нед_Начало)/7)+1</f>
        <v/>
      </c>
      <c r="G1370">
        <f>IF(E1370=0,0,INDEX('Планы менеджеров'!$B$5:$M$16,B1370,D1370)/INDEX(Мес_Раб,D1370))</f>
        <v/>
      </c>
    </row>
    <row r="1371">
      <c r="A1371" t="inlineStr">
        <is>
          <t>Козлова</t>
        </is>
      </c>
      <c r="B1371" t="n">
        <v>8</v>
      </c>
      <c r="C1371" s="18">
        <f>'Календарь'!A255</f>
        <v/>
      </c>
      <c r="D1371">
        <f>MONTH(C1371)</f>
        <v/>
      </c>
      <c r="E1371">
        <f>'Календарь'!D255</f>
        <v/>
      </c>
      <c r="F1371">
        <f>INT((C1371-Нед_Начало)/7)+1</f>
        <v/>
      </c>
      <c r="G1371">
        <f>IF(E1371=0,0,INDEX('Планы менеджеров'!$B$5:$M$16,B1371,D1371)/INDEX(Мес_Раб,D1371))</f>
        <v/>
      </c>
    </row>
    <row r="1372">
      <c r="A1372" t="inlineStr">
        <is>
          <t>Козлова</t>
        </is>
      </c>
      <c r="B1372" t="n">
        <v>8</v>
      </c>
      <c r="C1372" s="18">
        <f>'Календарь'!A256</f>
        <v/>
      </c>
      <c r="D1372">
        <f>MONTH(C1372)</f>
        <v/>
      </c>
      <c r="E1372">
        <f>'Календарь'!D256</f>
        <v/>
      </c>
      <c r="F1372">
        <f>INT((C1372-Нед_Начало)/7)+1</f>
        <v/>
      </c>
      <c r="G1372">
        <f>IF(E1372=0,0,INDEX('Планы менеджеров'!$B$5:$M$16,B1372,D1372)/INDEX(Мес_Раб,D1372))</f>
        <v/>
      </c>
    </row>
    <row r="1373">
      <c r="A1373" t="inlineStr">
        <is>
          <t>Козлова</t>
        </is>
      </c>
      <c r="B1373" t="n">
        <v>8</v>
      </c>
      <c r="C1373" s="18">
        <f>'Календарь'!A257</f>
        <v/>
      </c>
      <c r="D1373">
        <f>MONTH(C1373)</f>
        <v/>
      </c>
      <c r="E1373">
        <f>'Календарь'!D257</f>
        <v/>
      </c>
      <c r="F1373">
        <f>INT((C1373-Нед_Начало)/7)+1</f>
        <v/>
      </c>
      <c r="G1373">
        <f>IF(E1373=0,0,INDEX('Планы менеджеров'!$B$5:$M$16,B1373,D1373)/INDEX(Мес_Раб,D1373))</f>
        <v/>
      </c>
    </row>
    <row r="1374">
      <c r="A1374" t="inlineStr">
        <is>
          <t>Козлова</t>
        </is>
      </c>
      <c r="B1374" t="n">
        <v>8</v>
      </c>
      <c r="C1374" s="18">
        <f>'Календарь'!A258</f>
        <v/>
      </c>
      <c r="D1374">
        <f>MONTH(C1374)</f>
        <v/>
      </c>
      <c r="E1374">
        <f>'Календарь'!D258</f>
        <v/>
      </c>
      <c r="F1374">
        <f>INT((C1374-Нед_Начало)/7)+1</f>
        <v/>
      </c>
      <c r="G1374">
        <f>IF(E1374=0,0,INDEX('Планы менеджеров'!$B$5:$M$16,B1374,D1374)/INDEX(Мес_Раб,D1374))</f>
        <v/>
      </c>
    </row>
    <row r="1375">
      <c r="A1375" t="inlineStr">
        <is>
          <t>Козлова</t>
        </is>
      </c>
      <c r="B1375" t="n">
        <v>8</v>
      </c>
      <c r="C1375" s="18">
        <f>'Календарь'!A259</f>
        <v/>
      </c>
      <c r="D1375">
        <f>MONTH(C1375)</f>
        <v/>
      </c>
      <c r="E1375">
        <f>'Календарь'!D259</f>
        <v/>
      </c>
      <c r="F1375">
        <f>INT((C1375-Нед_Начало)/7)+1</f>
        <v/>
      </c>
      <c r="G1375">
        <f>IF(E1375=0,0,INDEX('Планы менеджеров'!$B$5:$M$16,B1375,D1375)/INDEX(Мес_Раб,D1375))</f>
        <v/>
      </c>
    </row>
    <row r="1376">
      <c r="A1376" t="inlineStr">
        <is>
          <t>Козлова</t>
        </is>
      </c>
      <c r="B1376" t="n">
        <v>8</v>
      </c>
      <c r="C1376" s="18">
        <f>'Календарь'!A260</f>
        <v/>
      </c>
      <c r="D1376">
        <f>MONTH(C1376)</f>
        <v/>
      </c>
      <c r="E1376">
        <f>'Календарь'!D260</f>
        <v/>
      </c>
      <c r="F1376">
        <f>INT((C1376-Нед_Начало)/7)+1</f>
        <v/>
      </c>
      <c r="G1376">
        <f>IF(E1376=0,0,INDEX('Планы менеджеров'!$B$5:$M$16,B1376,D1376)/INDEX(Мес_Раб,D1376))</f>
        <v/>
      </c>
    </row>
    <row r="1377">
      <c r="A1377" t="inlineStr">
        <is>
          <t>Козлова</t>
        </is>
      </c>
      <c r="B1377" t="n">
        <v>8</v>
      </c>
      <c r="C1377" s="18">
        <f>'Календарь'!A261</f>
        <v/>
      </c>
      <c r="D1377">
        <f>MONTH(C1377)</f>
        <v/>
      </c>
      <c r="E1377">
        <f>'Календарь'!D261</f>
        <v/>
      </c>
      <c r="F1377">
        <f>INT((C1377-Нед_Начало)/7)+1</f>
        <v/>
      </c>
      <c r="G1377">
        <f>IF(E1377=0,0,INDEX('Планы менеджеров'!$B$5:$M$16,B1377,D1377)/INDEX(Мес_Раб,D1377))</f>
        <v/>
      </c>
    </row>
    <row r="1378">
      <c r="A1378" t="inlineStr">
        <is>
          <t>Козлова</t>
        </is>
      </c>
      <c r="B1378" t="n">
        <v>8</v>
      </c>
      <c r="C1378" s="18">
        <f>'Календарь'!A262</f>
        <v/>
      </c>
      <c r="D1378">
        <f>MONTH(C1378)</f>
        <v/>
      </c>
      <c r="E1378">
        <f>'Календарь'!D262</f>
        <v/>
      </c>
      <c r="F1378">
        <f>INT((C1378-Нед_Начало)/7)+1</f>
        <v/>
      </c>
      <c r="G1378">
        <f>IF(E1378=0,0,INDEX('Планы менеджеров'!$B$5:$M$16,B1378,D1378)/INDEX(Мес_Раб,D1378))</f>
        <v/>
      </c>
    </row>
    <row r="1379">
      <c r="A1379" t="inlineStr">
        <is>
          <t>Козлова</t>
        </is>
      </c>
      <c r="B1379" t="n">
        <v>8</v>
      </c>
      <c r="C1379" s="18">
        <f>'Календарь'!A263</f>
        <v/>
      </c>
      <c r="D1379">
        <f>MONTH(C1379)</f>
        <v/>
      </c>
      <c r="E1379">
        <f>'Календарь'!D263</f>
        <v/>
      </c>
      <c r="F1379">
        <f>INT((C1379-Нед_Начало)/7)+1</f>
        <v/>
      </c>
      <c r="G1379">
        <f>IF(E1379=0,0,INDEX('Планы менеджеров'!$B$5:$M$16,B1379,D1379)/INDEX(Мес_Раб,D1379))</f>
        <v/>
      </c>
    </row>
    <row r="1380">
      <c r="A1380" t="inlineStr">
        <is>
          <t>Козлова</t>
        </is>
      </c>
      <c r="B1380" t="n">
        <v>8</v>
      </c>
      <c r="C1380" s="18">
        <f>'Календарь'!A264</f>
        <v/>
      </c>
      <c r="D1380">
        <f>MONTH(C1380)</f>
        <v/>
      </c>
      <c r="E1380">
        <f>'Календарь'!D264</f>
        <v/>
      </c>
      <c r="F1380">
        <f>INT((C1380-Нед_Начало)/7)+1</f>
        <v/>
      </c>
      <c r="G1380">
        <f>IF(E1380=0,0,INDEX('Планы менеджеров'!$B$5:$M$16,B1380,D1380)/INDEX(Мес_Раб,D1380))</f>
        <v/>
      </c>
    </row>
    <row r="1381">
      <c r="A1381" t="inlineStr">
        <is>
          <t>Козлова</t>
        </is>
      </c>
      <c r="B1381" t="n">
        <v>8</v>
      </c>
      <c r="C1381" s="18">
        <f>'Календарь'!A265</f>
        <v/>
      </c>
      <c r="D1381">
        <f>MONTH(C1381)</f>
        <v/>
      </c>
      <c r="E1381">
        <f>'Календарь'!D265</f>
        <v/>
      </c>
      <c r="F1381">
        <f>INT((C1381-Нед_Начало)/7)+1</f>
        <v/>
      </c>
      <c r="G1381">
        <f>IF(E1381=0,0,INDEX('Планы менеджеров'!$B$5:$M$16,B1381,D1381)/INDEX(Мес_Раб,D1381))</f>
        <v/>
      </c>
    </row>
    <row r="1382">
      <c r="A1382" t="inlineStr">
        <is>
          <t>Козлова</t>
        </is>
      </c>
      <c r="B1382" t="n">
        <v>8</v>
      </c>
      <c r="C1382" s="18">
        <f>'Календарь'!A266</f>
        <v/>
      </c>
      <c r="D1382">
        <f>MONTH(C1382)</f>
        <v/>
      </c>
      <c r="E1382">
        <f>'Календарь'!D266</f>
        <v/>
      </c>
      <c r="F1382">
        <f>INT((C1382-Нед_Начало)/7)+1</f>
        <v/>
      </c>
      <c r="G1382">
        <f>IF(E1382=0,0,INDEX('Планы менеджеров'!$B$5:$M$16,B1382,D1382)/INDEX(Мес_Раб,D1382))</f>
        <v/>
      </c>
    </row>
    <row r="1383">
      <c r="A1383" t="inlineStr">
        <is>
          <t>Козлова</t>
        </is>
      </c>
      <c r="B1383" t="n">
        <v>8</v>
      </c>
      <c r="C1383" s="18">
        <f>'Календарь'!A267</f>
        <v/>
      </c>
      <c r="D1383">
        <f>MONTH(C1383)</f>
        <v/>
      </c>
      <c r="E1383">
        <f>'Календарь'!D267</f>
        <v/>
      </c>
      <c r="F1383">
        <f>INT((C1383-Нед_Начало)/7)+1</f>
        <v/>
      </c>
      <c r="G1383">
        <f>IF(E1383=0,0,INDEX('Планы менеджеров'!$B$5:$M$16,B1383,D1383)/INDEX(Мес_Раб,D1383))</f>
        <v/>
      </c>
    </row>
    <row r="1384">
      <c r="A1384" t="inlineStr">
        <is>
          <t>Козлова</t>
        </is>
      </c>
      <c r="B1384" t="n">
        <v>8</v>
      </c>
      <c r="C1384" s="18">
        <f>'Календарь'!A268</f>
        <v/>
      </c>
      <c r="D1384">
        <f>MONTH(C1384)</f>
        <v/>
      </c>
      <c r="E1384">
        <f>'Календарь'!D268</f>
        <v/>
      </c>
      <c r="F1384">
        <f>INT((C1384-Нед_Начало)/7)+1</f>
        <v/>
      </c>
      <c r="G1384">
        <f>IF(E1384=0,0,INDEX('Планы менеджеров'!$B$5:$M$16,B1384,D1384)/INDEX(Мес_Раб,D1384))</f>
        <v/>
      </c>
    </row>
    <row r="1385">
      <c r="A1385" t="inlineStr">
        <is>
          <t>Козлова</t>
        </is>
      </c>
      <c r="B1385" t="n">
        <v>8</v>
      </c>
      <c r="C1385" s="18">
        <f>'Календарь'!A269</f>
        <v/>
      </c>
      <c r="D1385">
        <f>MONTH(C1385)</f>
        <v/>
      </c>
      <c r="E1385">
        <f>'Календарь'!D269</f>
        <v/>
      </c>
      <c r="F1385">
        <f>INT((C1385-Нед_Начало)/7)+1</f>
        <v/>
      </c>
      <c r="G1385">
        <f>IF(E1385=0,0,INDEX('Планы менеджеров'!$B$5:$M$16,B1385,D1385)/INDEX(Мес_Раб,D1385))</f>
        <v/>
      </c>
    </row>
    <row r="1386">
      <c r="A1386" t="inlineStr">
        <is>
          <t>Козлова</t>
        </is>
      </c>
      <c r="B1386" t="n">
        <v>8</v>
      </c>
      <c r="C1386" s="18">
        <f>'Календарь'!A270</f>
        <v/>
      </c>
      <c r="D1386">
        <f>MONTH(C1386)</f>
        <v/>
      </c>
      <c r="E1386">
        <f>'Календарь'!D270</f>
        <v/>
      </c>
      <c r="F1386">
        <f>INT((C1386-Нед_Начало)/7)+1</f>
        <v/>
      </c>
      <c r="G1386">
        <f>IF(E1386=0,0,INDEX('Планы менеджеров'!$B$5:$M$16,B1386,D1386)/INDEX(Мес_Раб,D1386))</f>
        <v/>
      </c>
    </row>
    <row r="1387">
      <c r="A1387" t="inlineStr">
        <is>
          <t>Козлова</t>
        </is>
      </c>
      <c r="B1387" t="n">
        <v>8</v>
      </c>
      <c r="C1387" s="18">
        <f>'Календарь'!A271</f>
        <v/>
      </c>
      <c r="D1387">
        <f>MONTH(C1387)</f>
        <v/>
      </c>
      <c r="E1387">
        <f>'Календарь'!D271</f>
        <v/>
      </c>
      <c r="F1387">
        <f>INT((C1387-Нед_Начало)/7)+1</f>
        <v/>
      </c>
      <c r="G1387">
        <f>IF(E1387=0,0,INDEX('Планы менеджеров'!$B$5:$M$16,B1387,D1387)/INDEX(Мес_Раб,D1387))</f>
        <v/>
      </c>
    </row>
    <row r="1388">
      <c r="A1388" t="inlineStr">
        <is>
          <t>Козлова</t>
        </is>
      </c>
      <c r="B1388" t="n">
        <v>8</v>
      </c>
      <c r="C1388" s="18">
        <f>'Календарь'!A272</f>
        <v/>
      </c>
      <c r="D1388">
        <f>MONTH(C1388)</f>
        <v/>
      </c>
      <c r="E1388">
        <f>'Календарь'!D272</f>
        <v/>
      </c>
      <c r="F1388">
        <f>INT((C1388-Нед_Начало)/7)+1</f>
        <v/>
      </c>
      <c r="G1388">
        <f>IF(E1388=0,0,INDEX('Планы менеджеров'!$B$5:$M$16,B1388,D1388)/INDEX(Мес_Раб,D1388))</f>
        <v/>
      </c>
    </row>
    <row r="1389">
      <c r="A1389" t="inlineStr">
        <is>
          <t>Козлова</t>
        </is>
      </c>
      <c r="B1389" t="n">
        <v>8</v>
      </c>
      <c r="C1389" s="18">
        <f>'Календарь'!A273</f>
        <v/>
      </c>
      <c r="D1389">
        <f>MONTH(C1389)</f>
        <v/>
      </c>
      <c r="E1389">
        <f>'Календарь'!D273</f>
        <v/>
      </c>
      <c r="F1389">
        <f>INT((C1389-Нед_Начало)/7)+1</f>
        <v/>
      </c>
      <c r="G1389">
        <f>IF(E1389=0,0,INDEX('Планы менеджеров'!$B$5:$M$16,B1389,D1389)/INDEX(Мес_Раб,D1389))</f>
        <v/>
      </c>
    </row>
    <row r="1390">
      <c r="A1390" t="inlineStr">
        <is>
          <t>Козлова</t>
        </is>
      </c>
      <c r="B1390" t="n">
        <v>8</v>
      </c>
      <c r="C1390" s="18">
        <f>'Календарь'!A274</f>
        <v/>
      </c>
      <c r="D1390">
        <f>MONTH(C1390)</f>
        <v/>
      </c>
      <c r="E1390">
        <f>'Календарь'!D274</f>
        <v/>
      </c>
      <c r="F1390">
        <f>INT((C1390-Нед_Начало)/7)+1</f>
        <v/>
      </c>
      <c r="G1390">
        <f>IF(E1390=0,0,INDEX('Планы менеджеров'!$B$5:$M$16,B1390,D1390)/INDEX(Мес_Раб,D1390))</f>
        <v/>
      </c>
    </row>
    <row r="1391">
      <c r="A1391" t="inlineStr">
        <is>
          <t>Козлова</t>
        </is>
      </c>
      <c r="B1391" t="n">
        <v>8</v>
      </c>
      <c r="C1391" s="18">
        <f>'Календарь'!A275</f>
        <v/>
      </c>
      <c r="D1391">
        <f>MONTH(C1391)</f>
        <v/>
      </c>
      <c r="E1391">
        <f>'Календарь'!D275</f>
        <v/>
      </c>
      <c r="F1391">
        <f>INT((C1391-Нед_Начало)/7)+1</f>
        <v/>
      </c>
      <c r="G1391">
        <f>IF(E1391=0,0,INDEX('Планы менеджеров'!$B$5:$M$16,B1391,D1391)/INDEX(Мес_Раб,D1391))</f>
        <v/>
      </c>
    </row>
    <row r="1392">
      <c r="A1392" t="inlineStr">
        <is>
          <t>Козлова</t>
        </is>
      </c>
      <c r="B1392" t="n">
        <v>8</v>
      </c>
      <c r="C1392" s="18">
        <f>'Календарь'!A276</f>
        <v/>
      </c>
      <c r="D1392">
        <f>MONTH(C1392)</f>
        <v/>
      </c>
      <c r="E1392">
        <f>'Календарь'!D276</f>
        <v/>
      </c>
      <c r="F1392">
        <f>INT((C1392-Нед_Начало)/7)+1</f>
        <v/>
      </c>
      <c r="G1392">
        <f>IF(E1392=0,0,INDEX('Планы менеджеров'!$B$5:$M$16,B1392,D1392)/INDEX(Мес_Раб,D1392))</f>
        <v/>
      </c>
    </row>
    <row r="1393">
      <c r="A1393" t="inlineStr">
        <is>
          <t>Козлова</t>
        </is>
      </c>
      <c r="B1393" t="n">
        <v>8</v>
      </c>
      <c r="C1393" s="18">
        <f>'Календарь'!A277</f>
        <v/>
      </c>
      <c r="D1393">
        <f>MONTH(C1393)</f>
        <v/>
      </c>
      <c r="E1393">
        <f>'Календарь'!D277</f>
        <v/>
      </c>
      <c r="F1393">
        <f>INT((C1393-Нед_Начало)/7)+1</f>
        <v/>
      </c>
      <c r="G1393">
        <f>IF(E1393=0,0,INDEX('Планы менеджеров'!$B$5:$M$16,B1393,D1393)/INDEX(Мес_Раб,D1393))</f>
        <v/>
      </c>
    </row>
    <row r="1394">
      <c r="A1394" t="inlineStr">
        <is>
          <t>Козлова</t>
        </is>
      </c>
      <c r="B1394" t="n">
        <v>8</v>
      </c>
      <c r="C1394" s="18">
        <f>'Календарь'!A278</f>
        <v/>
      </c>
      <c r="D1394">
        <f>MONTH(C1394)</f>
        <v/>
      </c>
      <c r="E1394">
        <f>'Календарь'!D278</f>
        <v/>
      </c>
      <c r="F1394">
        <f>INT((C1394-Нед_Начало)/7)+1</f>
        <v/>
      </c>
      <c r="G1394">
        <f>IF(E1394=0,0,INDEX('Планы менеджеров'!$B$5:$M$16,B1394,D1394)/INDEX(Мес_Раб,D1394))</f>
        <v/>
      </c>
    </row>
    <row r="1395">
      <c r="A1395" t="inlineStr">
        <is>
          <t>Козлова</t>
        </is>
      </c>
      <c r="B1395" t="n">
        <v>8</v>
      </c>
      <c r="C1395" s="18">
        <f>'Календарь'!A279</f>
        <v/>
      </c>
      <c r="D1395">
        <f>MONTH(C1395)</f>
        <v/>
      </c>
      <c r="E1395">
        <f>'Календарь'!D279</f>
        <v/>
      </c>
      <c r="F1395">
        <f>INT((C1395-Нед_Начало)/7)+1</f>
        <v/>
      </c>
      <c r="G1395">
        <f>IF(E1395=0,0,INDEX('Планы менеджеров'!$B$5:$M$16,B1395,D1395)/INDEX(Мес_Раб,D1395))</f>
        <v/>
      </c>
    </row>
    <row r="1396">
      <c r="A1396" t="inlineStr">
        <is>
          <t>Козлова</t>
        </is>
      </c>
      <c r="B1396" t="n">
        <v>8</v>
      </c>
      <c r="C1396" s="18">
        <f>'Календарь'!A280</f>
        <v/>
      </c>
      <c r="D1396">
        <f>MONTH(C1396)</f>
        <v/>
      </c>
      <c r="E1396">
        <f>'Календарь'!D280</f>
        <v/>
      </c>
      <c r="F1396">
        <f>INT((C1396-Нед_Начало)/7)+1</f>
        <v/>
      </c>
      <c r="G1396">
        <f>IF(E1396=0,0,INDEX('Планы менеджеров'!$B$5:$M$16,B1396,D1396)/INDEX(Мес_Раб,D1396))</f>
        <v/>
      </c>
    </row>
    <row r="1397">
      <c r="A1397" t="inlineStr">
        <is>
          <t>Козлова</t>
        </is>
      </c>
      <c r="B1397" t="n">
        <v>8</v>
      </c>
      <c r="C1397" s="18">
        <f>'Календарь'!A281</f>
        <v/>
      </c>
      <c r="D1397">
        <f>MONTH(C1397)</f>
        <v/>
      </c>
      <c r="E1397">
        <f>'Календарь'!D281</f>
        <v/>
      </c>
      <c r="F1397">
        <f>INT((C1397-Нед_Начало)/7)+1</f>
        <v/>
      </c>
      <c r="G1397">
        <f>IF(E1397=0,0,INDEX('Планы менеджеров'!$B$5:$M$16,B1397,D1397)/INDEX(Мес_Раб,D1397))</f>
        <v/>
      </c>
    </row>
    <row r="1398">
      <c r="A1398" t="inlineStr">
        <is>
          <t>Козлова</t>
        </is>
      </c>
      <c r="B1398" t="n">
        <v>8</v>
      </c>
      <c r="C1398" s="18">
        <f>'Календарь'!A282</f>
        <v/>
      </c>
      <c r="D1398">
        <f>MONTH(C1398)</f>
        <v/>
      </c>
      <c r="E1398">
        <f>'Календарь'!D282</f>
        <v/>
      </c>
      <c r="F1398">
        <f>INT((C1398-Нед_Начало)/7)+1</f>
        <v/>
      </c>
      <c r="G1398">
        <f>IF(E1398=0,0,INDEX('Планы менеджеров'!$B$5:$M$16,B1398,D1398)/INDEX(Мес_Раб,D1398))</f>
        <v/>
      </c>
    </row>
    <row r="1399">
      <c r="A1399" t="inlineStr">
        <is>
          <t>Козлова</t>
        </is>
      </c>
      <c r="B1399" t="n">
        <v>8</v>
      </c>
      <c r="C1399" s="18">
        <f>'Календарь'!A283</f>
        <v/>
      </c>
      <c r="D1399">
        <f>MONTH(C1399)</f>
        <v/>
      </c>
      <c r="E1399">
        <f>'Календарь'!D283</f>
        <v/>
      </c>
      <c r="F1399">
        <f>INT((C1399-Нед_Начало)/7)+1</f>
        <v/>
      </c>
      <c r="G1399">
        <f>IF(E1399=0,0,INDEX('Планы менеджеров'!$B$5:$M$16,B1399,D1399)/INDEX(Мес_Раб,D1399))</f>
        <v/>
      </c>
    </row>
    <row r="1400">
      <c r="A1400" t="inlineStr">
        <is>
          <t>Козлова</t>
        </is>
      </c>
      <c r="B1400" t="n">
        <v>8</v>
      </c>
      <c r="C1400" s="18">
        <f>'Календарь'!A284</f>
        <v/>
      </c>
      <c r="D1400">
        <f>MONTH(C1400)</f>
        <v/>
      </c>
      <c r="E1400">
        <f>'Календарь'!D284</f>
        <v/>
      </c>
      <c r="F1400">
        <f>INT((C1400-Нед_Начало)/7)+1</f>
        <v/>
      </c>
      <c r="G1400">
        <f>IF(E1400=0,0,INDEX('Планы менеджеров'!$B$5:$M$16,B1400,D1400)/INDEX(Мес_Раб,D1400))</f>
        <v/>
      </c>
    </row>
    <row r="1401">
      <c r="A1401" t="inlineStr">
        <is>
          <t>Козлова</t>
        </is>
      </c>
      <c r="B1401" t="n">
        <v>8</v>
      </c>
      <c r="C1401" s="18">
        <f>'Календарь'!A285</f>
        <v/>
      </c>
      <c r="D1401">
        <f>MONTH(C1401)</f>
        <v/>
      </c>
      <c r="E1401">
        <f>'Календарь'!D285</f>
        <v/>
      </c>
      <c r="F1401">
        <f>INT((C1401-Нед_Начало)/7)+1</f>
        <v/>
      </c>
      <c r="G1401">
        <f>IF(E1401=0,0,INDEX('Планы менеджеров'!$B$5:$M$16,B1401,D1401)/INDEX(Мес_Раб,D1401))</f>
        <v/>
      </c>
    </row>
    <row r="1402">
      <c r="A1402" t="inlineStr">
        <is>
          <t>Козлова</t>
        </is>
      </c>
      <c r="B1402" t="n">
        <v>8</v>
      </c>
      <c r="C1402" s="18">
        <f>'Календарь'!A286</f>
        <v/>
      </c>
      <c r="D1402">
        <f>MONTH(C1402)</f>
        <v/>
      </c>
      <c r="E1402">
        <f>'Календарь'!D286</f>
        <v/>
      </c>
      <c r="F1402">
        <f>INT((C1402-Нед_Начало)/7)+1</f>
        <v/>
      </c>
      <c r="G1402">
        <f>IF(E1402=0,0,INDEX('Планы менеджеров'!$B$5:$M$16,B1402,D1402)/INDEX(Мес_Раб,D1402))</f>
        <v/>
      </c>
    </row>
    <row r="1403">
      <c r="A1403" t="inlineStr">
        <is>
          <t>Козлова</t>
        </is>
      </c>
      <c r="B1403" t="n">
        <v>8</v>
      </c>
      <c r="C1403" s="18">
        <f>'Календарь'!A287</f>
        <v/>
      </c>
      <c r="D1403">
        <f>MONTH(C1403)</f>
        <v/>
      </c>
      <c r="E1403">
        <f>'Календарь'!D287</f>
        <v/>
      </c>
      <c r="F1403">
        <f>INT((C1403-Нед_Начало)/7)+1</f>
        <v/>
      </c>
      <c r="G1403">
        <f>IF(E1403=0,0,INDEX('Планы менеджеров'!$B$5:$M$16,B1403,D1403)/INDEX(Мес_Раб,D1403))</f>
        <v/>
      </c>
    </row>
    <row r="1404">
      <c r="A1404" t="inlineStr">
        <is>
          <t>Козлова</t>
        </is>
      </c>
      <c r="B1404" t="n">
        <v>8</v>
      </c>
      <c r="C1404" s="18">
        <f>'Календарь'!A288</f>
        <v/>
      </c>
      <c r="D1404">
        <f>MONTH(C1404)</f>
        <v/>
      </c>
      <c r="E1404">
        <f>'Календарь'!D288</f>
        <v/>
      </c>
      <c r="F1404">
        <f>INT((C1404-Нед_Начало)/7)+1</f>
        <v/>
      </c>
      <c r="G1404">
        <f>IF(E1404=0,0,INDEX('Планы менеджеров'!$B$5:$M$16,B1404,D1404)/INDEX(Мес_Раб,D1404))</f>
        <v/>
      </c>
    </row>
    <row r="1405">
      <c r="A1405" t="inlineStr">
        <is>
          <t>Козлова</t>
        </is>
      </c>
      <c r="B1405" t="n">
        <v>8</v>
      </c>
      <c r="C1405" s="18">
        <f>'Календарь'!A289</f>
        <v/>
      </c>
      <c r="D1405">
        <f>MONTH(C1405)</f>
        <v/>
      </c>
      <c r="E1405">
        <f>'Календарь'!D289</f>
        <v/>
      </c>
      <c r="F1405">
        <f>INT((C1405-Нед_Начало)/7)+1</f>
        <v/>
      </c>
      <c r="G1405">
        <f>IF(E1405=0,0,INDEX('Планы менеджеров'!$B$5:$M$16,B1405,D1405)/INDEX(Мес_Раб,D1405))</f>
        <v/>
      </c>
    </row>
    <row r="1406">
      <c r="A1406" t="inlineStr">
        <is>
          <t>Козлова</t>
        </is>
      </c>
      <c r="B1406" t="n">
        <v>8</v>
      </c>
      <c r="C1406" s="18">
        <f>'Календарь'!A290</f>
        <v/>
      </c>
      <c r="D1406">
        <f>MONTH(C1406)</f>
        <v/>
      </c>
      <c r="E1406">
        <f>'Календарь'!D290</f>
        <v/>
      </c>
      <c r="F1406">
        <f>INT((C1406-Нед_Начало)/7)+1</f>
        <v/>
      </c>
      <c r="G1406">
        <f>IF(E1406=0,0,INDEX('Планы менеджеров'!$B$5:$M$16,B1406,D1406)/INDEX(Мес_Раб,D1406))</f>
        <v/>
      </c>
    </row>
    <row r="1407">
      <c r="A1407" t="inlineStr">
        <is>
          <t>Козлова</t>
        </is>
      </c>
      <c r="B1407" t="n">
        <v>8</v>
      </c>
      <c r="C1407" s="18">
        <f>'Календарь'!A291</f>
        <v/>
      </c>
      <c r="D1407">
        <f>MONTH(C1407)</f>
        <v/>
      </c>
      <c r="E1407">
        <f>'Календарь'!D291</f>
        <v/>
      </c>
      <c r="F1407">
        <f>INT((C1407-Нед_Начало)/7)+1</f>
        <v/>
      </c>
      <c r="G1407">
        <f>IF(E1407=0,0,INDEX('Планы менеджеров'!$B$5:$M$16,B1407,D1407)/INDEX(Мес_Раб,D1407))</f>
        <v/>
      </c>
    </row>
    <row r="1408">
      <c r="A1408" t="inlineStr">
        <is>
          <t>Козлова</t>
        </is>
      </c>
      <c r="B1408" t="n">
        <v>8</v>
      </c>
      <c r="C1408" s="18">
        <f>'Календарь'!A292</f>
        <v/>
      </c>
      <c r="D1408">
        <f>MONTH(C1408)</f>
        <v/>
      </c>
      <c r="E1408">
        <f>'Календарь'!D292</f>
        <v/>
      </c>
      <c r="F1408">
        <f>INT((C1408-Нед_Начало)/7)+1</f>
        <v/>
      </c>
      <c r="G1408">
        <f>IF(E1408=0,0,INDEX('Планы менеджеров'!$B$5:$M$16,B1408,D1408)/INDEX(Мес_Раб,D1408))</f>
        <v/>
      </c>
    </row>
    <row r="1409">
      <c r="A1409" t="inlineStr">
        <is>
          <t>Козлова</t>
        </is>
      </c>
      <c r="B1409" t="n">
        <v>8</v>
      </c>
      <c r="C1409" s="18">
        <f>'Календарь'!A293</f>
        <v/>
      </c>
      <c r="D1409">
        <f>MONTH(C1409)</f>
        <v/>
      </c>
      <c r="E1409">
        <f>'Календарь'!D293</f>
        <v/>
      </c>
      <c r="F1409">
        <f>INT((C1409-Нед_Начало)/7)+1</f>
        <v/>
      </c>
      <c r="G1409">
        <f>IF(E1409=0,0,INDEX('Планы менеджеров'!$B$5:$M$16,B1409,D1409)/INDEX(Мес_Раб,D1409))</f>
        <v/>
      </c>
    </row>
    <row r="1410">
      <c r="A1410" t="inlineStr">
        <is>
          <t>Козлова</t>
        </is>
      </c>
      <c r="B1410" t="n">
        <v>8</v>
      </c>
      <c r="C1410" s="18">
        <f>'Календарь'!A294</f>
        <v/>
      </c>
      <c r="D1410">
        <f>MONTH(C1410)</f>
        <v/>
      </c>
      <c r="E1410">
        <f>'Календарь'!D294</f>
        <v/>
      </c>
      <c r="F1410">
        <f>INT((C1410-Нед_Начало)/7)+1</f>
        <v/>
      </c>
      <c r="G1410">
        <f>IF(E1410=0,0,INDEX('Планы менеджеров'!$B$5:$M$16,B1410,D1410)/INDEX(Мес_Раб,D1410))</f>
        <v/>
      </c>
    </row>
    <row r="1411">
      <c r="A1411" t="inlineStr">
        <is>
          <t>Козлова</t>
        </is>
      </c>
      <c r="B1411" t="n">
        <v>8</v>
      </c>
      <c r="C1411" s="18">
        <f>'Календарь'!A295</f>
        <v/>
      </c>
      <c r="D1411">
        <f>MONTH(C1411)</f>
        <v/>
      </c>
      <c r="E1411">
        <f>'Календарь'!D295</f>
        <v/>
      </c>
      <c r="F1411">
        <f>INT((C1411-Нед_Начало)/7)+1</f>
        <v/>
      </c>
      <c r="G1411">
        <f>IF(E1411=0,0,INDEX('Планы менеджеров'!$B$5:$M$16,B1411,D1411)/INDEX(Мес_Раб,D1411))</f>
        <v/>
      </c>
    </row>
    <row r="1412">
      <c r="A1412" t="inlineStr">
        <is>
          <t>Козлова</t>
        </is>
      </c>
      <c r="B1412" t="n">
        <v>8</v>
      </c>
      <c r="C1412" s="18">
        <f>'Календарь'!A296</f>
        <v/>
      </c>
      <c r="D1412">
        <f>MONTH(C1412)</f>
        <v/>
      </c>
      <c r="E1412">
        <f>'Календарь'!D296</f>
        <v/>
      </c>
      <c r="F1412">
        <f>INT((C1412-Нед_Начало)/7)+1</f>
        <v/>
      </c>
      <c r="G1412">
        <f>IF(E1412=0,0,INDEX('Планы менеджеров'!$B$5:$M$16,B1412,D1412)/INDEX(Мес_Раб,D1412))</f>
        <v/>
      </c>
    </row>
    <row r="1413">
      <c r="A1413" t="inlineStr">
        <is>
          <t>Козлова</t>
        </is>
      </c>
      <c r="B1413" t="n">
        <v>8</v>
      </c>
      <c r="C1413" s="18">
        <f>'Календарь'!A297</f>
        <v/>
      </c>
      <c r="D1413">
        <f>MONTH(C1413)</f>
        <v/>
      </c>
      <c r="E1413">
        <f>'Календарь'!D297</f>
        <v/>
      </c>
      <c r="F1413">
        <f>INT((C1413-Нед_Начало)/7)+1</f>
        <v/>
      </c>
      <c r="G1413">
        <f>IF(E1413=0,0,INDEX('Планы менеджеров'!$B$5:$M$16,B1413,D1413)/INDEX(Мес_Раб,D1413))</f>
        <v/>
      </c>
    </row>
    <row r="1414">
      <c r="A1414" t="inlineStr">
        <is>
          <t>Козлова</t>
        </is>
      </c>
      <c r="B1414" t="n">
        <v>8</v>
      </c>
      <c r="C1414" s="18">
        <f>'Календарь'!A298</f>
        <v/>
      </c>
      <c r="D1414">
        <f>MONTH(C1414)</f>
        <v/>
      </c>
      <c r="E1414">
        <f>'Календарь'!D298</f>
        <v/>
      </c>
      <c r="F1414">
        <f>INT((C1414-Нед_Начало)/7)+1</f>
        <v/>
      </c>
      <c r="G1414">
        <f>IF(E1414=0,0,INDEX('Планы менеджеров'!$B$5:$M$16,B1414,D1414)/INDEX(Мес_Раб,D1414))</f>
        <v/>
      </c>
    </row>
    <row r="1415">
      <c r="A1415" t="inlineStr">
        <is>
          <t>Козлова</t>
        </is>
      </c>
      <c r="B1415" t="n">
        <v>8</v>
      </c>
      <c r="C1415" s="18">
        <f>'Календарь'!A299</f>
        <v/>
      </c>
      <c r="D1415">
        <f>MONTH(C1415)</f>
        <v/>
      </c>
      <c r="E1415">
        <f>'Календарь'!D299</f>
        <v/>
      </c>
      <c r="F1415">
        <f>INT((C1415-Нед_Начало)/7)+1</f>
        <v/>
      </c>
      <c r="G1415">
        <f>IF(E1415=0,0,INDEX('Планы менеджеров'!$B$5:$M$16,B1415,D1415)/INDEX(Мес_Раб,D1415))</f>
        <v/>
      </c>
    </row>
    <row r="1416">
      <c r="A1416" t="inlineStr">
        <is>
          <t>Козлова</t>
        </is>
      </c>
      <c r="B1416" t="n">
        <v>8</v>
      </c>
      <c r="C1416" s="18">
        <f>'Календарь'!A300</f>
        <v/>
      </c>
      <c r="D1416">
        <f>MONTH(C1416)</f>
        <v/>
      </c>
      <c r="E1416">
        <f>'Календарь'!D300</f>
        <v/>
      </c>
      <c r="F1416">
        <f>INT((C1416-Нед_Начало)/7)+1</f>
        <v/>
      </c>
      <c r="G1416">
        <f>IF(E1416=0,0,INDEX('Планы менеджеров'!$B$5:$M$16,B1416,D1416)/INDEX(Мес_Раб,D1416))</f>
        <v/>
      </c>
    </row>
    <row r="1417">
      <c r="A1417" t="inlineStr">
        <is>
          <t>Козлова</t>
        </is>
      </c>
      <c r="B1417" t="n">
        <v>8</v>
      </c>
      <c r="C1417" s="18">
        <f>'Календарь'!A301</f>
        <v/>
      </c>
      <c r="D1417">
        <f>MONTH(C1417)</f>
        <v/>
      </c>
      <c r="E1417">
        <f>'Календарь'!D301</f>
        <v/>
      </c>
      <c r="F1417">
        <f>INT((C1417-Нед_Начало)/7)+1</f>
        <v/>
      </c>
      <c r="G1417">
        <f>IF(E1417=0,0,INDEX('Планы менеджеров'!$B$5:$M$16,B1417,D1417)/INDEX(Мес_Раб,D1417))</f>
        <v/>
      </c>
    </row>
    <row r="1418">
      <c r="A1418" t="inlineStr">
        <is>
          <t>Козлова</t>
        </is>
      </c>
      <c r="B1418" t="n">
        <v>8</v>
      </c>
      <c r="C1418" s="18">
        <f>'Календарь'!A302</f>
        <v/>
      </c>
      <c r="D1418">
        <f>MONTH(C1418)</f>
        <v/>
      </c>
      <c r="E1418">
        <f>'Календарь'!D302</f>
        <v/>
      </c>
      <c r="F1418">
        <f>INT((C1418-Нед_Начало)/7)+1</f>
        <v/>
      </c>
      <c r="G1418">
        <f>IF(E1418=0,0,INDEX('Планы менеджеров'!$B$5:$M$16,B1418,D1418)/INDEX(Мес_Раб,D1418))</f>
        <v/>
      </c>
    </row>
    <row r="1419">
      <c r="A1419" t="inlineStr">
        <is>
          <t>Козлова</t>
        </is>
      </c>
      <c r="B1419" t="n">
        <v>8</v>
      </c>
      <c r="C1419" s="18">
        <f>'Календарь'!A303</f>
        <v/>
      </c>
      <c r="D1419">
        <f>MONTH(C1419)</f>
        <v/>
      </c>
      <c r="E1419">
        <f>'Календарь'!D303</f>
        <v/>
      </c>
      <c r="F1419">
        <f>INT((C1419-Нед_Начало)/7)+1</f>
        <v/>
      </c>
      <c r="G1419">
        <f>IF(E1419=0,0,INDEX('Планы менеджеров'!$B$5:$M$16,B1419,D1419)/INDEX(Мес_Раб,D1419))</f>
        <v/>
      </c>
    </row>
    <row r="1420">
      <c r="A1420" t="inlineStr">
        <is>
          <t>Козлова</t>
        </is>
      </c>
      <c r="B1420" t="n">
        <v>8</v>
      </c>
      <c r="C1420" s="18">
        <f>'Календарь'!A304</f>
        <v/>
      </c>
      <c r="D1420">
        <f>MONTH(C1420)</f>
        <v/>
      </c>
      <c r="E1420">
        <f>'Календарь'!D304</f>
        <v/>
      </c>
      <c r="F1420">
        <f>INT((C1420-Нед_Начало)/7)+1</f>
        <v/>
      </c>
      <c r="G1420">
        <f>IF(E1420=0,0,INDEX('Планы менеджеров'!$B$5:$M$16,B1420,D1420)/INDEX(Мес_Раб,D1420))</f>
        <v/>
      </c>
    </row>
    <row r="1421">
      <c r="A1421" t="inlineStr">
        <is>
          <t>Козлова</t>
        </is>
      </c>
      <c r="B1421" t="n">
        <v>8</v>
      </c>
      <c r="C1421" s="18">
        <f>'Календарь'!A305</f>
        <v/>
      </c>
      <c r="D1421">
        <f>MONTH(C1421)</f>
        <v/>
      </c>
      <c r="E1421">
        <f>'Календарь'!D305</f>
        <v/>
      </c>
      <c r="F1421">
        <f>INT((C1421-Нед_Начало)/7)+1</f>
        <v/>
      </c>
      <c r="G1421">
        <f>IF(E1421=0,0,INDEX('Планы менеджеров'!$B$5:$M$16,B1421,D1421)/INDEX(Мес_Раб,D1421))</f>
        <v/>
      </c>
    </row>
    <row r="1422">
      <c r="A1422" t="inlineStr">
        <is>
          <t>Козлова</t>
        </is>
      </c>
      <c r="B1422" t="n">
        <v>8</v>
      </c>
      <c r="C1422" s="18">
        <f>'Календарь'!A306</f>
        <v/>
      </c>
      <c r="D1422">
        <f>MONTH(C1422)</f>
        <v/>
      </c>
      <c r="E1422">
        <f>'Календарь'!D306</f>
        <v/>
      </c>
      <c r="F1422">
        <f>INT((C1422-Нед_Начало)/7)+1</f>
        <v/>
      </c>
      <c r="G1422">
        <f>IF(E1422=0,0,INDEX('Планы менеджеров'!$B$5:$M$16,B1422,D1422)/INDEX(Мес_Раб,D1422))</f>
        <v/>
      </c>
    </row>
    <row r="1423">
      <c r="A1423" t="inlineStr">
        <is>
          <t>Козлова</t>
        </is>
      </c>
      <c r="B1423" t="n">
        <v>8</v>
      </c>
      <c r="C1423" s="18">
        <f>'Календарь'!A307</f>
        <v/>
      </c>
      <c r="D1423">
        <f>MONTH(C1423)</f>
        <v/>
      </c>
      <c r="E1423">
        <f>'Календарь'!D307</f>
        <v/>
      </c>
      <c r="F1423">
        <f>INT((C1423-Нед_Начало)/7)+1</f>
        <v/>
      </c>
      <c r="G1423">
        <f>IF(E1423=0,0,INDEX('Планы менеджеров'!$B$5:$M$16,B1423,D1423)/INDEX(Мес_Раб,D1423))</f>
        <v/>
      </c>
    </row>
    <row r="1424">
      <c r="A1424" t="inlineStr">
        <is>
          <t>Козлова</t>
        </is>
      </c>
      <c r="B1424" t="n">
        <v>8</v>
      </c>
      <c r="C1424" s="18">
        <f>'Календарь'!A308</f>
        <v/>
      </c>
      <c r="D1424">
        <f>MONTH(C1424)</f>
        <v/>
      </c>
      <c r="E1424">
        <f>'Календарь'!D308</f>
        <v/>
      </c>
      <c r="F1424">
        <f>INT((C1424-Нед_Начало)/7)+1</f>
        <v/>
      </c>
      <c r="G1424">
        <f>IF(E1424=0,0,INDEX('Планы менеджеров'!$B$5:$M$16,B1424,D1424)/INDEX(Мес_Раб,D1424))</f>
        <v/>
      </c>
    </row>
    <row r="1425">
      <c r="A1425" t="inlineStr">
        <is>
          <t>Козлова</t>
        </is>
      </c>
      <c r="B1425" t="n">
        <v>8</v>
      </c>
      <c r="C1425" s="18">
        <f>'Календарь'!A309</f>
        <v/>
      </c>
      <c r="D1425">
        <f>MONTH(C1425)</f>
        <v/>
      </c>
      <c r="E1425">
        <f>'Календарь'!D309</f>
        <v/>
      </c>
      <c r="F1425">
        <f>INT((C1425-Нед_Начало)/7)+1</f>
        <v/>
      </c>
      <c r="G1425">
        <f>IF(E1425=0,0,INDEX('Планы менеджеров'!$B$5:$M$16,B1425,D1425)/INDEX(Мес_Раб,D1425))</f>
        <v/>
      </c>
    </row>
    <row r="1426">
      <c r="A1426" t="inlineStr">
        <is>
          <t>Козлова</t>
        </is>
      </c>
      <c r="B1426" t="n">
        <v>8</v>
      </c>
      <c r="C1426" s="18">
        <f>'Календарь'!A310</f>
        <v/>
      </c>
      <c r="D1426">
        <f>MONTH(C1426)</f>
        <v/>
      </c>
      <c r="E1426">
        <f>'Календарь'!D310</f>
        <v/>
      </c>
      <c r="F1426">
        <f>INT((C1426-Нед_Начало)/7)+1</f>
        <v/>
      </c>
      <c r="G1426">
        <f>IF(E1426=0,0,INDEX('Планы менеджеров'!$B$5:$M$16,B1426,D1426)/INDEX(Мес_Раб,D1426))</f>
        <v/>
      </c>
    </row>
    <row r="1427">
      <c r="A1427" t="inlineStr">
        <is>
          <t>Козлова</t>
        </is>
      </c>
      <c r="B1427" t="n">
        <v>8</v>
      </c>
      <c r="C1427" s="18">
        <f>'Календарь'!A311</f>
        <v/>
      </c>
      <c r="D1427">
        <f>MONTH(C1427)</f>
        <v/>
      </c>
      <c r="E1427">
        <f>'Календарь'!D311</f>
        <v/>
      </c>
      <c r="F1427">
        <f>INT((C1427-Нед_Начало)/7)+1</f>
        <v/>
      </c>
      <c r="G1427">
        <f>IF(E1427=0,0,INDEX('Планы менеджеров'!$B$5:$M$16,B1427,D1427)/INDEX(Мес_Раб,D1427))</f>
        <v/>
      </c>
    </row>
    <row r="1428">
      <c r="A1428" t="inlineStr">
        <is>
          <t>Козлова</t>
        </is>
      </c>
      <c r="B1428" t="n">
        <v>8</v>
      </c>
      <c r="C1428" s="18">
        <f>'Календарь'!A312</f>
        <v/>
      </c>
      <c r="D1428">
        <f>MONTH(C1428)</f>
        <v/>
      </c>
      <c r="E1428">
        <f>'Календарь'!D312</f>
        <v/>
      </c>
      <c r="F1428">
        <f>INT((C1428-Нед_Начало)/7)+1</f>
        <v/>
      </c>
      <c r="G1428">
        <f>IF(E1428=0,0,INDEX('Планы менеджеров'!$B$5:$M$16,B1428,D1428)/INDEX(Мес_Раб,D1428))</f>
        <v/>
      </c>
    </row>
    <row r="1429">
      <c r="A1429" t="inlineStr">
        <is>
          <t>Козлова</t>
        </is>
      </c>
      <c r="B1429" t="n">
        <v>8</v>
      </c>
      <c r="C1429" s="18">
        <f>'Календарь'!A313</f>
        <v/>
      </c>
      <c r="D1429">
        <f>MONTH(C1429)</f>
        <v/>
      </c>
      <c r="E1429">
        <f>'Календарь'!D313</f>
        <v/>
      </c>
      <c r="F1429">
        <f>INT((C1429-Нед_Начало)/7)+1</f>
        <v/>
      </c>
      <c r="G1429">
        <f>IF(E1429=0,0,INDEX('Планы менеджеров'!$B$5:$M$16,B1429,D1429)/INDEX(Мес_Раб,D1429))</f>
        <v/>
      </c>
    </row>
    <row r="1430">
      <c r="A1430" t="inlineStr">
        <is>
          <t>Козлова</t>
        </is>
      </c>
      <c r="B1430" t="n">
        <v>8</v>
      </c>
      <c r="C1430" s="18">
        <f>'Календарь'!A314</f>
        <v/>
      </c>
      <c r="D1430">
        <f>MONTH(C1430)</f>
        <v/>
      </c>
      <c r="E1430">
        <f>'Календарь'!D314</f>
        <v/>
      </c>
      <c r="F1430">
        <f>INT((C1430-Нед_Начало)/7)+1</f>
        <v/>
      </c>
      <c r="G1430">
        <f>IF(E1430=0,0,INDEX('Планы менеджеров'!$B$5:$M$16,B1430,D1430)/INDEX(Мес_Раб,D1430))</f>
        <v/>
      </c>
    </row>
    <row r="1431">
      <c r="A1431" t="inlineStr">
        <is>
          <t>Козлова</t>
        </is>
      </c>
      <c r="B1431" t="n">
        <v>8</v>
      </c>
      <c r="C1431" s="18">
        <f>'Календарь'!A315</f>
        <v/>
      </c>
      <c r="D1431">
        <f>MONTH(C1431)</f>
        <v/>
      </c>
      <c r="E1431">
        <f>'Календарь'!D315</f>
        <v/>
      </c>
      <c r="F1431">
        <f>INT((C1431-Нед_Начало)/7)+1</f>
        <v/>
      </c>
      <c r="G1431">
        <f>IF(E1431=0,0,INDEX('Планы менеджеров'!$B$5:$M$16,B1431,D1431)/INDEX(Мес_Раб,D1431))</f>
        <v/>
      </c>
    </row>
    <row r="1432">
      <c r="A1432" t="inlineStr">
        <is>
          <t>Козлова</t>
        </is>
      </c>
      <c r="B1432" t="n">
        <v>8</v>
      </c>
      <c r="C1432" s="18">
        <f>'Календарь'!A316</f>
        <v/>
      </c>
      <c r="D1432">
        <f>MONTH(C1432)</f>
        <v/>
      </c>
      <c r="E1432">
        <f>'Календарь'!D316</f>
        <v/>
      </c>
      <c r="F1432">
        <f>INT((C1432-Нед_Начало)/7)+1</f>
        <v/>
      </c>
      <c r="G1432">
        <f>IF(E1432=0,0,INDEX('Планы менеджеров'!$B$5:$M$16,B1432,D1432)/INDEX(Мес_Раб,D1432))</f>
        <v/>
      </c>
    </row>
    <row r="1433">
      <c r="A1433" t="inlineStr">
        <is>
          <t>Козлова</t>
        </is>
      </c>
      <c r="B1433" t="n">
        <v>8</v>
      </c>
      <c r="C1433" s="18">
        <f>'Календарь'!A317</f>
        <v/>
      </c>
      <c r="D1433">
        <f>MONTH(C1433)</f>
        <v/>
      </c>
      <c r="E1433">
        <f>'Календарь'!D317</f>
        <v/>
      </c>
      <c r="F1433">
        <f>INT((C1433-Нед_Начало)/7)+1</f>
        <v/>
      </c>
      <c r="G1433">
        <f>IF(E1433=0,0,INDEX('Планы менеджеров'!$B$5:$M$16,B1433,D1433)/INDEX(Мес_Раб,D1433))</f>
        <v/>
      </c>
    </row>
    <row r="1434">
      <c r="A1434" t="inlineStr">
        <is>
          <t>Козлова</t>
        </is>
      </c>
      <c r="B1434" t="n">
        <v>8</v>
      </c>
      <c r="C1434" s="18">
        <f>'Календарь'!A318</f>
        <v/>
      </c>
      <c r="D1434">
        <f>MONTH(C1434)</f>
        <v/>
      </c>
      <c r="E1434">
        <f>'Календарь'!D318</f>
        <v/>
      </c>
      <c r="F1434">
        <f>INT((C1434-Нед_Начало)/7)+1</f>
        <v/>
      </c>
      <c r="G1434">
        <f>IF(E1434=0,0,INDEX('Планы менеджеров'!$B$5:$M$16,B1434,D1434)/INDEX(Мес_Раб,D1434))</f>
        <v/>
      </c>
    </row>
    <row r="1435">
      <c r="A1435" t="inlineStr">
        <is>
          <t>Козлова</t>
        </is>
      </c>
      <c r="B1435" t="n">
        <v>8</v>
      </c>
      <c r="C1435" s="18">
        <f>'Календарь'!A319</f>
        <v/>
      </c>
      <c r="D1435">
        <f>MONTH(C1435)</f>
        <v/>
      </c>
      <c r="E1435">
        <f>'Календарь'!D319</f>
        <v/>
      </c>
      <c r="F1435">
        <f>INT((C1435-Нед_Начало)/7)+1</f>
        <v/>
      </c>
      <c r="G1435">
        <f>IF(E1435=0,0,INDEX('Планы менеджеров'!$B$5:$M$16,B1435,D1435)/INDEX(Мес_Раб,D1435))</f>
        <v/>
      </c>
    </row>
    <row r="1436">
      <c r="A1436" t="inlineStr">
        <is>
          <t>Козлова</t>
        </is>
      </c>
      <c r="B1436" t="n">
        <v>8</v>
      </c>
      <c r="C1436" s="18">
        <f>'Календарь'!A320</f>
        <v/>
      </c>
      <c r="D1436">
        <f>MONTH(C1436)</f>
        <v/>
      </c>
      <c r="E1436">
        <f>'Календарь'!D320</f>
        <v/>
      </c>
      <c r="F1436">
        <f>INT((C1436-Нед_Начало)/7)+1</f>
        <v/>
      </c>
      <c r="G1436">
        <f>IF(E1436=0,0,INDEX('Планы менеджеров'!$B$5:$M$16,B1436,D1436)/INDEX(Мес_Раб,D1436))</f>
        <v/>
      </c>
    </row>
    <row r="1437">
      <c r="A1437" t="inlineStr">
        <is>
          <t>Козлова</t>
        </is>
      </c>
      <c r="B1437" t="n">
        <v>8</v>
      </c>
      <c r="C1437" s="18">
        <f>'Календарь'!A321</f>
        <v/>
      </c>
      <c r="D1437">
        <f>MONTH(C1437)</f>
        <v/>
      </c>
      <c r="E1437">
        <f>'Календарь'!D321</f>
        <v/>
      </c>
      <c r="F1437">
        <f>INT((C1437-Нед_Начало)/7)+1</f>
        <v/>
      </c>
      <c r="G1437">
        <f>IF(E1437=0,0,INDEX('Планы менеджеров'!$B$5:$M$16,B1437,D1437)/INDEX(Мес_Раб,D1437))</f>
        <v/>
      </c>
    </row>
    <row r="1438">
      <c r="A1438" t="inlineStr">
        <is>
          <t>Козлова</t>
        </is>
      </c>
      <c r="B1438" t="n">
        <v>8</v>
      </c>
      <c r="C1438" s="18">
        <f>'Календарь'!A322</f>
        <v/>
      </c>
      <c r="D1438">
        <f>MONTH(C1438)</f>
        <v/>
      </c>
      <c r="E1438">
        <f>'Календарь'!D322</f>
        <v/>
      </c>
      <c r="F1438">
        <f>INT((C1438-Нед_Начало)/7)+1</f>
        <v/>
      </c>
      <c r="G1438">
        <f>IF(E1438=0,0,INDEX('Планы менеджеров'!$B$5:$M$16,B1438,D1438)/INDEX(Мес_Раб,D1438))</f>
        <v/>
      </c>
    </row>
    <row r="1439">
      <c r="A1439" t="inlineStr">
        <is>
          <t>Козлова</t>
        </is>
      </c>
      <c r="B1439" t="n">
        <v>8</v>
      </c>
      <c r="C1439" s="18">
        <f>'Календарь'!A323</f>
        <v/>
      </c>
      <c r="D1439">
        <f>MONTH(C1439)</f>
        <v/>
      </c>
      <c r="E1439">
        <f>'Календарь'!D323</f>
        <v/>
      </c>
      <c r="F1439">
        <f>INT((C1439-Нед_Начало)/7)+1</f>
        <v/>
      </c>
      <c r="G1439">
        <f>IF(E1439=0,0,INDEX('Планы менеджеров'!$B$5:$M$16,B1439,D1439)/INDEX(Мес_Раб,D1439))</f>
        <v/>
      </c>
    </row>
    <row r="1440">
      <c r="A1440" t="inlineStr">
        <is>
          <t>Козлова</t>
        </is>
      </c>
      <c r="B1440" t="n">
        <v>8</v>
      </c>
      <c r="C1440" s="18">
        <f>'Календарь'!A324</f>
        <v/>
      </c>
      <c r="D1440">
        <f>MONTH(C1440)</f>
        <v/>
      </c>
      <c r="E1440">
        <f>'Календарь'!D324</f>
        <v/>
      </c>
      <c r="F1440">
        <f>INT((C1440-Нед_Начало)/7)+1</f>
        <v/>
      </c>
      <c r="G1440">
        <f>IF(E1440=0,0,INDEX('Планы менеджеров'!$B$5:$M$16,B1440,D1440)/INDEX(Мес_Раб,D1440))</f>
        <v/>
      </c>
    </row>
    <row r="1441">
      <c r="A1441" t="inlineStr">
        <is>
          <t>Козлова</t>
        </is>
      </c>
      <c r="B1441" t="n">
        <v>8</v>
      </c>
      <c r="C1441" s="18">
        <f>'Календарь'!A325</f>
        <v/>
      </c>
      <c r="D1441">
        <f>MONTH(C1441)</f>
        <v/>
      </c>
      <c r="E1441">
        <f>'Календарь'!D325</f>
        <v/>
      </c>
      <c r="F1441">
        <f>INT((C1441-Нед_Начало)/7)+1</f>
        <v/>
      </c>
      <c r="G1441">
        <f>IF(E1441=0,0,INDEX('Планы менеджеров'!$B$5:$M$16,B1441,D1441)/INDEX(Мес_Раб,D1441))</f>
        <v/>
      </c>
    </row>
    <row r="1442">
      <c r="A1442" t="inlineStr">
        <is>
          <t>Козлова</t>
        </is>
      </c>
      <c r="B1442" t="n">
        <v>8</v>
      </c>
      <c r="C1442" s="18">
        <f>'Календарь'!A326</f>
        <v/>
      </c>
      <c r="D1442">
        <f>MONTH(C1442)</f>
        <v/>
      </c>
      <c r="E1442">
        <f>'Календарь'!D326</f>
        <v/>
      </c>
      <c r="F1442">
        <f>INT((C1442-Нед_Начало)/7)+1</f>
        <v/>
      </c>
      <c r="G1442">
        <f>IF(E1442=0,0,INDEX('Планы менеджеров'!$B$5:$M$16,B1442,D1442)/INDEX(Мес_Раб,D1442))</f>
        <v/>
      </c>
    </row>
    <row r="1443">
      <c r="A1443" t="inlineStr">
        <is>
          <t>Козлова</t>
        </is>
      </c>
      <c r="B1443" t="n">
        <v>8</v>
      </c>
      <c r="C1443" s="18">
        <f>'Календарь'!A327</f>
        <v/>
      </c>
      <c r="D1443">
        <f>MONTH(C1443)</f>
        <v/>
      </c>
      <c r="E1443">
        <f>'Календарь'!D327</f>
        <v/>
      </c>
      <c r="F1443">
        <f>INT((C1443-Нед_Начало)/7)+1</f>
        <v/>
      </c>
      <c r="G1443">
        <f>IF(E1443=0,0,INDEX('Планы менеджеров'!$B$5:$M$16,B1443,D1443)/INDEX(Мес_Раб,D1443))</f>
        <v/>
      </c>
    </row>
    <row r="1444">
      <c r="A1444" t="inlineStr">
        <is>
          <t>Козлова</t>
        </is>
      </c>
      <c r="B1444" t="n">
        <v>8</v>
      </c>
      <c r="C1444" s="18">
        <f>'Календарь'!A328</f>
        <v/>
      </c>
      <c r="D1444">
        <f>MONTH(C1444)</f>
        <v/>
      </c>
      <c r="E1444">
        <f>'Календарь'!D328</f>
        <v/>
      </c>
      <c r="F1444">
        <f>INT((C1444-Нед_Начало)/7)+1</f>
        <v/>
      </c>
      <c r="G1444">
        <f>IF(E1444=0,0,INDEX('Планы менеджеров'!$B$5:$M$16,B1444,D1444)/INDEX(Мес_Раб,D1444))</f>
        <v/>
      </c>
    </row>
    <row r="1445">
      <c r="A1445" t="inlineStr">
        <is>
          <t>Козлова</t>
        </is>
      </c>
      <c r="B1445" t="n">
        <v>8</v>
      </c>
      <c r="C1445" s="18">
        <f>'Календарь'!A329</f>
        <v/>
      </c>
      <c r="D1445">
        <f>MONTH(C1445)</f>
        <v/>
      </c>
      <c r="E1445">
        <f>'Календарь'!D329</f>
        <v/>
      </c>
      <c r="F1445">
        <f>INT((C1445-Нед_Начало)/7)+1</f>
        <v/>
      </c>
      <c r="G1445">
        <f>IF(E1445=0,0,INDEX('Планы менеджеров'!$B$5:$M$16,B1445,D1445)/INDEX(Мес_Раб,D1445))</f>
        <v/>
      </c>
    </row>
    <row r="1446">
      <c r="A1446" t="inlineStr">
        <is>
          <t>Козлова</t>
        </is>
      </c>
      <c r="B1446" t="n">
        <v>8</v>
      </c>
      <c r="C1446" s="18">
        <f>'Календарь'!A330</f>
        <v/>
      </c>
      <c r="D1446">
        <f>MONTH(C1446)</f>
        <v/>
      </c>
      <c r="E1446">
        <f>'Календарь'!D330</f>
        <v/>
      </c>
      <c r="F1446">
        <f>INT((C1446-Нед_Начало)/7)+1</f>
        <v/>
      </c>
      <c r="G1446">
        <f>IF(E1446=0,0,INDEX('Планы менеджеров'!$B$5:$M$16,B1446,D1446)/INDEX(Мес_Раб,D1446))</f>
        <v/>
      </c>
    </row>
    <row r="1447">
      <c r="A1447" t="inlineStr">
        <is>
          <t>Козлова</t>
        </is>
      </c>
      <c r="B1447" t="n">
        <v>8</v>
      </c>
      <c r="C1447" s="18">
        <f>'Календарь'!A331</f>
        <v/>
      </c>
      <c r="D1447">
        <f>MONTH(C1447)</f>
        <v/>
      </c>
      <c r="E1447">
        <f>'Календарь'!D331</f>
        <v/>
      </c>
      <c r="F1447">
        <f>INT((C1447-Нед_Начало)/7)+1</f>
        <v/>
      </c>
      <c r="G1447">
        <f>IF(E1447=0,0,INDEX('Планы менеджеров'!$B$5:$M$16,B1447,D1447)/INDEX(Мес_Раб,D1447))</f>
        <v/>
      </c>
    </row>
    <row r="1448">
      <c r="A1448" t="inlineStr">
        <is>
          <t>Козлова</t>
        </is>
      </c>
      <c r="B1448" t="n">
        <v>8</v>
      </c>
      <c r="C1448" s="18">
        <f>'Календарь'!A332</f>
        <v/>
      </c>
      <c r="D1448">
        <f>MONTH(C1448)</f>
        <v/>
      </c>
      <c r="E1448">
        <f>'Календарь'!D332</f>
        <v/>
      </c>
      <c r="F1448">
        <f>INT((C1448-Нед_Начало)/7)+1</f>
        <v/>
      </c>
      <c r="G1448">
        <f>IF(E1448=0,0,INDEX('Планы менеджеров'!$B$5:$M$16,B1448,D1448)/INDEX(Мес_Раб,D1448))</f>
        <v/>
      </c>
    </row>
    <row r="1449">
      <c r="A1449" t="inlineStr">
        <is>
          <t>Козлова</t>
        </is>
      </c>
      <c r="B1449" t="n">
        <v>8</v>
      </c>
      <c r="C1449" s="18">
        <f>'Календарь'!A333</f>
        <v/>
      </c>
      <c r="D1449">
        <f>MONTH(C1449)</f>
        <v/>
      </c>
      <c r="E1449">
        <f>'Календарь'!D333</f>
        <v/>
      </c>
      <c r="F1449">
        <f>INT((C1449-Нед_Начало)/7)+1</f>
        <v/>
      </c>
      <c r="G1449">
        <f>IF(E1449=0,0,INDEX('Планы менеджеров'!$B$5:$M$16,B1449,D1449)/INDEX(Мес_Раб,D1449))</f>
        <v/>
      </c>
    </row>
    <row r="1450">
      <c r="A1450" t="inlineStr">
        <is>
          <t>Козлова</t>
        </is>
      </c>
      <c r="B1450" t="n">
        <v>8</v>
      </c>
      <c r="C1450" s="18">
        <f>'Календарь'!A334</f>
        <v/>
      </c>
      <c r="D1450">
        <f>MONTH(C1450)</f>
        <v/>
      </c>
      <c r="E1450">
        <f>'Календарь'!D334</f>
        <v/>
      </c>
      <c r="F1450">
        <f>INT((C1450-Нед_Начало)/7)+1</f>
        <v/>
      </c>
      <c r="G1450">
        <f>IF(E1450=0,0,INDEX('Планы менеджеров'!$B$5:$M$16,B1450,D1450)/INDEX(Мес_Раб,D1450))</f>
        <v/>
      </c>
    </row>
    <row r="1451">
      <c r="A1451" t="inlineStr">
        <is>
          <t>Козлова</t>
        </is>
      </c>
      <c r="B1451" t="n">
        <v>8</v>
      </c>
      <c r="C1451" s="18">
        <f>'Календарь'!A335</f>
        <v/>
      </c>
      <c r="D1451">
        <f>MONTH(C1451)</f>
        <v/>
      </c>
      <c r="E1451">
        <f>'Календарь'!D335</f>
        <v/>
      </c>
      <c r="F1451">
        <f>INT((C1451-Нед_Начало)/7)+1</f>
        <v/>
      </c>
      <c r="G1451">
        <f>IF(E1451=0,0,INDEX('Планы менеджеров'!$B$5:$M$16,B1451,D1451)/INDEX(Мес_Раб,D1451))</f>
        <v/>
      </c>
    </row>
    <row r="1452">
      <c r="A1452" t="inlineStr">
        <is>
          <t>Козлова</t>
        </is>
      </c>
      <c r="B1452" t="n">
        <v>8</v>
      </c>
      <c r="C1452" s="18">
        <f>'Календарь'!A336</f>
        <v/>
      </c>
      <c r="D1452">
        <f>MONTH(C1452)</f>
        <v/>
      </c>
      <c r="E1452">
        <f>'Календарь'!D336</f>
        <v/>
      </c>
      <c r="F1452">
        <f>INT((C1452-Нед_Начало)/7)+1</f>
        <v/>
      </c>
      <c r="G1452">
        <f>IF(E1452=0,0,INDEX('Планы менеджеров'!$B$5:$M$16,B1452,D1452)/INDEX(Мес_Раб,D1452))</f>
        <v/>
      </c>
    </row>
    <row r="1453">
      <c r="A1453" t="inlineStr">
        <is>
          <t>Козлова</t>
        </is>
      </c>
      <c r="B1453" t="n">
        <v>8</v>
      </c>
      <c r="C1453" s="18">
        <f>'Календарь'!A337</f>
        <v/>
      </c>
      <c r="D1453">
        <f>MONTH(C1453)</f>
        <v/>
      </c>
      <c r="E1453">
        <f>'Календарь'!D337</f>
        <v/>
      </c>
      <c r="F1453">
        <f>INT((C1453-Нед_Начало)/7)+1</f>
        <v/>
      </c>
      <c r="G1453">
        <f>IF(E1453=0,0,INDEX('Планы менеджеров'!$B$5:$M$16,B1453,D1453)/INDEX(Мес_Раб,D1453))</f>
        <v/>
      </c>
    </row>
    <row r="1454">
      <c r="A1454" t="inlineStr">
        <is>
          <t>Козлова</t>
        </is>
      </c>
      <c r="B1454" t="n">
        <v>8</v>
      </c>
      <c r="C1454" s="18">
        <f>'Календарь'!A338</f>
        <v/>
      </c>
      <c r="D1454">
        <f>MONTH(C1454)</f>
        <v/>
      </c>
      <c r="E1454">
        <f>'Календарь'!D338</f>
        <v/>
      </c>
      <c r="F1454">
        <f>INT((C1454-Нед_Начало)/7)+1</f>
        <v/>
      </c>
      <c r="G1454">
        <f>IF(E1454=0,0,INDEX('Планы менеджеров'!$B$5:$M$16,B1454,D1454)/INDEX(Мес_Раб,D1454))</f>
        <v/>
      </c>
    </row>
    <row r="1455">
      <c r="A1455" t="inlineStr">
        <is>
          <t>Козлова</t>
        </is>
      </c>
      <c r="B1455" t="n">
        <v>8</v>
      </c>
      <c r="C1455" s="18">
        <f>'Календарь'!A339</f>
        <v/>
      </c>
      <c r="D1455">
        <f>MONTH(C1455)</f>
        <v/>
      </c>
      <c r="E1455">
        <f>'Календарь'!D339</f>
        <v/>
      </c>
      <c r="F1455">
        <f>INT((C1455-Нед_Начало)/7)+1</f>
        <v/>
      </c>
      <c r="G1455">
        <f>IF(E1455=0,0,INDEX('Планы менеджеров'!$B$5:$M$16,B1455,D1455)/INDEX(Мес_Раб,D1455))</f>
        <v/>
      </c>
    </row>
    <row r="1456">
      <c r="A1456" t="inlineStr">
        <is>
          <t>Козлова</t>
        </is>
      </c>
      <c r="B1456" t="n">
        <v>8</v>
      </c>
      <c r="C1456" s="18">
        <f>'Календарь'!A340</f>
        <v/>
      </c>
      <c r="D1456">
        <f>MONTH(C1456)</f>
        <v/>
      </c>
      <c r="E1456">
        <f>'Календарь'!D340</f>
        <v/>
      </c>
      <c r="F1456">
        <f>INT((C1456-Нед_Начало)/7)+1</f>
        <v/>
      </c>
      <c r="G1456">
        <f>IF(E1456=0,0,INDEX('Планы менеджеров'!$B$5:$M$16,B1456,D1456)/INDEX(Мес_Раб,D1456))</f>
        <v/>
      </c>
    </row>
    <row r="1457">
      <c r="A1457" t="inlineStr">
        <is>
          <t>Козлова</t>
        </is>
      </c>
      <c r="B1457" t="n">
        <v>8</v>
      </c>
      <c r="C1457" s="18">
        <f>'Календарь'!A341</f>
        <v/>
      </c>
      <c r="D1457">
        <f>MONTH(C1457)</f>
        <v/>
      </c>
      <c r="E1457">
        <f>'Календарь'!D341</f>
        <v/>
      </c>
      <c r="F1457">
        <f>INT((C1457-Нед_Начало)/7)+1</f>
        <v/>
      </c>
      <c r="G1457">
        <f>IF(E1457=0,0,INDEX('Планы менеджеров'!$B$5:$M$16,B1457,D1457)/INDEX(Мес_Раб,D1457))</f>
        <v/>
      </c>
    </row>
    <row r="1458">
      <c r="A1458" t="inlineStr">
        <is>
          <t>Козлова</t>
        </is>
      </c>
      <c r="B1458" t="n">
        <v>8</v>
      </c>
      <c r="C1458" s="18">
        <f>'Календарь'!A342</f>
        <v/>
      </c>
      <c r="D1458">
        <f>MONTH(C1458)</f>
        <v/>
      </c>
      <c r="E1458">
        <f>'Календарь'!D342</f>
        <v/>
      </c>
      <c r="F1458">
        <f>INT((C1458-Нед_Начало)/7)+1</f>
        <v/>
      </c>
      <c r="G1458">
        <f>IF(E1458=0,0,INDEX('Планы менеджеров'!$B$5:$M$16,B1458,D1458)/INDEX(Мес_Раб,D1458))</f>
        <v/>
      </c>
    </row>
    <row r="1459">
      <c r="A1459" t="inlineStr">
        <is>
          <t>Козлова</t>
        </is>
      </c>
      <c r="B1459" t="n">
        <v>8</v>
      </c>
      <c r="C1459" s="18">
        <f>'Календарь'!A343</f>
        <v/>
      </c>
      <c r="D1459">
        <f>MONTH(C1459)</f>
        <v/>
      </c>
      <c r="E1459">
        <f>'Календарь'!D343</f>
        <v/>
      </c>
      <c r="F1459">
        <f>INT((C1459-Нед_Начало)/7)+1</f>
        <v/>
      </c>
      <c r="G1459">
        <f>IF(E1459=0,0,INDEX('Планы менеджеров'!$B$5:$M$16,B1459,D1459)/INDEX(Мес_Раб,D1459))</f>
        <v/>
      </c>
    </row>
    <row r="1460">
      <c r="A1460" t="inlineStr">
        <is>
          <t>Козлова</t>
        </is>
      </c>
      <c r="B1460" t="n">
        <v>8</v>
      </c>
      <c r="C1460" s="18">
        <f>'Календарь'!A344</f>
        <v/>
      </c>
      <c r="D1460">
        <f>MONTH(C1460)</f>
        <v/>
      </c>
      <c r="E1460">
        <f>'Календарь'!D344</f>
        <v/>
      </c>
      <c r="F1460">
        <f>INT((C1460-Нед_Начало)/7)+1</f>
        <v/>
      </c>
      <c r="G1460">
        <f>IF(E1460=0,0,INDEX('Планы менеджеров'!$B$5:$M$16,B1460,D1460)/INDEX(Мес_Раб,D1460))</f>
        <v/>
      </c>
    </row>
    <row r="1461">
      <c r="A1461" t="inlineStr">
        <is>
          <t>Козлова</t>
        </is>
      </c>
      <c r="B1461" t="n">
        <v>8</v>
      </c>
      <c r="C1461" s="18">
        <f>'Календарь'!A345</f>
        <v/>
      </c>
      <c r="D1461">
        <f>MONTH(C1461)</f>
        <v/>
      </c>
      <c r="E1461">
        <f>'Календарь'!D345</f>
        <v/>
      </c>
      <c r="F1461">
        <f>INT((C1461-Нед_Начало)/7)+1</f>
        <v/>
      </c>
      <c r="G1461">
        <f>IF(E1461=0,0,INDEX('Планы менеджеров'!$B$5:$M$16,B1461,D1461)/INDEX(Мес_Раб,D1461))</f>
        <v/>
      </c>
    </row>
    <row r="1462">
      <c r="A1462" t="inlineStr">
        <is>
          <t>Козлова</t>
        </is>
      </c>
      <c r="B1462" t="n">
        <v>8</v>
      </c>
      <c r="C1462" s="18">
        <f>'Календарь'!A346</f>
        <v/>
      </c>
      <c r="D1462">
        <f>MONTH(C1462)</f>
        <v/>
      </c>
      <c r="E1462">
        <f>'Календарь'!D346</f>
        <v/>
      </c>
      <c r="F1462">
        <f>INT((C1462-Нед_Начало)/7)+1</f>
        <v/>
      </c>
      <c r="G1462">
        <f>IF(E1462=0,0,INDEX('Планы менеджеров'!$B$5:$M$16,B1462,D1462)/INDEX(Мес_Раб,D1462))</f>
        <v/>
      </c>
    </row>
    <row r="1463">
      <c r="A1463" t="inlineStr">
        <is>
          <t>Козлова</t>
        </is>
      </c>
      <c r="B1463" t="n">
        <v>8</v>
      </c>
      <c r="C1463" s="18">
        <f>'Календарь'!A347</f>
        <v/>
      </c>
      <c r="D1463">
        <f>MONTH(C1463)</f>
        <v/>
      </c>
      <c r="E1463">
        <f>'Календарь'!D347</f>
        <v/>
      </c>
      <c r="F1463">
        <f>INT((C1463-Нед_Начало)/7)+1</f>
        <v/>
      </c>
      <c r="G1463">
        <f>IF(E1463=0,0,INDEX('Планы менеджеров'!$B$5:$M$16,B1463,D1463)/INDEX(Мес_Раб,D1463))</f>
        <v/>
      </c>
    </row>
    <row r="1464">
      <c r="A1464" t="inlineStr">
        <is>
          <t>Козлова</t>
        </is>
      </c>
      <c r="B1464" t="n">
        <v>8</v>
      </c>
      <c r="C1464" s="18">
        <f>'Календарь'!A348</f>
        <v/>
      </c>
      <c r="D1464">
        <f>MONTH(C1464)</f>
        <v/>
      </c>
      <c r="E1464">
        <f>'Календарь'!D348</f>
        <v/>
      </c>
      <c r="F1464">
        <f>INT((C1464-Нед_Начало)/7)+1</f>
        <v/>
      </c>
      <c r="G1464">
        <f>IF(E1464=0,0,INDEX('Планы менеджеров'!$B$5:$M$16,B1464,D1464)/INDEX(Мес_Раб,D1464))</f>
        <v/>
      </c>
    </row>
    <row r="1465">
      <c r="A1465" t="inlineStr">
        <is>
          <t>Козлова</t>
        </is>
      </c>
      <c r="B1465" t="n">
        <v>8</v>
      </c>
      <c r="C1465" s="18">
        <f>'Календарь'!A349</f>
        <v/>
      </c>
      <c r="D1465">
        <f>MONTH(C1465)</f>
        <v/>
      </c>
      <c r="E1465">
        <f>'Календарь'!D349</f>
        <v/>
      </c>
      <c r="F1465">
        <f>INT((C1465-Нед_Начало)/7)+1</f>
        <v/>
      </c>
      <c r="G1465">
        <f>IF(E1465=0,0,INDEX('Планы менеджеров'!$B$5:$M$16,B1465,D1465)/INDEX(Мес_Раб,D1465))</f>
        <v/>
      </c>
    </row>
    <row r="1466">
      <c r="A1466" t="inlineStr">
        <is>
          <t>Козлова</t>
        </is>
      </c>
      <c r="B1466" t="n">
        <v>8</v>
      </c>
      <c r="C1466" s="18">
        <f>'Календарь'!A350</f>
        <v/>
      </c>
      <c r="D1466">
        <f>MONTH(C1466)</f>
        <v/>
      </c>
      <c r="E1466">
        <f>'Календарь'!D350</f>
        <v/>
      </c>
      <c r="F1466">
        <f>INT((C1466-Нед_Начало)/7)+1</f>
        <v/>
      </c>
      <c r="G1466">
        <f>IF(E1466=0,0,INDEX('Планы менеджеров'!$B$5:$M$16,B1466,D1466)/INDEX(Мес_Раб,D1466))</f>
        <v/>
      </c>
    </row>
    <row r="1467">
      <c r="A1467" t="inlineStr">
        <is>
          <t>Козлова</t>
        </is>
      </c>
      <c r="B1467" t="n">
        <v>8</v>
      </c>
      <c r="C1467" s="18">
        <f>'Календарь'!A351</f>
        <v/>
      </c>
      <c r="D1467">
        <f>MONTH(C1467)</f>
        <v/>
      </c>
      <c r="E1467">
        <f>'Календарь'!D351</f>
        <v/>
      </c>
      <c r="F1467">
        <f>INT((C1467-Нед_Начало)/7)+1</f>
        <v/>
      </c>
      <c r="G1467">
        <f>IF(E1467=0,0,INDEX('Планы менеджеров'!$B$5:$M$16,B1467,D1467)/INDEX(Мес_Раб,D1467))</f>
        <v/>
      </c>
    </row>
    <row r="1468">
      <c r="A1468" t="inlineStr">
        <is>
          <t>Козлова</t>
        </is>
      </c>
      <c r="B1468" t="n">
        <v>8</v>
      </c>
      <c r="C1468" s="18">
        <f>'Календарь'!A352</f>
        <v/>
      </c>
      <c r="D1468">
        <f>MONTH(C1468)</f>
        <v/>
      </c>
      <c r="E1468">
        <f>'Календарь'!D352</f>
        <v/>
      </c>
      <c r="F1468">
        <f>INT((C1468-Нед_Начало)/7)+1</f>
        <v/>
      </c>
      <c r="G1468">
        <f>IF(E1468=0,0,INDEX('Планы менеджеров'!$B$5:$M$16,B1468,D1468)/INDEX(Мес_Раб,D1468))</f>
        <v/>
      </c>
    </row>
    <row r="1469">
      <c r="A1469" t="inlineStr">
        <is>
          <t>Козлова</t>
        </is>
      </c>
      <c r="B1469" t="n">
        <v>8</v>
      </c>
      <c r="C1469" s="18">
        <f>'Календарь'!A353</f>
        <v/>
      </c>
      <c r="D1469">
        <f>MONTH(C1469)</f>
        <v/>
      </c>
      <c r="E1469">
        <f>'Календарь'!D353</f>
        <v/>
      </c>
      <c r="F1469">
        <f>INT((C1469-Нед_Начало)/7)+1</f>
        <v/>
      </c>
      <c r="G1469">
        <f>IF(E1469=0,0,INDEX('Планы менеджеров'!$B$5:$M$16,B1469,D1469)/INDEX(Мес_Раб,D1469))</f>
        <v/>
      </c>
    </row>
    <row r="1470">
      <c r="A1470" t="inlineStr">
        <is>
          <t>Козлова</t>
        </is>
      </c>
      <c r="B1470" t="n">
        <v>8</v>
      </c>
      <c r="C1470" s="18">
        <f>'Календарь'!A354</f>
        <v/>
      </c>
      <c r="D1470">
        <f>MONTH(C1470)</f>
        <v/>
      </c>
      <c r="E1470">
        <f>'Календарь'!D354</f>
        <v/>
      </c>
      <c r="F1470">
        <f>INT((C1470-Нед_Начало)/7)+1</f>
        <v/>
      </c>
      <c r="G1470">
        <f>IF(E1470=0,0,INDEX('Планы менеджеров'!$B$5:$M$16,B1470,D1470)/INDEX(Мес_Раб,D1470))</f>
        <v/>
      </c>
    </row>
    <row r="1471">
      <c r="A1471" t="inlineStr">
        <is>
          <t>Козлова</t>
        </is>
      </c>
      <c r="B1471" t="n">
        <v>8</v>
      </c>
      <c r="C1471" s="18">
        <f>'Календарь'!A355</f>
        <v/>
      </c>
      <c r="D1471">
        <f>MONTH(C1471)</f>
        <v/>
      </c>
      <c r="E1471">
        <f>'Календарь'!D355</f>
        <v/>
      </c>
      <c r="F1471">
        <f>INT((C1471-Нед_Начало)/7)+1</f>
        <v/>
      </c>
      <c r="G1471">
        <f>IF(E1471=0,0,INDEX('Планы менеджеров'!$B$5:$M$16,B1471,D1471)/INDEX(Мес_Раб,D1471))</f>
        <v/>
      </c>
    </row>
    <row r="1472">
      <c r="A1472" t="inlineStr">
        <is>
          <t>Козлова</t>
        </is>
      </c>
      <c r="B1472" t="n">
        <v>8</v>
      </c>
      <c r="C1472" s="18">
        <f>'Календарь'!A356</f>
        <v/>
      </c>
      <c r="D1472">
        <f>MONTH(C1472)</f>
        <v/>
      </c>
      <c r="E1472">
        <f>'Календарь'!D356</f>
        <v/>
      </c>
      <c r="F1472">
        <f>INT((C1472-Нед_Начало)/7)+1</f>
        <v/>
      </c>
      <c r="G1472">
        <f>IF(E1472=0,0,INDEX('Планы менеджеров'!$B$5:$M$16,B1472,D1472)/INDEX(Мес_Раб,D1472))</f>
        <v/>
      </c>
    </row>
    <row r="1473">
      <c r="A1473" t="inlineStr">
        <is>
          <t>Козлова</t>
        </is>
      </c>
      <c r="B1473" t="n">
        <v>8</v>
      </c>
      <c r="C1473" s="18">
        <f>'Календарь'!A357</f>
        <v/>
      </c>
      <c r="D1473">
        <f>MONTH(C1473)</f>
        <v/>
      </c>
      <c r="E1473">
        <f>'Календарь'!D357</f>
        <v/>
      </c>
      <c r="F1473">
        <f>INT((C1473-Нед_Начало)/7)+1</f>
        <v/>
      </c>
      <c r="G1473">
        <f>IF(E1473=0,0,INDEX('Планы менеджеров'!$B$5:$M$16,B1473,D1473)/INDEX(Мес_Раб,D1473))</f>
        <v/>
      </c>
    </row>
    <row r="1474">
      <c r="A1474" t="inlineStr">
        <is>
          <t>Козлова</t>
        </is>
      </c>
      <c r="B1474" t="n">
        <v>8</v>
      </c>
      <c r="C1474" s="18">
        <f>'Календарь'!A358</f>
        <v/>
      </c>
      <c r="D1474">
        <f>MONTH(C1474)</f>
        <v/>
      </c>
      <c r="E1474">
        <f>'Календарь'!D358</f>
        <v/>
      </c>
      <c r="F1474">
        <f>INT((C1474-Нед_Начало)/7)+1</f>
        <v/>
      </c>
      <c r="G1474">
        <f>IF(E1474=0,0,INDEX('Планы менеджеров'!$B$5:$M$16,B1474,D1474)/INDEX(Мес_Раб,D1474))</f>
        <v/>
      </c>
    </row>
    <row r="1475">
      <c r="A1475" t="inlineStr">
        <is>
          <t>Козлова</t>
        </is>
      </c>
      <c r="B1475" t="n">
        <v>8</v>
      </c>
      <c r="C1475" s="18">
        <f>'Календарь'!A359</f>
        <v/>
      </c>
      <c r="D1475">
        <f>MONTH(C1475)</f>
        <v/>
      </c>
      <c r="E1475">
        <f>'Календарь'!D359</f>
        <v/>
      </c>
      <c r="F1475">
        <f>INT((C1475-Нед_Начало)/7)+1</f>
        <v/>
      </c>
      <c r="G1475">
        <f>IF(E1475=0,0,INDEX('Планы менеджеров'!$B$5:$M$16,B1475,D1475)/INDEX(Мес_Раб,D1475))</f>
        <v/>
      </c>
    </row>
    <row r="1476">
      <c r="A1476" t="inlineStr">
        <is>
          <t>Козлова</t>
        </is>
      </c>
      <c r="B1476" t="n">
        <v>8</v>
      </c>
      <c r="C1476" s="18">
        <f>'Календарь'!A360</f>
        <v/>
      </c>
      <c r="D1476">
        <f>MONTH(C1476)</f>
        <v/>
      </c>
      <c r="E1476">
        <f>'Календарь'!D360</f>
        <v/>
      </c>
      <c r="F1476">
        <f>INT((C1476-Нед_Начало)/7)+1</f>
        <v/>
      </c>
      <c r="G1476">
        <f>IF(E1476=0,0,INDEX('Планы менеджеров'!$B$5:$M$16,B1476,D1476)/INDEX(Мес_Раб,D1476))</f>
        <v/>
      </c>
    </row>
    <row r="1477">
      <c r="A1477" t="inlineStr">
        <is>
          <t>Козлова</t>
        </is>
      </c>
      <c r="B1477" t="n">
        <v>8</v>
      </c>
      <c r="C1477" s="18">
        <f>'Календарь'!A361</f>
        <v/>
      </c>
      <c r="D1477">
        <f>MONTH(C1477)</f>
        <v/>
      </c>
      <c r="E1477">
        <f>'Календарь'!D361</f>
        <v/>
      </c>
      <c r="F1477">
        <f>INT((C1477-Нед_Начало)/7)+1</f>
        <v/>
      </c>
      <c r="G1477">
        <f>IF(E1477=0,0,INDEX('Планы менеджеров'!$B$5:$M$16,B1477,D1477)/INDEX(Мес_Раб,D1477))</f>
        <v/>
      </c>
    </row>
    <row r="1478">
      <c r="A1478" t="inlineStr">
        <is>
          <t>Козлова</t>
        </is>
      </c>
      <c r="B1478" t="n">
        <v>8</v>
      </c>
      <c r="C1478" s="18">
        <f>'Календарь'!A362</f>
        <v/>
      </c>
      <c r="D1478">
        <f>MONTH(C1478)</f>
        <v/>
      </c>
      <c r="E1478">
        <f>'Календарь'!D362</f>
        <v/>
      </c>
      <c r="F1478">
        <f>INT((C1478-Нед_Начало)/7)+1</f>
        <v/>
      </c>
      <c r="G1478">
        <f>IF(E1478=0,0,INDEX('Планы менеджеров'!$B$5:$M$16,B1478,D1478)/INDEX(Мес_Раб,D1478))</f>
        <v/>
      </c>
    </row>
    <row r="1479">
      <c r="A1479" t="inlineStr">
        <is>
          <t>Козлова</t>
        </is>
      </c>
      <c r="B1479" t="n">
        <v>8</v>
      </c>
      <c r="C1479" s="18">
        <f>'Календарь'!A363</f>
        <v/>
      </c>
      <c r="D1479">
        <f>MONTH(C1479)</f>
        <v/>
      </c>
      <c r="E1479">
        <f>'Календарь'!D363</f>
        <v/>
      </c>
      <c r="F1479">
        <f>INT((C1479-Нед_Начало)/7)+1</f>
        <v/>
      </c>
      <c r="G1479">
        <f>IF(E1479=0,0,INDEX('Планы менеджеров'!$B$5:$M$16,B1479,D1479)/INDEX(Мес_Раб,D1479))</f>
        <v/>
      </c>
    </row>
    <row r="1480">
      <c r="A1480" t="inlineStr">
        <is>
          <t>Козлова</t>
        </is>
      </c>
      <c r="B1480" t="n">
        <v>8</v>
      </c>
      <c r="C1480" s="18">
        <f>'Календарь'!A364</f>
        <v/>
      </c>
      <c r="D1480">
        <f>MONTH(C1480)</f>
        <v/>
      </c>
      <c r="E1480">
        <f>'Календарь'!D364</f>
        <v/>
      </c>
      <c r="F1480">
        <f>INT((C1480-Нед_Начало)/7)+1</f>
        <v/>
      </c>
      <c r="G1480">
        <f>IF(E1480=0,0,INDEX('Планы менеджеров'!$B$5:$M$16,B1480,D1480)/INDEX(Мес_Раб,D1480))</f>
        <v/>
      </c>
    </row>
    <row r="1481">
      <c r="A1481" t="inlineStr">
        <is>
          <t>Козлова</t>
        </is>
      </c>
      <c r="B1481" t="n">
        <v>8</v>
      </c>
      <c r="C1481" s="18">
        <f>'Календарь'!A365</f>
        <v/>
      </c>
      <c r="D1481">
        <f>MONTH(C1481)</f>
        <v/>
      </c>
      <c r="E1481">
        <f>'Календарь'!D365</f>
        <v/>
      </c>
      <c r="F1481">
        <f>INT((C1481-Нед_Начало)/7)+1</f>
        <v/>
      </c>
      <c r="G1481">
        <f>IF(E1481=0,0,INDEX('Планы менеджеров'!$B$5:$M$16,B1481,D1481)/INDEX(Мес_Раб,D1481))</f>
        <v/>
      </c>
    </row>
    <row r="1482">
      <c r="A1482" t="inlineStr">
        <is>
          <t>Козлова</t>
        </is>
      </c>
      <c r="B1482" t="n">
        <v>8</v>
      </c>
      <c r="C1482" s="18">
        <f>'Календарь'!A366</f>
        <v/>
      </c>
      <c r="D1482">
        <f>MONTH(C1482)</f>
        <v/>
      </c>
      <c r="E1482">
        <f>'Календарь'!D366</f>
        <v/>
      </c>
      <c r="F1482">
        <f>INT((C1482-Нед_Начало)/7)+1</f>
        <v/>
      </c>
      <c r="G1482">
        <f>IF(E1482=0,0,INDEX('Планы менеджеров'!$B$5:$M$16,B1482,D1482)/INDEX(Мес_Раб,D1482))</f>
        <v/>
      </c>
    </row>
    <row r="1483">
      <c r="A1483" t="inlineStr">
        <is>
          <t>Козлова</t>
        </is>
      </c>
      <c r="B1483" t="n">
        <v>8</v>
      </c>
      <c r="C1483" s="18">
        <f>'Календарь'!A367</f>
        <v/>
      </c>
      <c r="D1483">
        <f>MONTH(C1483)</f>
        <v/>
      </c>
      <c r="E1483">
        <f>'Календарь'!D367</f>
        <v/>
      </c>
      <c r="F1483">
        <f>INT((C1483-Нед_Начало)/7)+1</f>
        <v/>
      </c>
      <c r="G1483">
        <f>IF(E1483=0,0,INDEX('Планы менеджеров'!$B$5:$M$16,B1483,D1483)/INDEX(Мес_Раб,D1483))</f>
        <v/>
      </c>
    </row>
    <row r="1484">
      <c r="A1484" t="inlineStr">
        <is>
          <t>Козлова</t>
        </is>
      </c>
      <c r="B1484" t="n">
        <v>8</v>
      </c>
      <c r="C1484" s="18">
        <f>'Календарь'!A368</f>
        <v/>
      </c>
      <c r="D1484">
        <f>MONTH(C1484)</f>
        <v/>
      </c>
      <c r="E1484">
        <f>'Календарь'!D368</f>
        <v/>
      </c>
      <c r="F1484">
        <f>INT((C1484-Нед_Начало)/7)+1</f>
        <v/>
      </c>
      <c r="G1484">
        <f>IF(E1484=0,0,INDEX('Планы менеджеров'!$B$5:$M$16,B1484,D1484)/INDEX(Мес_Раб,D1484))</f>
        <v/>
      </c>
    </row>
    <row r="1485">
      <c r="A1485" t="inlineStr">
        <is>
          <t>Козлова</t>
        </is>
      </c>
      <c r="B1485" t="n">
        <v>8</v>
      </c>
      <c r="C1485" s="18">
        <f>'Календарь'!A369</f>
        <v/>
      </c>
      <c r="D1485">
        <f>MONTH(C1485)</f>
        <v/>
      </c>
      <c r="E1485">
        <f>'Календарь'!D369</f>
        <v/>
      </c>
      <c r="F1485">
        <f>INT((C1485-Нед_Начало)/7)+1</f>
        <v/>
      </c>
      <c r="G1485">
        <f>IF(E1485=0,0,INDEX('Планы менеджеров'!$B$5:$M$16,B1485,D1485)/INDEX(Мес_Раб,D1485))</f>
        <v/>
      </c>
    </row>
    <row r="1486">
      <c r="A1486" t="inlineStr">
        <is>
          <t>Козлова</t>
        </is>
      </c>
      <c r="B1486" t="n">
        <v>8</v>
      </c>
      <c r="C1486" s="18">
        <f>'Календарь'!A370</f>
        <v/>
      </c>
      <c r="D1486">
        <f>MONTH(C1486)</f>
        <v/>
      </c>
      <c r="E1486">
        <f>'Календарь'!D370</f>
        <v/>
      </c>
      <c r="F1486">
        <f>INT((C1486-Нед_Начало)/7)+1</f>
        <v/>
      </c>
      <c r="G1486">
        <f>IF(E1486=0,0,INDEX('Планы менеджеров'!$B$5:$M$16,B1486,D1486)/INDEX(Мес_Раб,D1486))</f>
        <v/>
      </c>
    </row>
    <row r="1487">
      <c r="A1487" t="inlineStr">
        <is>
          <t>Козлова</t>
        </is>
      </c>
      <c r="B1487" t="n">
        <v>8</v>
      </c>
      <c r="C1487" s="18">
        <f>'Календарь'!A371</f>
        <v/>
      </c>
      <c r="D1487">
        <f>MONTH(C1487)</f>
        <v/>
      </c>
      <c r="E1487">
        <f>'Календарь'!D371</f>
        <v/>
      </c>
      <c r="F1487">
        <f>INT((C1487-Нед_Начало)/7)+1</f>
        <v/>
      </c>
      <c r="G1487">
        <f>IF(E1487=0,0,INDEX('Планы менеджеров'!$B$5:$M$16,B1487,D1487)/INDEX(Мес_Раб,D1487))</f>
        <v/>
      </c>
    </row>
    <row r="1488">
      <c r="A1488" t="inlineStr">
        <is>
          <t>Козлова</t>
        </is>
      </c>
      <c r="B1488" t="n">
        <v>8</v>
      </c>
      <c r="C1488" s="18">
        <f>'Календарь'!A372</f>
        <v/>
      </c>
      <c r="D1488">
        <f>MONTH(C1488)</f>
        <v/>
      </c>
      <c r="E1488">
        <f>'Календарь'!D372</f>
        <v/>
      </c>
      <c r="F1488">
        <f>INT((C1488-Нед_Начало)/7)+1</f>
        <v/>
      </c>
      <c r="G1488">
        <f>IF(E1488=0,0,INDEX('Планы менеджеров'!$B$5:$M$16,B1488,D1488)/INDEX(Мес_Раб,D1488))</f>
        <v/>
      </c>
    </row>
    <row r="1489">
      <c r="A1489" t="inlineStr">
        <is>
          <t>Новиков</t>
        </is>
      </c>
      <c r="B1489" t="n">
        <v>9</v>
      </c>
      <c r="C1489" s="18">
        <f>'Календарь'!A2</f>
        <v/>
      </c>
      <c r="D1489">
        <f>MONTH(C1489)</f>
        <v/>
      </c>
      <c r="E1489">
        <f>'Календарь'!D2</f>
        <v/>
      </c>
      <c r="F1489">
        <f>INT((C1489-Нед_Начало)/7)+1</f>
        <v/>
      </c>
      <c r="G1489">
        <f>IF(E1489=0,0,INDEX('Планы менеджеров'!$B$5:$M$16,B1489,D1489)/INDEX(Мес_Раб,D1489))</f>
        <v/>
      </c>
    </row>
    <row r="1490">
      <c r="A1490" t="inlineStr">
        <is>
          <t>Новиков</t>
        </is>
      </c>
      <c r="B1490" t="n">
        <v>9</v>
      </c>
      <c r="C1490" s="18">
        <f>'Календарь'!A3</f>
        <v/>
      </c>
      <c r="D1490">
        <f>MONTH(C1490)</f>
        <v/>
      </c>
      <c r="E1490">
        <f>'Календарь'!D3</f>
        <v/>
      </c>
      <c r="F1490">
        <f>INT((C1490-Нед_Начало)/7)+1</f>
        <v/>
      </c>
      <c r="G1490">
        <f>IF(E1490=0,0,INDEX('Планы менеджеров'!$B$5:$M$16,B1490,D1490)/INDEX(Мес_Раб,D1490))</f>
        <v/>
      </c>
    </row>
    <row r="1491">
      <c r="A1491" t="inlineStr">
        <is>
          <t>Новиков</t>
        </is>
      </c>
      <c r="B1491" t="n">
        <v>9</v>
      </c>
      <c r="C1491" s="18">
        <f>'Календарь'!A4</f>
        <v/>
      </c>
      <c r="D1491">
        <f>MONTH(C1491)</f>
        <v/>
      </c>
      <c r="E1491">
        <f>'Календарь'!D4</f>
        <v/>
      </c>
      <c r="F1491">
        <f>INT((C1491-Нед_Начало)/7)+1</f>
        <v/>
      </c>
      <c r="G1491">
        <f>IF(E1491=0,0,INDEX('Планы менеджеров'!$B$5:$M$16,B1491,D1491)/INDEX(Мес_Раб,D1491))</f>
        <v/>
      </c>
    </row>
    <row r="1492">
      <c r="A1492" t="inlineStr">
        <is>
          <t>Новиков</t>
        </is>
      </c>
      <c r="B1492" t="n">
        <v>9</v>
      </c>
      <c r="C1492" s="18">
        <f>'Календарь'!A5</f>
        <v/>
      </c>
      <c r="D1492">
        <f>MONTH(C1492)</f>
        <v/>
      </c>
      <c r="E1492">
        <f>'Календарь'!D5</f>
        <v/>
      </c>
      <c r="F1492">
        <f>INT((C1492-Нед_Начало)/7)+1</f>
        <v/>
      </c>
      <c r="G1492">
        <f>IF(E1492=0,0,INDEX('Планы менеджеров'!$B$5:$M$16,B1492,D1492)/INDEX(Мес_Раб,D1492))</f>
        <v/>
      </c>
    </row>
    <row r="1493">
      <c r="A1493" t="inlineStr">
        <is>
          <t>Новиков</t>
        </is>
      </c>
      <c r="B1493" t="n">
        <v>9</v>
      </c>
      <c r="C1493" s="18">
        <f>'Календарь'!A6</f>
        <v/>
      </c>
      <c r="D1493">
        <f>MONTH(C1493)</f>
        <v/>
      </c>
      <c r="E1493">
        <f>'Календарь'!D6</f>
        <v/>
      </c>
      <c r="F1493">
        <f>INT((C1493-Нед_Начало)/7)+1</f>
        <v/>
      </c>
      <c r="G1493">
        <f>IF(E1493=0,0,INDEX('Планы менеджеров'!$B$5:$M$16,B1493,D1493)/INDEX(Мес_Раб,D1493))</f>
        <v/>
      </c>
    </row>
    <row r="1494">
      <c r="A1494" t="inlineStr">
        <is>
          <t>Новиков</t>
        </is>
      </c>
      <c r="B1494" t="n">
        <v>9</v>
      </c>
      <c r="C1494" s="18">
        <f>'Календарь'!A7</f>
        <v/>
      </c>
      <c r="D1494">
        <f>MONTH(C1494)</f>
        <v/>
      </c>
      <c r="E1494">
        <f>'Календарь'!D7</f>
        <v/>
      </c>
      <c r="F1494">
        <f>INT((C1494-Нед_Начало)/7)+1</f>
        <v/>
      </c>
      <c r="G1494">
        <f>IF(E1494=0,0,INDEX('Планы менеджеров'!$B$5:$M$16,B1494,D1494)/INDEX(Мес_Раб,D1494))</f>
        <v/>
      </c>
    </row>
    <row r="1495">
      <c r="A1495" t="inlineStr">
        <is>
          <t>Новиков</t>
        </is>
      </c>
      <c r="B1495" t="n">
        <v>9</v>
      </c>
      <c r="C1495" s="18">
        <f>'Календарь'!A8</f>
        <v/>
      </c>
      <c r="D1495">
        <f>MONTH(C1495)</f>
        <v/>
      </c>
      <c r="E1495">
        <f>'Календарь'!D8</f>
        <v/>
      </c>
      <c r="F1495">
        <f>INT((C1495-Нед_Начало)/7)+1</f>
        <v/>
      </c>
      <c r="G1495">
        <f>IF(E1495=0,0,INDEX('Планы менеджеров'!$B$5:$M$16,B1495,D1495)/INDEX(Мес_Раб,D1495))</f>
        <v/>
      </c>
    </row>
    <row r="1496">
      <c r="A1496" t="inlineStr">
        <is>
          <t>Новиков</t>
        </is>
      </c>
      <c r="B1496" t="n">
        <v>9</v>
      </c>
      <c r="C1496" s="18">
        <f>'Календарь'!A9</f>
        <v/>
      </c>
      <c r="D1496">
        <f>MONTH(C1496)</f>
        <v/>
      </c>
      <c r="E1496">
        <f>'Календарь'!D9</f>
        <v/>
      </c>
      <c r="F1496">
        <f>INT((C1496-Нед_Начало)/7)+1</f>
        <v/>
      </c>
      <c r="G1496">
        <f>IF(E1496=0,0,INDEX('Планы менеджеров'!$B$5:$M$16,B1496,D1496)/INDEX(Мес_Раб,D1496))</f>
        <v/>
      </c>
    </row>
    <row r="1497">
      <c r="A1497" t="inlineStr">
        <is>
          <t>Новиков</t>
        </is>
      </c>
      <c r="B1497" t="n">
        <v>9</v>
      </c>
      <c r="C1497" s="18">
        <f>'Календарь'!A10</f>
        <v/>
      </c>
      <c r="D1497">
        <f>MONTH(C1497)</f>
        <v/>
      </c>
      <c r="E1497">
        <f>'Календарь'!D10</f>
        <v/>
      </c>
      <c r="F1497">
        <f>INT((C1497-Нед_Начало)/7)+1</f>
        <v/>
      </c>
      <c r="G1497">
        <f>IF(E1497=0,0,INDEX('Планы менеджеров'!$B$5:$M$16,B1497,D1497)/INDEX(Мес_Раб,D1497))</f>
        <v/>
      </c>
    </row>
    <row r="1498">
      <c r="A1498" t="inlineStr">
        <is>
          <t>Новиков</t>
        </is>
      </c>
      <c r="B1498" t="n">
        <v>9</v>
      </c>
      <c r="C1498" s="18">
        <f>'Календарь'!A11</f>
        <v/>
      </c>
      <c r="D1498">
        <f>MONTH(C1498)</f>
        <v/>
      </c>
      <c r="E1498">
        <f>'Календарь'!D11</f>
        <v/>
      </c>
      <c r="F1498">
        <f>INT((C1498-Нед_Начало)/7)+1</f>
        <v/>
      </c>
      <c r="G1498">
        <f>IF(E1498=0,0,INDEX('Планы менеджеров'!$B$5:$M$16,B1498,D1498)/INDEX(Мес_Раб,D1498))</f>
        <v/>
      </c>
    </row>
    <row r="1499">
      <c r="A1499" t="inlineStr">
        <is>
          <t>Новиков</t>
        </is>
      </c>
      <c r="B1499" t="n">
        <v>9</v>
      </c>
      <c r="C1499" s="18">
        <f>'Календарь'!A12</f>
        <v/>
      </c>
      <c r="D1499">
        <f>MONTH(C1499)</f>
        <v/>
      </c>
      <c r="E1499">
        <f>'Календарь'!D12</f>
        <v/>
      </c>
      <c r="F1499">
        <f>INT((C1499-Нед_Начало)/7)+1</f>
        <v/>
      </c>
      <c r="G1499">
        <f>IF(E1499=0,0,INDEX('Планы менеджеров'!$B$5:$M$16,B1499,D1499)/INDEX(Мес_Раб,D1499))</f>
        <v/>
      </c>
    </row>
    <row r="1500">
      <c r="A1500" t="inlineStr">
        <is>
          <t>Новиков</t>
        </is>
      </c>
      <c r="B1500" t="n">
        <v>9</v>
      </c>
      <c r="C1500" s="18">
        <f>'Календарь'!A13</f>
        <v/>
      </c>
      <c r="D1500">
        <f>MONTH(C1500)</f>
        <v/>
      </c>
      <c r="E1500">
        <f>'Календарь'!D13</f>
        <v/>
      </c>
      <c r="F1500">
        <f>INT((C1500-Нед_Начало)/7)+1</f>
        <v/>
      </c>
      <c r="G1500">
        <f>IF(E1500=0,0,INDEX('Планы менеджеров'!$B$5:$M$16,B1500,D1500)/INDEX(Мес_Раб,D1500))</f>
        <v/>
      </c>
    </row>
    <row r="1501">
      <c r="A1501" t="inlineStr">
        <is>
          <t>Новиков</t>
        </is>
      </c>
      <c r="B1501" t="n">
        <v>9</v>
      </c>
      <c r="C1501" s="18">
        <f>'Календарь'!A14</f>
        <v/>
      </c>
      <c r="D1501">
        <f>MONTH(C1501)</f>
        <v/>
      </c>
      <c r="E1501">
        <f>'Календарь'!D14</f>
        <v/>
      </c>
      <c r="F1501">
        <f>INT((C1501-Нед_Начало)/7)+1</f>
        <v/>
      </c>
      <c r="G1501">
        <f>IF(E1501=0,0,INDEX('Планы менеджеров'!$B$5:$M$16,B1501,D1501)/INDEX(Мес_Раб,D1501))</f>
        <v/>
      </c>
    </row>
    <row r="1502">
      <c r="A1502" t="inlineStr">
        <is>
          <t>Новиков</t>
        </is>
      </c>
      <c r="B1502" t="n">
        <v>9</v>
      </c>
      <c r="C1502" s="18">
        <f>'Календарь'!A15</f>
        <v/>
      </c>
      <c r="D1502">
        <f>MONTH(C1502)</f>
        <v/>
      </c>
      <c r="E1502">
        <f>'Календарь'!D15</f>
        <v/>
      </c>
      <c r="F1502">
        <f>INT((C1502-Нед_Начало)/7)+1</f>
        <v/>
      </c>
      <c r="G1502">
        <f>IF(E1502=0,0,INDEX('Планы менеджеров'!$B$5:$M$16,B1502,D1502)/INDEX(Мес_Раб,D1502))</f>
        <v/>
      </c>
    </row>
    <row r="1503">
      <c r="A1503" t="inlineStr">
        <is>
          <t>Новиков</t>
        </is>
      </c>
      <c r="B1503" t="n">
        <v>9</v>
      </c>
      <c r="C1503" s="18">
        <f>'Календарь'!A16</f>
        <v/>
      </c>
      <c r="D1503">
        <f>MONTH(C1503)</f>
        <v/>
      </c>
      <c r="E1503">
        <f>'Календарь'!D16</f>
        <v/>
      </c>
      <c r="F1503">
        <f>INT((C1503-Нед_Начало)/7)+1</f>
        <v/>
      </c>
      <c r="G1503">
        <f>IF(E1503=0,0,INDEX('Планы менеджеров'!$B$5:$M$16,B1503,D1503)/INDEX(Мес_Раб,D1503))</f>
        <v/>
      </c>
    </row>
    <row r="1504">
      <c r="A1504" t="inlineStr">
        <is>
          <t>Новиков</t>
        </is>
      </c>
      <c r="B1504" t="n">
        <v>9</v>
      </c>
      <c r="C1504" s="18">
        <f>'Календарь'!A17</f>
        <v/>
      </c>
      <c r="D1504">
        <f>MONTH(C1504)</f>
        <v/>
      </c>
      <c r="E1504">
        <f>'Календарь'!D17</f>
        <v/>
      </c>
      <c r="F1504">
        <f>INT((C1504-Нед_Начало)/7)+1</f>
        <v/>
      </c>
      <c r="G1504">
        <f>IF(E1504=0,0,INDEX('Планы менеджеров'!$B$5:$M$16,B1504,D1504)/INDEX(Мес_Раб,D1504))</f>
        <v/>
      </c>
    </row>
    <row r="1505">
      <c r="A1505" t="inlineStr">
        <is>
          <t>Новиков</t>
        </is>
      </c>
      <c r="B1505" t="n">
        <v>9</v>
      </c>
      <c r="C1505" s="18">
        <f>'Календарь'!A18</f>
        <v/>
      </c>
      <c r="D1505">
        <f>MONTH(C1505)</f>
        <v/>
      </c>
      <c r="E1505">
        <f>'Календарь'!D18</f>
        <v/>
      </c>
      <c r="F1505">
        <f>INT((C1505-Нед_Начало)/7)+1</f>
        <v/>
      </c>
      <c r="G1505">
        <f>IF(E1505=0,0,INDEX('Планы менеджеров'!$B$5:$M$16,B1505,D1505)/INDEX(Мес_Раб,D1505))</f>
        <v/>
      </c>
    </row>
    <row r="1506">
      <c r="A1506" t="inlineStr">
        <is>
          <t>Новиков</t>
        </is>
      </c>
      <c r="B1506" t="n">
        <v>9</v>
      </c>
      <c r="C1506" s="18">
        <f>'Календарь'!A19</f>
        <v/>
      </c>
      <c r="D1506">
        <f>MONTH(C1506)</f>
        <v/>
      </c>
      <c r="E1506">
        <f>'Календарь'!D19</f>
        <v/>
      </c>
      <c r="F1506">
        <f>INT((C1506-Нед_Начало)/7)+1</f>
        <v/>
      </c>
      <c r="G1506">
        <f>IF(E1506=0,0,INDEX('Планы менеджеров'!$B$5:$M$16,B1506,D1506)/INDEX(Мес_Раб,D1506))</f>
        <v/>
      </c>
    </row>
    <row r="1507">
      <c r="A1507" t="inlineStr">
        <is>
          <t>Новиков</t>
        </is>
      </c>
      <c r="B1507" t="n">
        <v>9</v>
      </c>
      <c r="C1507" s="18">
        <f>'Календарь'!A20</f>
        <v/>
      </c>
      <c r="D1507">
        <f>MONTH(C1507)</f>
        <v/>
      </c>
      <c r="E1507">
        <f>'Календарь'!D20</f>
        <v/>
      </c>
      <c r="F1507">
        <f>INT((C1507-Нед_Начало)/7)+1</f>
        <v/>
      </c>
      <c r="G1507">
        <f>IF(E1507=0,0,INDEX('Планы менеджеров'!$B$5:$M$16,B1507,D1507)/INDEX(Мес_Раб,D1507))</f>
        <v/>
      </c>
    </row>
    <row r="1508">
      <c r="A1508" t="inlineStr">
        <is>
          <t>Новиков</t>
        </is>
      </c>
      <c r="B1508" t="n">
        <v>9</v>
      </c>
      <c r="C1508" s="18">
        <f>'Календарь'!A21</f>
        <v/>
      </c>
      <c r="D1508">
        <f>MONTH(C1508)</f>
        <v/>
      </c>
      <c r="E1508">
        <f>'Календарь'!D21</f>
        <v/>
      </c>
      <c r="F1508">
        <f>INT((C1508-Нед_Начало)/7)+1</f>
        <v/>
      </c>
      <c r="G1508">
        <f>IF(E1508=0,0,INDEX('Планы менеджеров'!$B$5:$M$16,B1508,D1508)/INDEX(Мес_Раб,D1508))</f>
        <v/>
      </c>
    </row>
    <row r="1509">
      <c r="A1509" t="inlineStr">
        <is>
          <t>Новиков</t>
        </is>
      </c>
      <c r="B1509" t="n">
        <v>9</v>
      </c>
      <c r="C1509" s="18">
        <f>'Календарь'!A22</f>
        <v/>
      </c>
      <c r="D1509">
        <f>MONTH(C1509)</f>
        <v/>
      </c>
      <c r="E1509">
        <f>'Календарь'!D22</f>
        <v/>
      </c>
      <c r="F1509">
        <f>INT((C1509-Нед_Начало)/7)+1</f>
        <v/>
      </c>
      <c r="G1509">
        <f>IF(E1509=0,0,INDEX('Планы менеджеров'!$B$5:$M$16,B1509,D1509)/INDEX(Мес_Раб,D1509))</f>
        <v/>
      </c>
    </row>
    <row r="1510">
      <c r="A1510" t="inlineStr">
        <is>
          <t>Новиков</t>
        </is>
      </c>
      <c r="B1510" t="n">
        <v>9</v>
      </c>
      <c r="C1510" s="18">
        <f>'Календарь'!A23</f>
        <v/>
      </c>
      <c r="D1510">
        <f>MONTH(C1510)</f>
        <v/>
      </c>
      <c r="E1510">
        <f>'Календарь'!D23</f>
        <v/>
      </c>
      <c r="F1510">
        <f>INT((C1510-Нед_Начало)/7)+1</f>
        <v/>
      </c>
      <c r="G1510">
        <f>IF(E1510=0,0,INDEX('Планы менеджеров'!$B$5:$M$16,B1510,D1510)/INDEX(Мес_Раб,D1510))</f>
        <v/>
      </c>
    </row>
    <row r="1511">
      <c r="A1511" t="inlineStr">
        <is>
          <t>Новиков</t>
        </is>
      </c>
      <c r="B1511" t="n">
        <v>9</v>
      </c>
      <c r="C1511" s="18">
        <f>'Календарь'!A24</f>
        <v/>
      </c>
      <c r="D1511">
        <f>MONTH(C1511)</f>
        <v/>
      </c>
      <c r="E1511">
        <f>'Календарь'!D24</f>
        <v/>
      </c>
      <c r="F1511">
        <f>INT((C1511-Нед_Начало)/7)+1</f>
        <v/>
      </c>
      <c r="G1511">
        <f>IF(E1511=0,0,INDEX('Планы менеджеров'!$B$5:$M$16,B1511,D1511)/INDEX(Мес_Раб,D1511))</f>
        <v/>
      </c>
    </row>
    <row r="1512">
      <c r="A1512" t="inlineStr">
        <is>
          <t>Новиков</t>
        </is>
      </c>
      <c r="B1512" t="n">
        <v>9</v>
      </c>
      <c r="C1512" s="18">
        <f>'Календарь'!A25</f>
        <v/>
      </c>
      <c r="D1512">
        <f>MONTH(C1512)</f>
        <v/>
      </c>
      <c r="E1512">
        <f>'Календарь'!D25</f>
        <v/>
      </c>
      <c r="F1512">
        <f>INT((C1512-Нед_Начало)/7)+1</f>
        <v/>
      </c>
      <c r="G1512">
        <f>IF(E1512=0,0,INDEX('Планы менеджеров'!$B$5:$M$16,B1512,D1512)/INDEX(Мес_Раб,D1512))</f>
        <v/>
      </c>
    </row>
    <row r="1513">
      <c r="A1513" t="inlineStr">
        <is>
          <t>Новиков</t>
        </is>
      </c>
      <c r="B1513" t="n">
        <v>9</v>
      </c>
      <c r="C1513" s="18">
        <f>'Календарь'!A26</f>
        <v/>
      </c>
      <c r="D1513">
        <f>MONTH(C1513)</f>
        <v/>
      </c>
      <c r="E1513">
        <f>'Календарь'!D26</f>
        <v/>
      </c>
      <c r="F1513">
        <f>INT((C1513-Нед_Начало)/7)+1</f>
        <v/>
      </c>
      <c r="G1513">
        <f>IF(E1513=0,0,INDEX('Планы менеджеров'!$B$5:$M$16,B1513,D1513)/INDEX(Мес_Раб,D1513))</f>
        <v/>
      </c>
    </row>
    <row r="1514">
      <c r="A1514" t="inlineStr">
        <is>
          <t>Новиков</t>
        </is>
      </c>
      <c r="B1514" t="n">
        <v>9</v>
      </c>
      <c r="C1514" s="18">
        <f>'Календарь'!A27</f>
        <v/>
      </c>
      <c r="D1514">
        <f>MONTH(C1514)</f>
        <v/>
      </c>
      <c r="E1514">
        <f>'Календарь'!D27</f>
        <v/>
      </c>
      <c r="F1514">
        <f>INT((C1514-Нед_Начало)/7)+1</f>
        <v/>
      </c>
      <c r="G1514">
        <f>IF(E1514=0,0,INDEX('Планы менеджеров'!$B$5:$M$16,B1514,D1514)/INDEX(Мес_Раб,D1514))</f>
        <v/>
      </c>
    </row>
    <row r="1515">
      <c r="A1515" t="inlineStr">
        <is>
          <t>Новиков</t>
        </is>
      </c>
      <c r="B1515" t="n">
        <v>9</v>
      </c>
      <c r="C1515" s="18">
        <f>'Календарь'!A28</f>
        <v/>
      </c>
      <c r="D1515">
        <f>MONTH(C1515)</f>
        <v/>
      </c>
      <c r="E1515">
        <f>'Календарь'!D28</f>
        <v/>
      </c>
      <c r="F1515">
        <f>INT((C1515-Нед_Начало)/7)+1</f>
        <v/>
      </c>
      <c r="G1515">
        <f>IF(E1515=0,0,INDEX('Планы менеджеров'!$B$5:$M$16,B1515,D1515)/INDEX(Мес_Раб,D1515))</f>
        <v/>
      </c>
    </row>
    <row r="1516">
      <c r="A1516" t="inlineStr">
        <is>
          <t>Новиков</t>
        </is>
      </c>
      <c r="B1516" t="n">
        <v>9</v>
      </c>
      <c r="C1516" s="18">
        <f>'Календарь'!A29</f>
        <v/>
      </c>
      <c r="D1516">
        <f>MONTH(C1516)</f>
        <v/>
      </c>
      <c r="E1516">
        <f>'Календарь'!D29</f>
        <v/>
      </c>
      <c r="F1516">
        <f>INT((C1516-Нед_Начало)/7)+1</f>
        <v/>
      </c>
      <c r="G1516">
        <f>IF(E1516=0,0,INDEX('Планы менеджеров'!$B$5:$M$16,B1516,D1516)/INDEX(Мес_Раб,D1516))</f>
        <v/>
      </c>
    </row>
    <row r="1517">
      <c r="A1517" t="inlineStr">
        <is>
          <t>Новиков</t>
        </is>
      </c>
      <c r="B1517" t="n">
        <v>9</v>
      </c>
      <c r="C1517" s="18">
        <f>'Календарь'!A30</f>
        <v/>
      </c>
      <c r="D1517">
        <f>MONTH(C1517)</f>
        <v/>
      </c>
      <c r="E1517">
        <f>'Календарь'!D30</f>
        <v/>
      </c>
      <c r="F1517">
        <f>INT((C1517-Нед_Начало)/7)+1</f>
        <v/>
      </c>
      <c r="G1517">
        <f>IF(E1517=0,0,INDEX('Планы менеджеров'!$B$5:$M$16,B1517,D1517)/INDEX(Мес_Раб,D1517))</f>
        <v/>
      </c>
    </row>
    <row r="1518">
      <c r="A1518" t="inlineStr">
        <is>
          <t>Новиков</t>
        </is>
      </c>
      <c r="B1518" t="n">
        <v>9</v>
      </c>
      <c r="C1518" s="18">
        <f>'Календарь'!A31</f>
        <v/>
      </c>
      <c r="D1518">
        <f>MONTH(C1518)</f>
        <v/>
      </c>
      <c r="E1518">
        <f>'Календарь'!D31</f>
        <v/>
      </c>
      <c r="F1518">
        <f>INT((C1518-Нед_Начало)/7)+1</f>
        <v/>
      </c>
      <c r="G1518">
        <f>IF(E1518=0,0,INDEX('Планы менеджеров'!$B$5:$M$16,B1518,D1518)/INDEX(Мес_Раб,D1518))</f>
        <v/>
      </c>
    </row>
    <row r="1519">
      <c r="A1519" t="inlineStr">
        <is>
          <t>Новиков</t>
        </is>
      </c>
      <c r="B1519" t="n">
        <v>9</v>
      </c>
      <c r="C1519" s="18">
        <f>'Календарь'!A32</f>
        <v/>
      </c>
      <c r="D1519">
        <f>MONTH(C1519)</f>
        <v/>
      </c>
      <c r="E1519">
        <f>'Календарь'!D32</f>
        <v/>
      </c>
      <c r="F1519">
        <f>INT((C1519-Нед_Начало)/7)+1</f>
        <v/>
      </c>
      <c r="G1519">
        <f>IF(E1519=0,0,INDEX('Планы менеджеров'!$B$5:$M$16,B1519,D1519)/INDEX(Мес_Раб,D1519))</f>
        <v/>
      </c>
    </row>
    <row r="1520">
      <c r="A1520" t="inlineStr">
        <is>
          <t>Новиков</t>
        </is>
      </c>
      <c r="B1520" t="n">
        <v>9</v>
      </c>
      <c r="C1520" s="18">
        <f>'Календарь'!A33</f>
        <v/>
      </c>
      <c r="D1520">
        <f>MONTH(C1520)</f>
        <v/>
      </c>
      <c r="E1520">
        <f>'Календарь'!D33</f>
        <v/>
      </c>
      <c r="F1520">
        <f>INT((C1520-Нед_Начало)/7)+1</f>
        <v/>
      </c>
      <c r="G1520">
        <f>IF(E1520=0,0,INDEX('Планы менеджеров'!$B$5:$M$16,B1520,D1520)/INDEX(Мес_Раб,D1520))</f>
        <v/>
      </c>
    </row>
    <row r="1521">
      <c r="A1521" t="inlineStr">
        <is>
          <t>Новиков</t>
        </is>
      </c>
      <c r="B1521" t="n">
        <v>9</v>
      </c>
      <c r="C1521" s="18">
        <f>'Календарь'!A34</f>
        <v/>
      </c>
      <c r="D1521">
        <f>MONTH(C1521)</f>
        <v/>
      </c>
      <c r="E1521">
        <f>'Календарь'!D34</f>
        <v/>
      </c>
      <c r="F1521">
        <f>INT((C1521-Нед_Начало)/7)+1</f>
        <v/>
      </c>
      <c r="G1521">
        <f>IF(E1521=0,0,INDEX('Планы менеджеров'!$B$5:$M$16,B1521,D1521)/INDEX(Мес_Раб,D1521))</f>
        <v/>
      </c>
    </row>
    <row r="1522">
      <c r="A1522" t="inlineStr">
        <is>
          <t>Новиков</t>
        </is>
      </c>
      <c r="B1522" t="n">
        <v>9</v>
      </c>
      <c r="C1522" s="18">
        <f>'Календарь'!A35</f>
        <v/>
      </c>
      <c r="D1522">
        <f>MONTH(C1522)</f>
        <v/>
      </c>
      <c r="E1522">
        <f>'Календарь'!D35</f>
        <v/>
      </c>
      <c r="F1522">
        <f>INT((C1522-Нед_Начало)/7)+1</f>
        <v/>
      </c>
      <c r="G1522">
        <f>IF(E1522=0,0,INDEX('Планы менеджеров'!$B$5:$M$16,B1522,D1522)/INDEX(Мес_Раб,D1522))</f>
        <v/>
      </c>
    </row>
    <row r="1523">
      <c r="A1523" t="inlineStr">
        <is>
          <t>Новиков</t>
        </is>
      </c>
      <c r="B1523" t="n">
        <v>9</v>
      </c>
      <c r="C1523" s="18">
        <f>'Календарь'!A36</f>
        <v/>
      </c>
      <c r="D1523">
        <f>MONTH(C1523)</f>
        <v/>
      </c>
      <c r="E1523">
        <f>'Календарь'!D36</f>
        <v/>
      </c>
      <c r="F1523">
        <f>INT((C1523-Нед_Начало)/7)+1</f>
        <v/>
      </c>
      <c r="G1523">
        <f>IF(E1523=0,0,INDEX('Планы менеджеров'!$B$5:$M$16,B1523,D1523)/INDEX(Мес_Раб,D1523))</f>
        <v/>
      </c>
    </row>
    <row r="1524">
      <c r="A1524" t="inlineStr">
        <is>
          <t>Новиков</t>
        </is>
      </c>
      <c r="B1524" t="n">
        <v>9</v>
      </c>
      <c r="C1524" s="18">
        <f>'Календарь'!A37</f>
        <v/>
      </c>
      <c r="D1524">
        <f>MONTH(C1524)</f>
        <v/>
      </c>
      <c r="E1524">
        <f>'Календарь'!D37</f>
        <v/>
      </c>
      <c r="F1524">
        <f>INT((C1524-Нед_Начало)/7)+1</f>
        <v/>
      </c>
      <c r="G1524">
        <f>IF(E1524=0,0,INDEX('Планы менеджеров'!$B$5:$M$16,B1524,D1524)/INDEX(Мес_Раб,D1524))</f>
        <v/>
      </c>
    </row>
    <row r="1525">
      <c r="A1525" t="inlineStr">
        <is>
          <t>Новиков</t>
        </is>
      </c>
      <c r="B1525" t="n">
        <v>9</v>
      </c>
      <c r="C1525" s="18">
        <f>'Календарь'!A38</f>
        <v/>
      </c>
      <c r="D1525">
        <f>MONTH(C1525)</f>
        <v/>
      </c>
      <c r="E1525">
        <f>'Календарь'!D38</f>
        <v/>
      </c>
      <c r="F1525">
        <f>INT((C1525-Нед_Начало)/7)+1</f>
        <v/>
      </c>
      <c r="G1525">
        <f>IF(E1525=0,0,INDEX('Планы менеджеров'!$B$5:$M$16,B1525,D1525)/INDEX(Мес_Раб,D1525))</f>
        <v/>
      </c>
    </row>
    <row r="1526">
      <c r="A1526" t="inlineStr">
        <is>
          <t>Новиков</t>
        </is>
      </c>
      <c r="B1526" t="n">
        <v>9</v>
      </c>
      <c r="C1526" s="18">
        <f>'Календарь'!A39</f>
        <v/>
      </c>
      <c r="D1526">
        <f>MONTH(C1526)</f>
        <v/>
      </c>
      <c r="E1526">
        <f>'Календарь'!D39</f>
        <v/>
      </c>
      <c r="F1526">
        <f>INT((C1526-Нед_Начало)/7)+1</f>
        <v/>
      </c>
      <c r="G1526">
        <f>IF(E1526=0,0,INDEX('Планы менеджеров'!$B$5:$M$16,B1526,D1526)/INDEX(Мес_Раб,D1526))</f>
        <v/>
      </c>
    </row>
    <row r="1527">
      <c r="A1527" t="inlineStr">
        <is>
          <t>Новиков</t>
        </is>
      </c>
      <c r="B1527" t="n">
        <v>9</v>
      </c>
      <c r="C1527" s="18">
        <f>'Календарь'!A40</f>
        <v/>
      </c>
      <c r="D1527">
        <f>MONTH(C1527)</f>
        <v/>
      </c>
      <c r="E1527">
        <f>'Календарь'!D40</f>
        <v/>
      </c>
      <c r="F1527">
        <f>INT((C1527-Нед_Начало)/7)+1</f>
        <v/>
      </c>
      <c r="G1527">
        <f>IF(E1527=0,0,INDEX('Планы менеджеров'!$B$5:$M$16,B1527,D1527)/INDEX(Мес_Раб,D1527))</f>
        <v/>
      </c>
    </row>
    <row r="1528">
      <c r="A1528" t="inlineStr">
        <is>
          <t>Новиков</t>
        </is>
      </c>
      <c r="B1528" t="n">
        <v>9</v>
      </c>
      <c r="C1528" s="18">
        <f>'Календарь'!A41</f>
        <v/>
      </c>
      <c r="D1528">
        <f>MONTH(C1528)</f>
        <v/>
      </c>
      <c r="E1528">
        <f>'Календарь'!D41</f>
        <v/>
      </c>
      <c r="F1528">
        <f>INT((C1528-Нед_Начало)/7)+1</f>
        <v/>
      </c>
      <c r="G1528">
        <f>IF(E1528=0,0,INDEX('Планы менеджеров'!$B$5:$M$16,B1528,D1528)/INDEX(Мес_Раб,D1528))</f>
        <v/>
      </c>
    </row>
    <row r="1529">
      <c r="A1529" t="inlineStr">
        <is>
          <t>Новиков</t>
        </is>
      </c>
      <c r="B1529" t="n">
        <v>9</v>
      </c>
      <c r="C1529" s="18">
        <f>'Календарь'!A42</f>
        <v/>
      </c>
      <c r="D1529">
        <f>MONTH(C1529)</f>
        <v/>
      </c>
      <c r="E1529">
        <f>'Календарь'!D42</f>
        <v/>
      </c>
      <c r="F1529">
        <f>INT((C1529-Нед_Начало)/7)+1</f>
        <v/>
      </c>
      <c r="G1529">
        <f>IF(E1529=0,0,INDEX('Планы менеджеров'!$B$5:$M$16,B1529,D1529)/INDEX(Мес_Раб,D1529))</f>
        <v/>
      </c>
    </row>
    <row r="1530">
      <c r="A1530" t="inlineStr">
        <is>
          <t>Новиков</t>
        </is>
      </c>
      <c r="B1530" t="n">
        <v>9</v>
      </c>
      <c r="C1530" s="18">
        <f>'Календарь'!A43</f>
        <v/>
      </c>
      <c r="D1530">
        <f>MONTH(C1530)</f>
        <v/>
      </c>
      <c r="E1530">
        <f>'Календарь'!D43</f>
        <v/>
      </c>
      <c r="F1530">
        <f>INT((C1530-Нед_Начало)/7)+1</f>
        <v/>
      </c>
      <c r="G1530">
        <f>IF(E1530=0,0,INDEX('Планы менеджеров'!$B$5:$M$16,B1530,D1530)/INDEX(Мес_Раб,D1530))</f>
        <v/>
      </c>
    </row>
    <row r="1531">
      <c r="A1531" t="inlineStr">
        <is>
          <t>Новиков</t>
        </is>
      </c>
      <c r="B1531" t="n">
        <v>9</v>
      </c>
      <c r="C1531" s="18">
        <f>'Календарь'!A44</f>
        <v/>
      </c>
      <c r="D1531">
        <f>MONTH(C1531)</f>
        <v/>
      </c>
      <c r="E1531">
        <f>'Календарь'!D44</f>
        <v/>
      </c>
      <c r="F1531">
        <f>INT((C1531-Нед_Начало)/7)+1</f>
        <v/>
      </c>
      <c r="G1531">
        <f>IF(E1531=0,0,INDEX('Планы менеджеров'!$B$5:$M$16,B1531,D1531)/INDEX(Мес_Раб,D1531))</f>
        <v/>
      </c>
    </row>
    <row r="1532">
      <c r="A1532" t="inlineStr">
        <is>
          <t>Новиков</t>
        </is>
      </c>
      <c r="B1532" t="n">
        <v>9</v>
      </c>
      <c r="C1532" s="18">
        <f>'Календарь'!A45</f>
        <v/>
      </c>
      <c r="D1532">
        <f>MONTH(C1532)</f>
        <v/>
      </c>
      <c r="E1532">
        <f>'Календарь'!D45</f>
        <v/>
      </c>
      <c r="F1532">
        <f>INT((C1532-Нед_Начало)/7)+1</f>
        <v/>
      </c>
      <c r="G1532">
        <f>IF(E1532=0,0,INDEX('Планы менеджеров'!$B$5:$M$16,B1532,D1532)/INDEX(Мес_Раб,D1532))</f>
        <v/>
      </c>
    </row>
    <row r="1533">
      <c r="A1533" t="inlineStr">
        <is>
          <t>Новиков</t>
        </is>
      </c>
      <c r="B1533" t="n">
        <v>9</v>
      </c>
      <c r="C1533" s="18">
        <f>'Календарь'!A46</f>
        <v/>
      </c>
      <c r="D1533">
        <f>MONTH(C1533)</f>
        <v/>
      </c>
      <c r="E1533">
        <f>'Календарь'!D46</f>
        <v/>
      </c>
      <c r="F1533">
        <f>INT((C1533-Нед_Начало)/7)+1</f>
        <v/>
      </c>
      <c r="G1533">
        <f>IF(E1533=0,0,INDEX('Планы менеджеров'!$B$5:$M$16,B1533,D1533)/INDEX(Мес_Раб,D1533))</f>
        <v/>
      </c>
    </row>
    <row r="1534">
      <c r="A1534" t="inlineStr">
        <is>
          <t>Новиков</t>
        </is>
      </c>
      <c r="B1534" t="n">
        <v>9</v>
      </c>
      <c r="C1534" s="18">
        <f>'Календарь'!A47</f>
        <v/>
      </c>
      <c r="D1534">
        <f>MONTH(C1534)</f>
        <v/>
      </c>
      <c r="E1534">
        <f>'Календарь'!D47</f>
        <v/>
      </c>
      <c r="F1534">
        <f>INT((C1534-Нед_Начало)/7)+1</f>
        <v/>
      </c>
      <c r="G1534">
        <f>IF(E1534=0,0,INDEX('Планы менеджеров'!$B$5:$M$16,B1534,D1534)/INDEX(Мес_Раб,D1534))</f>
        <v/>
      </c>
    </row>
    <row r="1535">
      <c r="A1535" t="inlineStr">
        <is>
          <t>Новиков</t>
        </is>
      </c>
      <c r="B1535" t="n">
        <v>9</v>
      </c>
      <c r="C1535" s="18">
        <f>'Календарь'!A48</f>
        <v/>
      </c>
      <c r="D1535">
        <f>MONTH(C1535)</f>
        <v/>
      </c>
      <c r="E1535">
        <f>'Календарь'!D48</f>
        <v/>
      </c>
      <c r="F1535">
        <f>INT((C1535-Нед_Начало)/7)+1</f>
        <v/>
      </c>
      <c r="G1535">
        <f>IF(E1535=0,0,INDEX('Планы менеджеров'!$B$5:$M$16,B1535,D1535)/INDEX(Мес_Раб,D1535))</f>
        <v/>
      </c>
    </row>
    <row r="1536">
      <c r="A1536" t="inlineStr">
        <is>
          <t>Новиков</t>
        </is>
      </c>
      <c r="B1536" t="n">
        <v>9</v>
      </c>
      <c r="C1536" s="18">
        <f>'Календарь'!A49</f>
        <v/>
      </c>
      <c r="D1536">
        <f>MONTH(C1536)</f>
        <v/>
      </c>
      <c r="E1536">
        <f>'Календарь'!D49</f>
        <v/>
      </c>
      <c r="F1536">
        <f>INT((C1536-Нед_Начало)/7)+1</f>
        <v/>
      </c>
      <c r="G1536">
        <f>IF(E1536=0,0,INDEX('Планы менеджеров'!$B$5:$M$16,B1536,D1536)/INDEX(Мес_Раб,D1536))</f>
        <v/>
      </c>
    </row>
    <row r="1537">
      <c r="A1537" t="inlineStr">
        <is>
          <t>Новиков</t>
        </is>
      </c>
      <c r="B1537" t="n">
        <v>9</v>
      </c>
      <c r="C1537" s="18">
        <f>'Календарь'!A50</f>
        <v/>
      </c>
      <c r="D1537">
        <f>MONTH(C1537)</f>
        <v/>
      </c>
      <c r="E1537">
        <f>'Календарь'!D50</f>
        <v/>
      </c>
      <c r="F1537">
        <f>INT((C1537-Нед_Начало)/7)+1</f>
        <v/>
      </c>
      <c r="G1537">
        <f>IF(E1537=0,0,INDEX('Планы менеджеров'!$B$5:$M$16,B1537,D1537)/INDEX(Мес_Раб,D1537))</f>
        <v/>
      </c>
    </row>
    <row r="1538">
      <c r="A1538" t="inlineStr">
        <is>
          <t>Новиков</t>
        </is>
      </c>
      <c r="B1538" t="n">
        <v>9</v>
      </c>
      <c r="C1538" s="18">
        <f>'Календарь'!A51</f>
        <v/>
      </c>
      <c r="D1538">
        <f>MONTH(C1538)</f>
        <v/>
      </c>
      <c r="E1538">
        <f>'Календарь'!D51</f>
        <v/>
      </c>
      <c r="F1538">
        <f>INT((C1538-Нед_Начало)/7)+1</f>
        <v/>
      </c>
      <c r="G1538">
        <f>IF(E1538=0,0,INDEX('Планы менеджеров'!$B$5:$M$16,B1538,D1538)/INDEX(Мес_Раб,D1538))</f>
        <v/>
      </c>
    </row>
    <row r="1539">
      <c r="A1539" t="inlineStr">
        <is>
          <t>Новиков</t>
        </is>
      </c>
      <c r="B1539" t="n">
        <v>9</v>
      </c>
      <c r="C1539" s="18">
        <f>'Календарь'!A52</f>
        <v/>
      </c>
      <c r="D1539">
        <f>MONTH(C1539)</f>
        <v/>
      </c>
      <c r="E1539">
        <f>'Календарь'!D52</f>
        <v/>
      </c>
      <c r="F1539">
        <f>INT((C1539-Нед_Начало)/7)+1</f>
        <v/>
      </c>
      <c r="G1539">
        <f>IF(E1539=0,0,INDEX('Планы менеджеров'!$B$5:$M$16,B1539,D1539)/INDEX(Мес_Раб,D1539))</f>
        <v/>
      </c>
    </row>
    <row r="1540">
      <c r="A1540" t="inlineStr">
        <is>
          <t>Новиков</t>
        </is>
      </c>
      <c r="B1540" t="n">
        <v>9</v>
      </c>
      <c r="C1540" s="18">
        <f>'Календарь'!A53</f>
        <v/>
      </c>
      <c r="D1540">
        <f>MONTH(C1540)</f>
        <v/>
      </c>
      <c r="E1540">
        <f>'Календарь'!D53</f>
        <v/>
      </c>
      <c r="F1540">
        <f>INT((C1540-Нед_Начало)/7)+1</f>
        <v/>
      </c>
      <c r="G1540">
        <f>IF(E1540=0,0,INDEX('Планы менеджеров'!$B$5:$M$16,B1540,D1540)/INDEX(Мес_Раб,D1540))</f>
        <v/>
      </c>
    </row>
    <row r="1541">
      <c r="A1541" t="inlineStr">
        <is>
          <t>Новиков</t>
        </is>
      </c>
      <c r="B1541" t="n">
        <v>9</v>
      </c>
      <c r="C1541" s="18">
        <f>'Календарь'!A54</f>
        <v/>
      </c>
      <c r="D1541">
        <f>MONTH(C1541)</f>
        <v/>
      </c>
      <c r="E1541">
        <f>'Календарь'!D54</f>
        <v/>
      </c>
      <c r="F1541">
        <f>INT((C1541-Нед_Начало)/7)+1</f>
        <v/>
      </c>
      <c r="G1541">
        <f>IF(E1541=0,0,INDEX('Планы менеджеров'!$B$5:$M$16,B1541,D1541)/INDEX(Мес_Раб,D1541))</f>
        <v/>
      </c>
    </row>
    <row r="1542">
      <c r="A1542" t="inlineStr">
        <is>
          <t>Новиков</t>
        </is>
      </c>
      <c r="B1542" t="n">
        <v>9</v>
      </c>
      <c r="C1542" s="18">
        <f>'Календарь'!A55</f>
        <v/>
      </c>
      <c r="D1542">
        <f>MONTH(C1542)</f>
        <v/>
      </c>
      <c r="E1542">
        <f>'Календарь'!D55</f>
        <v/>
      </c>
      <c r="F1542">
        <f>INT((C1542-Нед_Начало)/7)+1</f>
        <v/>
      </c>
      <c r="G1542">
        <f>IF(E1542=0,0,INDEX('Планы менеджеров'!$B$5:$M$16,B1542,D1542)/INDEX(Мес_Раб,D1542))</f>
        <v/>
      </c>
    </row>
    <row r="1543">
      <c r="A1543" t="inlineStr">
        <is>
          <t>Новиков</t>
        </is>
      </c>
      <c r="B1543" t="n">
        <v>9</v>
      </c>
      <c r="C1543" s="18">
        <f>'Календарь'!A56</f>
        <v/>
      </c>
      <c r="D1543">
        <f>MONTH(C1543)</f>
        <v/>
      </c>
      <c r="E1543">
        <f>'Календарь'!D56</f>
        <v/>
      </c>
      <c r="F1543">
        <f>INT((C1543-Нед_Начало)/7)+1</f>
        <v/>
      </c>
      <c r="G1543">
        <f>IF(E1543=0,0,INDEX('Планы менеджеров'!$B$5:$M$16,B1543,D1543)/INDEX(Мес_Раб,D1543))</f>
        <v/>
      </c>
    </row>
    <row r="1544">
      <c r="A1544" t="inlineStr">
        <is>
          <t>Новиков</t>
        </is>
      </c>
      <c r="B1544" t="n">
        <v>9</v>
      </c>
      <c r="C1544" s="18">
        <f>'Календарь'!A57</f>
        <v/>
      </c>
      <c r="D1544">
        <f>MONTH(C1544)</f>
        <v/>
      </c>
      <c r="E1544">
        <f>'Календарь'!D57</f>
        <v/>
      </c>
      <c r="F1544">
        <f>INT((C1544-Нед_Начало)/7)+1</f>
        <v/>
      </c>
      <c r="G1544">
        <f>IF(E1544=0,0,INDEX('Планы менеджеров'!$B$5:$M$16,B1544,D1544)/INDEX(Мес_Раб,D1544))</f>
        <v/>
      </c>
    </row>
    <row r="1545">
      <c r="A1545" t="inlineStr">
        <is>
          <t>Новиков</t>
        </is>
      </c>
      <c r="B1545" t="n">
        <v>9</v>
      </c>
      <c r="C1545" s="18">
        <f>'Календарь'!A58</f>
        <v/>
      </c>
      <c r="D1545">
        <f>MONTH(C1545)</f>
        <v/>
      </c>
      <c r="E1545">
        <f>'Календарь'!D58</f>
        <v/>
      </c>
      <c r="F1545">
        <f>INT((C1545-Нед_Начало)/7)+1</f>
        <v/>
      </c>
      <c r="G1545">
        <f>IF(E1545=0,0,INDEX('Планы менеджеров'!$B$5:$M$16,B1545,D1545)/INDEX(Мес_Раб,D1545))</f>
        <v/>
      </c>
    </row>
    <row r="1546">
      <c r="A1546" t="inlineStr">
        <is>
          <t>Новиков</t>
        </is>
      </c>
      <c r="B1546" t="n">
        <v>9</v>
      </c>
      <c r="C1546" s="18">
        <f>'Календарь'!A59</f>
        <v/>
      </c>
      <c r="D1546">
        <f>MONTH(C1546)</f>
        <v/>
      </c>
      <c r="E1546">
        <f>'Календарь'!D59</f>
        <v/>
      </c>
      <c r="F1546">
        <f>INT((C1546-Нед_Начало)/7)+1</f>
        <v/>
      </c>
      <c r="G1546">
        <f>IF(E1546=0,0,INDEX('Планы менеджеров'!$B$5:$M$16,B1546,D1546)/INDEX(Мес_Раб,D1546))</f>
        <v/>
      </c>
    </row>
    <row r="1547">
      <c r="A1547" t="inlineStr">
        <is>
          <t>Новиков</t>
        </is>
      </c>
      <c r="B1547" t="n">
        <v>9</v>
      </c>
      <c r="C1547" s="18">
        <f>'Календарь'!A60</f>
        <v/>
      </c>
      <c r="D1547">
        <f>MONTH(C1547)</f>
        <v/>
      </c>
      <c r="E1547">
        <f>'Календарь'!D60</f>
        <v/>
      </c>
      <c r="F1547">
        <f>INT((C1547-Нед_Начало)/7)+1</f>
        <v/>
      </c>
      <c r="G1547">
        <f>IF(E1547=0,0,INDEX('Планы менеджеров'!$B$5:$M$16,B1547,D1547)/INDEX(Мес_Раб,D1547))</f>
        <v/>
      </c>
    </row>
    <row r="1548">
      <c r="A1548" t="inlineStr">
        <is>
          <t>Новиков</t>
        </is>
      </c>
      <c r="B1548" t="n">
        <v>9</v>
      </c>
      <c r="C1548" s="18">
        <f>'Календарь'!A61</f>
        <v/>
      </c>
      <c r="D1548">
        <f>MONTH(C1548)</f>
        <v/>
      </c>
      <c r="E1548">
        <f>'Календарь'!D61</f>
        <v/>
      </c>
      <c r="F1548">
        <f>INT((C1548-Нед_Начало)/7)+1</f>
        <v/>
      </c>
      <c r="G1548">
        <f>IF(E1548=0,0,INDEX('Планы менеджеров'!$B$5:$M$16,B1548,D1548)/INDEX(Мес_Раб,D1548))</f>
        <v/>
      </c>
    </row>
    <row r="1549">
      <c r="A1549" t="inlineStr">
        <is>
          <t>Новиков</t>
        </is>
      </c>
      <c r="B1549" t="n">
        <v>9</v>
      </c>
      <c r="C1549" s="18">
        <f>'Календарь'!A62</f>
        <v/>
      </c>
      <c r="D1549">
        <f>MONTH(C1549)</f>
        <v/>
      </c>
      <c r="E1549">
        <f>'Календарь'!D62</f>
        <v/>
      </c>
      <c r="F1549">
        <f>INT((C1549-Нед_Начало)/7)+1</f>
        <v/>
      </c>
      <c r="G1549">
        <f>IF(E1549=0,0,INDEX('Планы менеджеров'!$B$5:$M$16,B1549,D1549)/INDEX(Мес_Раб,D1549))</f>
        <v/>
      </c>
    </row>
    <row r="1550">
      <c r="A1550" t="inlineStr">
        <is>
          <t>Новиков</t>
        </is>
      </c>
      <c r="B1550" t="n">
        <v>9</v>
      </c>
      <c r="C1550" s="18">
        <f>'Календарь'!A63</f>
        <v/>
      </c>
      <c r="D1550">
        <f>MONTH(C1550)</f>
        <v/>
      </c>
      <c r="E1550">
        <f>'Календарь'!D63</f>
        <v/>
      </c>
      <c r="F1550">
        <f>INT((C1550-Нед_Начало)/7)+1</f>
        <v/>
      </c>
      <c r="G1550">
        <f>IF(E1550=0,0,INDEX('Планы менеджеров'!$B$5:$M$16,B1550,D1550)/INDEX(Мес_Раб,D1550))</f>
        <v/>
      </c>
    </row>
    <row r="1551">
      <c r="A1551" t="inlineStr">
        <is>
          <t>Новиков</t>
        </is>
      </c>
      <c r="B1551" t="n">
        <v>9</v>
      </c>
      <c r="C1551" s="18">
        <f>'Календарь'!A64</f>
        <v/>
      </c>
      <c r="D1551">
        <f>MONTH(C1551)</f>
        <v/>
      </c>
      <c r="E1551">
        <f>'Календарь'!D64</f>
        <v/>
      </c>
      <c r="F1551">
        <f>INT((C1551-Нед_Начало)/7)+1</f>
        <v/>
      </c>
      <c r="G1551">
        <f>IF(E1551=0,0,INDEX('Планы менеджеров'!$B$5:$M$16,B1551,D1551)/INDEX(Мес_Раб,D1551))</f>
        <v/>
      </c>
    </row>
    <row r="1552">
      <c r="A1552" t="inlineStr">
        <is>
          <t>Новиков</t>
        </is>
      </c>
      <c r="B1552" t="n">
        <v>9</v>
      </c>
      <c r="C1552" s="18">
        <f>'Календарь'!A65</f>
        <v/>
      </c>
      <c r="D1552">
        <f>MONTH(C1552)</f>
        <v/>
      </c>
      <c r="E1552">
        <f>'Календарь'!D65</f>
        <v/>
      </c>
      <c r="F1552">
        <f>INT((C1552-Нед_Начало)/7)+1</f>
        <v/>
      </c>
      <c r="G1552">
        <f>IF(E1552=0,0,INDEX('Планы менеджеров'!$B$5:$M$16,B1552,D1552)/INDEX(Мес_Раб,D1552))</f>
        <v/>
      </c>
    </row>
    <row r="1553">
      <c r="A1553" t="inlineStr">
        <is>
          <t>Новиков</t>
        </is>
      </c>
      <c r="B1553" t="n">
        <v>9</v>
      </c>
      <c r="C1553" s="18">
        <f>'Календарь'!A66</f>
        <v/>
      </c>
      <c r="D1553">
        <f>MONTH(C1553)</f>
        <v/>
      </c>
      <c r="E1553">
        <f>'Календарь'!D66</f>
        <v/>
      </c>
      <c r="F1553">
        <f>INT((C1553-Нед_Начало)/7)+1</f>
        <v/>
      </c>
      <c r="G1553">
        <f>IF(E1553=0,0,INDEX('Планы менеджеров'!$B$5:$M$16,B1553,D1553)/INDEX(Мес_Раб,D1553))</f>
        <v/>
      </c>
    </row>
    <row r="1554">
      <c r="A1554" t="inlineStr">
        <is>
          <t>Новиков</t>
        </is>
      </c>
      <c r="B1554" t="n">
        <v>9</v>
      </c>
      <c r="C1554" s="18">
        <f>'Календарь'!A67</f>
        <v/>
      </c>
      <c r="D1554">
        <f>MONTH(C1554)</f>
        <v/>
      </c>
      <c r="E1554">
        <f>'Календарь'!D67</f>
        <v/>
      </c>
      <c r="F1554">
        <f>INT((C1554-Нед_Начало)/7)+1</f>
        <v/>
      </c>
      <c r="G1554">
        <f>IF(E1554=0,0,INDEX('Планы менеджеров'!$B$5:$M$16,B1554,D1554)/INDEX(Мес_Раб,D1554))</f>
        <v/>
      </c>
    </row>
    <row r="1555">
      <c r="A1555" t="inlineStr">
        <is>
          <t>Новиков</t>
        </is>
      </c>
      <c r="B1555" t="n">
        <v>9</v>
      </c>
      <c r="C1555" s="18">
        <f>'Календарь'!A68</f>
        <v/>
      </c>
      <c r="D1555">
        <f>MONTH(C1555)</f>
        <v/>
      </c>
      <c r="E1555">
        <f>'Календарь'!D68</f>
        <v/>
      </c>
      <c r="F1555">
        <f>INT((C1555-Нед_Начало)/7)+1</f>
        <v/>
      </c>
      <c r="G1555">
        <f>IF(E1555=0,0,INDEX('Планы менеджеров'!$B$5:$M$16,B1555,D1555)/INDEX(Мес_Раб,D1555))</f>
        <v/>
      </c>
    </row>
    <row r="1556">
      <c r="A1556" t="inlineStr">
        <is>
          <t>Новиков</t>
        </is>
      </c>
      <c r="B1556" t="n">
        <v>9</v>
      </c>
      <c r="C1556" s="18">
        <f>'Календарь'!A69</f>
        <v/>
      </c>
      <c r="D1556">
        <f>MONTH(C1556)</f>
        <v/>
      </c>
      <c r="E1556">
        <f>'Календарь'!D69</f>
        <v/>
      </c>
      <c r="F1556">
        <f>INT((C1556-Нед_Начало)/7)+1</f>
        <v/>
      </c>
      <c r="G1556">
        <f>IF(E1556=0,0,INDEX('Планы менеджеров'!$B$5:$M$16,B1556,D1556)/INDEX(Мес_Раб,D1556))</f>
        <v/>
      </c>
    </row>
    <row r="1557">
      <c r="A1557" t="inlineStr">
        <is>
          <t>Новиков</t>
        </is>
      </c>
      <c r="B1557" t="n">
        <v>9</v>
      </c>
      <c r="C1557" s="18">
        <f>'Календарь'!A70</f>
        <v/>
      </c>
      <c r="D1557">
        <f>MONTH(C1557)</f>
        <v/>
      </c>
      <c r="E1557">
        <f>'Календарь'!D70</f>
        <v/>
      </c>
      <c r="F1557">
        <f>INT((C1557-Нед_Начало)/7)+1</f>
        <v/>
      </c>
      <c r="G1557">
        <f>IF(E1557=0,0,INDEX('Планы менеджеров'!$B$5:$M$16,B1557,D1557)/INDEX(Мес_Раб,D1557))</f>
        <v/>
      </c>
    </row>
    <row r="1558">
      <c r="A1558" t="inlineStr">
        <is>
          <t>Новиков</t>
        </is>
      </c>
      <c r="B1558" t="n">
        <v>9</v>
      </c>
      <c r="C1558" s="18">
        <f>'Календарь'!A71</f>
        <v/>
      </c>
      <c r="D1558">
        <f>MONTH(C1558)</f>
        <v/>
      </c>
      <c r="E1558">
        <f>'Календарь'!D71</f>
        <v/>
      </c>
      <c r="F1558">
        <f>INT((C1558-Нед_Начало)/7)+1</f>
        <v/>
      </c>
      <c r="G1558">
        <f>IF(E1558=0,0,INDEX('Планы менеджеров'!$B$5:$M$16,B1558,D1558)/INDEX(Мес_Раб,D1558))</f>
        <v/>
      </c>
    </row>
    <row r="1559">
      <c r="A1559" t="inlineStr">
        <is>
          <t>Новиков</t>
        </is>
      </c>
      <c r="B1559" t="n">
        <v>9</v>
      </c>
      <c r="C1559" s="18">
        <f>'Календарь'!A72</f>
        <v/>
      </c>
      <c r="D1559">
        <f>MONTH(C1559)</f>
        <v/>
      </c>
      <c r="E1559">
        <f>'Календарь'!D72</f>
        <v/>
      </c>
      <c r="F1559">
        <f>INT((C1559-Нед_Начало)/7)+1</f>
        <v/>
      </c>
      <c r="G1559">
        <f>IF(E1559=0,0,INDEX('Планы менеджеров'!$B$5:$M$16,B1559,D1559)/INDEX(Мес_Раб,D1559))</f>
        <v/>
      </c>
    </row>
    <row r="1560">
      <c r="A1560" t="inlineStr">
        <is>
          <t>Новиков</t>
        </is>
      </c>
      <c r="B1560" t="n">
        <v>9</v>
      </c>
      <c r="C1560" s="18">
        <f>'Календарь'!A73</f>
        <v/>
      </c>
      <c r="D1560">
        <f>MONTH(C1560)</f>
        <v/>
      </c>
      <c r="E1560">
        <f>'Календарь'!D73</f>
        <v/>
      </c>
      <c r="F1560">
        <f>INT((C1560-Нед_Начало)/7)+1</f>
        <v/>
      </c>
      <c r="G1560">
        <f>IF(E1560=0,0,INDEX('Планы менеджеров'!$B$5:$M$16,B1560,D1560)/INDEX(Мес_Раб,D1560))</f>
        <v/>
      </c>
    </row>
    <row r="1561">
      <c r="A1561" t="inlineStr">
        <is>
          <t>Новиков</t>
        </is>
      </c>
      <c r="B1561" t="n">
        <v>9</v>
      </c>
      <c r="C1561" s="18">
        <f>'Календарь'!A74</f>
        <v/>
      </c>
      <c r="D1561">
        <f>MONTH(C1561)</f>
        <v/>
      </c>
      <c r="E1561">
        <f>'Календарь'!D74</f>
        <v/>
      </c>
      <c r="F1561">
        <f>INT((C1561-Нед_Начало)/7)+1</f>
        <v/>
      </c>
      <c r="G1561">
        <f>IF(E1561=0,0,INDEX('Планы менеджеров'!$B$5:$M$16,B1561,D1561)/INDEX(Мес_Раб,D1561))</f>
        <v/>
      </c>
    </row>
    <row r="1562">
      <c r="A1562" t="inlineStr">
        <is>
          <t>Новиков</t>
        </is>
      </c>
      <c r="B1562" t="n">
        <v>9</v>
      </c>
      <c r="C1562" s="18">
        <f>'Календарь'!A75</f>
        <v/>
      </c>
      <c r="D1562">
        <f>MONTH(C1562)</f>
        <v/>
      </c>
      <c r="E1562">
        <f>'Календарь'!D75</f>
        <v/>
      </c>
      <c r="F1562">
        <f>INT((C1562-Нед_Начало)/7)+1</f>
        <v/>
      </c>
      <c r="G1562">
        <f>IF(E1562=0,0,INDEX('Планы менеджеров'!$B$5:$M$16,B1562,D1562)/INDEX(Мес_Раб,D1562))</f>
        <v/>
      </c>
    </row>
    <row r="1563">
      <c r="A1563" t="inlineStr">
        <is>
          <t>Новиков</t>
        </is>
      </c>
      <c r="B1563" t="n">
        <v>9</v>
      </c>
      <c r="C1563" s="18">
        <f>'Календарь'!A76</f>
        <v/>
      </c>
      <c r="D1563">
        <f>MONTH(C1563)</f>
        <v/>
      </c>
      <c r="E1563">
        <f>'Календарь'!D76</f>
        <v/>
      </c>
      <c r="F1563">
        <f>INT((C1563-Нед_Начало)/7)+1</f>
        <v/>
      </c>
      <c r="G1563">
        <f>IF(E1563=0,0,INDEX('Планы менеджеров'!$B$5:$M$16,B1563,D1563)/INDEX(Мес_Раб,D1563))</f>
        <v/>
      </c>
    </row>
    <row r="1564">
      <c r="A1564" t="inlineStr">
        <is>
          <t>Новиков</t>
        </is>
      </c>
      <c r="B1564" t="n">
        <v>9</v>
      </c>
      <c r="C1564" s="18">
        <f>'Календарь'!A77</f>
        <v/>
      </c>
      <c r="D1564">
        <f>MONTH(C1564)</f>
        <v/>
      </c>
      <c r="E1564">
        <f>'Календарь'!D77</f>
        <v/>
      </c>
      <c r="F1564">
        <f>INT((C1564-Нед_Начало)/7)+1</f>
        <v/>
      </c>
      <c r="G1564">
        <f>IF(E1564=0,0,INDEX('Планы менеджеров'!$B$5:$M$16,B1564,D1564)/INDEX(Мес_Раб,D1564))</f>
        <v/>
      </c>
    </row>
    <row r="1565">
      <c r="A1565" t="inlineStr">
        <is>
          <t>Новиков</t>
        </is>
      </c>
      <c r="B1565" t="n">
        <v>9</v>
      </c>
      <c r="C1565" s="18">
        <f>'Календарь'!A78</f>
        <v/>
      </c>
      <c r="D1565">
        <f>MONTH(C1565)</f>
        <v/>
      </c>
      <c r="E1565">
        <f>'Календарь'!D78</f>
        <v/>
      </c>
      <c r="F1565">
        <f>INT((C1565-Нед_Начало)/7)+1</f>
        <v/>
      </c>
      <c r="G1565">
        <f>IF(E1565=0,0,INDEX('Планы менеджеров'!$B$5:$M$16,B1565,D1565)/INDEX(Мес_Раб,D1565))</f>
        <v/>
      </c>
    </row>
    <row r="1566">
      <c r="A1566" t="inlineStr">
        <is>
          <t>Новиков</t>
        </is>
      </c>
      <c r="B1566" t="n">
        <v>9</v>
      </c>
      <c r="C1566" s="18">
        <f>'Календарь'!A79</f>
        <v/>
      </c>
      <c r="D1566">
        <f>MONTH(C1566)</f>
        <v/>
      </c>
      <c r="E1566">
        <f>'Календарь'!D79</f>
        <v/>
      </c>
      <c r="F1566">
        <f>INT((C1566-Нед_Начало)/7)+1</f>
        <v/>
      </c>
      <c r="G1566">
        <f>IF(E1566=0,0,INDEX('Планы менеджеров'!$B$5:$M$16,B1566,D1566)/INDEX(Мес_Раб,D1566))</f>
        <v/>
      </c>
    </row>
    <row r="1567">
      <c r="A1567" t="inlineStr">
        <is>
          <t>Новиков</t>
        </is>
      </c>
      <c r="B1567" t="n">
        <v>9</v>
      </c>
      <c r="C1567" s="18">
        <f>'Календарь'!A80</f>
        <v/>
      </c>
      <c r="D1567">
        <f>MONTH(C1567)</f>
        <v/>
      </c>
      <c r="E1567">
        <f>'Календарь'!D80</f>
        <v/>
      </c>
      <c r="F1567">
        <f>INT((C1567-Нед_Начало)/7)+1</f>
        <v/>
      </c>
      <c r="G1567">
        <f>IF(E1567=0,0,INDEX('Планы менеджеров'!$B$5:$M$16,B1567,D1567)/INDEX(Мес_Раб,D1567))</f>
        <v/>
      </c>
    </row>
    <row r="1568">
      <c r="A1568" t="inlineStr">
        <is>
          <t>Новиков</t>
        </is>
      </c>
      <c r="B1568" t="n">
        <v>9</v>
      </c>
      <c r="C1568" s="18">
        <f>'Календарь'!A81</f>
        <v/>
      </c>
      <c r="D1568">
        <f>MONTH(C1568)</f>
        <v/>
      </c>
      <c r="E1568">
        <f>'Календарь'!D81</f>
        <v/>
      </c>
      <c r="F1568">
        <f>INT((C1568-Нед_Начало)/7)+1</f>
        <v/>
      </c>
      <c r="G1568">
        <f>IF(E1568=0,0,INDEX('Планы менеджеров'!$B$5:$M$16,B1568,D1568)/INDEX(Мес_Раб,D1568))</f>
        <v/>
      </c>
    </row>
    <row r="1569">
      <c r="A1569" t="inlineStr">
        <is>
          <t>Новиков</t>
        </is>
      </c>
      <c r="B1569" t="n">
        <v>9</v>
      </c>
      <c r="C1569" s="18">
        <f>'Календарь'!A82</f>
        <v/>
      </c>
      <c r="D1569">
        <f>MONTH(C1569)</f>
        <v/>
      </c>
      <c r="E1569">
        <f>'Календарь'!D82</f>
        <v/>
      </c>
      <c r="F1569">
        <f>INT((C1569-Нед_Начало)/7)+1</f>
        <v/>
      </c>
      <c r="G1569">
        <f>IF(E1569=0,0,INDEX('Планы менеджеров'!$B$5:$M$16,B1569,D1569)/INDEX(Мес_Раб,D1569))</f>
        <v/>
      </c>
    </row>
    <row r="1570">
      <c r="A1570" t="inlineStr">
        <is>
          <t>Новиков</t>
        </is>
      </c>
      <c r="B1570" t="n">
        <v>9</v>
      </c>
      <c r="C1570" s="18">
        <f>'Календарь'!A83</f>
        <v/>
      </c>
      <c r="D1570">
        <f>MONTH(C1570)</f>
        <v/>
      </c>
      <c r="E1570">
        <f>'Календарь'!D83</f>
        <v/>
      </c>
      <c r="F1570">
        <f>INT((C1570-Нед_Начало)/7)+1</f>
        <v/>
      </c>
      <c r="G1570">
        <f>IF(E1570=0,0,INDEX('Планы менеджеров'!$B$5:$M$16,B1570,D1570)/INDEX(Мес_Раб,D1570))</f>
        <v/>
      </c>
    </row>
    <row r="1571">
      <c r="A1571" t="inlineStr">
        <is>
          <t>Новиков</t>
        </is>
      </c>
      <c r="B1571" t="n">
        <v>9</v>
      </c>
      <c r="C1571" s="18">
        <f>'Календарь'!A84</f>
        <v/>
      </c>
      <c r="D1571">
        <f>MONTH(C1571)</f>
        <v/>
      </c>
      <c r="E1571">
        <f>'Календарь'!D84</f>
        <v/>
      </c>
      <c r="F1571">
        <f>INT((C1571-Нед_Начало)/7)+1</f>
        <v/>
      </c>
      <c r="G1571">
        <f>IF(E1571=0,0,INDEX('Планы менеджеров'!$B$5:$M$16,B1571,D1571)/INDEX(Мес_Раб,D1571))</f>
        <v/>
      </c>
    </row>
    <row r="1572">
      <c r="A1572" t="inlineStr">
        <is>
          <t>Новиков</t>
        </is>
      </c>
      <c r="B1572" t="n">
        <v>9</v>
      </c>
      <c r="C1572" s="18">
        <f>'Календарь'!A85</f>
        <v/>
      </c>
      <c r="D1572">
        <f>MONTH(C1572)</f>
        <v/>
      </c>
      <c r="E1572">
        <f>'Календарь'!D85</f>
        <v/>
      </c>
      <c r="F1572">
        <f>INT((C1572-Нед_Начало)/7)+1</f>
        <v/>
      </c>
      <c r="G1572">
        <f>IF(E1572=0,0,INDEX('Планы менеджеров'!$B$5:$M$16,B1572,D1572)/INDEX(Мес_Раб,D1572))</f>
        <v/>
      </c>
    </row>
    <row r="1573">
      <c r="A1573" t="inlineStr">
        <is>
          <t>Новиков</t>
        </is>
      </c>
      <c r="B1573" t="n">
        <v>9</v>
      </c>
      <c r="C1573" s="18">
        <f>'Календарь'!A86</f>
        <v/>
      </c>
      <c r="D1573">
        <f>MONTH(C1573)</f>
        <v/>
      </c>
      <c r="E1573">
        <f>'Календарь'!D86</f>
        <v/>
      </c>
      <c r="F1573">
        <f>INT((C1573-Нед_Начало)/7)+1</f>
        <v/>
      </c>
      <c r="G1573">
        <f>IF(E1573=0,0,INDEX('Планы менеджеров'!$B$5:$M$16,B1573,D1573)/INDEX(Мес_Раб,D1573))</f>
        <v/>
      </c>
    </row>
    <row r="1574">
      <c r="A1574" t="inlineStr">
        <is>
          <t>Новиков</t>
        </is>
      </c>
      <c r="B1574" t="n">
        <v>9</v>
      </c>
      <c r="C1574" s="18">
        <f>'Календарь'!A87</f>
        <v/>
      </c>
      <c r="D1574">
        <f>MONTH(C1574)</f>
        <v/>
      </c>
      <c r="E1574">
        <f>'Календарь'!D87</f>
        <v/>
      </c>
      <c r="F1574">
        <f>INT((C1574-Нед_Начало)/7)+1</f>
        <v/>
      </c>
      <c r="G1574">
        <f>IF(E1574=0,0,INDEX('Планы менеджеров'!$B$5:$M$16,B1574,D1574)/INDEX(Мес_Раб,D1574))</f>
        <v/>
      </c>
    </row>
    <row r="1575">
      <c r="A1575" t="inlineStr">
        <is>
          <t>Новиков</t>
        </is>
      </c>
      <c r="B1575" t="n">
        <v>9</v>
      </c>
      <c r="C1575" s="18">
        <f>'Календарь'!A88</f>
        <v/>
      </c>
      <c r="D1575">
        <f>MONTH(C1575)</f>
        <v/>
      </c>
      <c r="E1575">
        <f>'Календарь'!D88</f>
        <v/>
      </c>
      <c r="F1575">
        <f>INT((C1575-Нед_Начало)/7)+1</f>
        <v/>
      </c>
      <c r="G1575">
        <f>IF(E1575=0,0,INDEX('Планы менеджеров'!$B$5:$M$16,B1575,D1575)/INDEX(Мес_Раб,D1575))</f>
        <v/>
      </c>
    </row>
    <row r="1576">
      <c r="A1576" t="inlineStr">
        <is>
          <t>Новиков</t>
        </is>
      </c>
      <c r="B1576" t="n">
        <v>9</v>
      </c>
      <c r="C1576" s="18">
        <f>'Календарь'!A89</f>
        <v/>
      </c>
      <c r="D1576">
        <f>MONTH(C1576)</f>
        <v/>
      </c>
      <c r="E1576">
        <f>'Календарь'!D89</f>
        <v/>
      </c>
      <c r="F1576">
        <f>INT((C1576-Нед_Начало)/7)+1</f>
        <v/>
      </c>
      <c r="G1576">
        <f>IF(E1576=0,0,INDEX('Планы менеджеров'!$B$5:$M$16,B1576,D1576)/INDEX(Мес_Раб,D1576))</f>
        <v/>
      </c>
    </row>
    <row r="1577">
      <c r="A1577" t="inlineStr">
        <is>
          <t>Новиков</t>
        </is>
      </c>
      <c r="B1577" t="n">
        <v>9</v>
      </c>
      <c r="C1577" s="18">
        <f>'Календарь'!A90</f>
        <v/>
      </c>
      <c r="D1577">
        <f>MONTH(C1577)</f>
        <v/>
      </c>
      <c r="E1577">
        <f>'Календарь'!D90</f>
        <v/>
      </c>
      <c r="F1577">
        <f>INT((C1577-Нед_Начало)/7)+1</f>
        <v/>
      </c>
      <c r="G1577">
        <f>IF(E1577=0,0,INDEX('Планы менеджеров'!$B$5:$M$16,B1577,D1577)/INDEX(Мес_Раб,D1577))</f>
        <v/>
      </c>
    </row>
    <row r="1578">
      <c r="A1578" t="inlineStr">
        <is>
          <t>Новиков</t>
        </is>
      </c>
      <c r="B1578" t="n">
        <v>9</v>
      </c>
      <c r="C1578" s="18">
        <f>'Календарь'!A91</f>
        <v/>
      </c>
      <c r="D1578">
        <f>MONTH(C1578)</f>
        <v/>
      </c>
      <c r="E1578">
        <f>'Календарь'!D91</f>
        <v/>
      </c>
      <c r="F1578">
        <f>INT((C1578-Нед_Начало)/7)+1</f>
        <v/>
      </c>
      <c r="G1578">
        <f>IF(E1578=0,0,INDEX('Планы менеджеров'!$B$5:$M$16,B1578,D1578)/INDEX(Мес_Раб,D1578))</f>
        <v/>
      </c>
    </row>
    <row r="1579">
      <c r="A1579" t="inlineStr">
        <is>
          <t>Новиков</t>
        </is>
      </c>
      <c r="B1579" t="n">
        <v>9</v>
      </c>
      <c r="C1579" s="18">
        <f>'Календарь'!A92</f>
        <v/>
      </c>
      <c r="D1579">
        <f>MONTH(C1579)</f>
        <v/>
      </c>
      <c r="E1579">
        <f>'Календарь'!D92</f>
        <v/>
      </c>
      <c r="F1579">
        <f>INT((C1579-Нед_Начало)/7)+1</f>
        <v/>
      </c>
      <c r="G1579">
        <f>IF(E1579=0,0,INDEX('Планы менеджеров'!$B$5:$M$16,B1579,D1579)/INDEX(Мес_Раб,D1579))</f>
        <v/>
      </c>
    </row>
    <row r="1580">
      <c r="A1580" t="inlineStr">
        <is>
          <t>Новиков</t>
        </is>
      </c>
      <c r="B1580" t="n">
        <v>9</v>
      </c>
      <c r="C1580" s="18">
        <f>'Календарь'!A93</f>
        <v/>
      </c>
      <c r="D1580">
        <f>MONTH(C1580)</f>
        <v/>
      </c>
      <c r="E1580">
        <f>'Календарь'!D93</f>
        <v/>
      </c>
      <c r="F1580">
        <f>INT((C1580-Нед_Начало)/7)+1</f>
        <v/>
      </c>
      <c r="G1580">
        <f>IF(E1580=0,0,INDEX('Планы менеджеров'!$B$5:$M$16,B1580,D1580)/INDEX(Мес_Раб,D1580))</f>
        <v/>
      </c>
    </row>
    <row r="1581">
      <c r="A1581" t="inlineStr">
        <is>
          <t>Новиков</t>
        </is>
      </c>
      <c r="B1581" t="n">
        <v>9</v>
      </c>
      <c r="C1581" s="18">
        <f>'Календарь'!A94</f>
        <v/>
      </c>
      <c r="D1581">
        <f>MONTH(C1581)</f>
        <v/>
      </c>
      <c r="E1581">
        <f>'Календарь'!D94</f>
        <v/>
      </c>
      <c r="F1581">
        <f>INT((C1581-Нед_Начало)/7)+1</f>
        <v/>
      </c>
      <c r="G1581">
        <f>IF(E1581=0,0,INDEX('Планы менеджеров'!$B$5:$M$16,B1581,D1581)/INDEX(Мес_Раб,D1581))</f>
        <v/>
      </c>
    </row>
    <row r="1582">
      <c r="A1582" t="inlineStr">
        <is>
          <t>Новиков</t>
        </is>
      </c>
      <c r="B1582" t="n">
        <v>9</v>
      </c>
      <c r="C1582" s="18">
        <f>'Календарь'!A95</f>
        <v/>
      </c>
      <c r="D1582">
        <f>MONTH(C1582)</f>
        <v/>
      </c>
      <c r="E1582">
        <f>'Календарь'!D95</f>
        <v/>
      </c>
      <c r="F1582">
        <f>INT((C1582-Нед_Начало)/7)+1</f>
        <v/>
      </c>
      <c r="G1582">
        <f>IF(E1582=0,0,INDEX('Планы менеджеров'!$B$5:$M$16,B1582,D1582)/INDEX(Мес_Раб,D1582))</f>
        <v/>
      </c>
    </row>
    <row r="1583">
      <c r="A1583" t="inlineStr">
        <is>
          <t>Новиков</t>
        </is>
      </c>
      <c r="B1583" t="n">
        <v>9</v>
      </c>
      <c r="C1583" s="18">
        <f>'Календарь'!A96</f>
        <v/>
      </c>
      <c r="D1583">
        <f>MONTH(C1583)</f>
        <v/>
      </c>
      <c r="E1583">
        <f>'Календарь'!D96</f>
        <v/>
      </c>
      <c r="F1583">
        <f>INT((C1583-Нед_Начало)/7)+1</f>
        <v/>
      </c>
      <c r="G1583">
        <f>IF(E1583=0,0,INDEX('Планы менеджеров'!$B$5:$M$16,B1583,D1583)/INDEX(Мес_Раб,D1583))</f>
        <v/>
      </c>
    </row>
    <row r="1584">
      <c r="A1584" t="inlineStr">
        <is>
          <t>Новиков</t>
        </is>
      </c>
      <c r="B1584" t="n">
        <v>9</v>
      </c>
      <c r="C1584" s="18">
        <f>'Календарь'!A97</f>
        <v/>
      </c>
      <c r="D1584">
        <f>MONTH(C1584)</f>
        <v/>
      </c>
      <c r="E1584">
        <f>'Календарь'!D97</f>
        <v/>
      </c>
      <c r="F1584">
        <f>INT((C1584-Нед_Начало)/7)+1</f>
        <v/>
      </c>
      <c r="G1584">
        <f>IF(E1584=0,0,INDEX('Планы менеджеров'!$B$5:$M$16,B1584,D1584)/INDEX(Мес_Раб,D1584))</f>
        <v/>
      </c>
    </row>
    <row r="1585">
      <c r="A1585" t="inlineStr">
        <is>
          <t>Новиков</t>
        </is>
      </c>
      <c r="B1585" t="n">
        <v>9</v>
      </c>
      <c r="C1585" s="18">
        <f>'Календарь'!A98</f>
        <v/>
      </c>
      <c r="D1585">
        <f>MONTH(C1585)</f>
        <v/>
      </c>
      <c r="E1585">
        <f>'Календарь'!D98</f>
        <v/>
      </c>
      <c r="F1585">
        <f>INT((C1585-Нед_Начало)/7)+1</f>
        <v/>
      </c>
      <c r="G1585">
        <f>IF(E1585=0,0,INDEX('Планы менеджеров'!$B$5:$M$16,B1585,D1585)/INDEX(Мес_Раб,D1585))</f>
        <v/>
      </c>
    </row>
    <row r="1586">
      <c r="A1586" t="inlineStr">
        <is>
          <t>Новиков</t>
        </is>
      </c>
      <c r="B1586" t="n">
        <v>9</v>
      </c>
      <c r="C1586" s="18">
        <f>'Календарь'!A99</f>
        <v/>
      </c>
      <c r="D1586">
        <f>MONTH(C1586)</f>
        <v/>
      </c>
      <c r="E1586">
        <f>'Календарь'!D99</f>
        <v/>
      </c>
      <c r="F1586">
        <f>INT((C1586-Нед_Начало)/7)+1</f>
        <v/>
      </c>
      <c r="G1586">
        <f>IF(E1586=0,0,INDEX('Планы менеджеров'!$B$5:$M$16,B1586,D1586)/INDEX(Мес_Раб,D1586))</f>
        <v/>
      </c>
    </row>
    <row r="1587">
      <c r="A1587" t="inlineStr">
        <is>
          <t>Новиков</t>
        </is>
      </c>
      <c r="B1587" t="n">
        <v>9</v>
      </c>
      <c r="C1587" s="18">
        <f>'Календарь'!A100</f>
        <v/>
      </c>
      <c r="D1587">
        <f>MONTH(C1587)</f>
        <v/>
      </c>
      <c r="E1587">
        <f>'Календарь'!D100</f>
        <v/>
      </c>
      <c r="F1587">
        <f>INT((C1587-Нед_Начало)/7)+1</f>
        <v/>
      </c>
      <c r="G1587">
        <f>IF(E1587=0,0,INDEX('Планы менеджеров'!$B$5:$M$16,B1587,D1587)/INDEX(Мес_Раб,D1587))</f>
        <v/>
      </c>
    </row>
    <row r="1588">
      <c r="A1588" t="inlineStr">
        <is>
          <t>Новиков</t>
        </is>
      </c>
      <c r="B1588" t="n">
        <v>9</v>
      </c>
      <c r="C1588" s="18">
        <f>'Календарь'!A101</f>
        <v/>
      </c>
      <c r="D1588">
        <f>MONTH(C1588)</f>
        <v/>
      </c>
      <c r="E1588">
        <f>'Календарь'!D101</f>
        <v/>
      </c>
      <c r="F1588">
        <f>INT((C1588-Нед_Начало)/7)+1</f>
        <v/>
      </c>
      <c r="G1588">
        <f>IF(E1588=0,0,INDEX('Планы менеджеров'!$B$5:$M$16,B1588,D1588)/INDEX(Мес_Раб,D1588))</f>
        <v/>
      </c>
    </row>
    <row r="1589">
      <c r="A1589" t="inlineStr">
        <is>
          <t>Новиков</t>
        </is>
      </c>
      <c r="B1589" t="n">
        <v>9</v>
      </c>
      <c r="C1589" s="18">
        <f>'Календарь'!A102</f>
        <v/>
      </c>
      <c r="D1589">
        <f>MONTH(C1589)</f>
        <v/>
      </c>
      <c r="E1589">
        <f>'Календарь'!D102</f>
        <v/>
      </c>
      <c r="F1589">
        <f>INT((C1589-Нед_Начало)/7)+1</f>
        <v/>
      </c>
      <c r="G1589">
        <f>IF(E1589=0,0,INDEX('Планы менеджеров'!$B$5:$M$16,B1589,D1589)/INDEX(Мес_Раб,D1589))</f>
        <v/>
      </c>
    </row>
    <row r="1590">
      <c r="A1590" t="inlineStr">
        <is>
          <t>Новиков</t>
        </is>
      </c>
      <c r="B1590" t="n">
        <v>9</v>
      </c>
      <c r="C1590" s="18">
        <f>'Календарь'!A103</f>
        <v/>
      </c>
      <c r="D1590">
        <f>MONTH(C1590)</f>
        <v/>
      </c>
      <c r="E1590">
        <f>'Календарь'!D103</f>
        <v/>
      </c>
      <c r="F1590">
        <f>INT((C1590-Нед_Начало)/7)+1</f>
        <v/>
      </c>
      <c r="G1590">
        <f>IF(E1590=0,0,INDEX('Планы менеджеров'!$B$5:$M$16,B1590,D1590)/INDEX(Мес_Раб,D1590))</f>
        <v/>
      </c>
    </row>
    <row r="1591">
      <c r="A1591" t="inlineStr">
        <is>
          <t>Новиков</t>
        </is>
      </c>
      <c r="B1591" t="n">
        <v>9</v>
      </c>
      <c r="C1591" s="18">
        <f>'Календарь'!A104</f>
        <v/>
      </c>
      <c r="D1591">
        <f>MONTH(C1591)</f>
        <v/>
      </c>
      <c r="E1591">
        <f>'Календарь'!D104</f>
        <v/>
      </c>
      <c r="F1591">
        <f>INT((C1591-Нед_Начало)/7)+1</f>
        <v/>
      </c>
      <c r="G1591">
        <f>IF(E1591=0,0,INDEX('Планы менеджеров'!$B$5:$M$16,B1591,D1591)/INDEX(Мес_Раб,D1591))</f>
        <v/>
      </c>
    </row>
    <row r="1592">
      <c r="A1592" t="inlineStr">
        <is>
          <t>Новиков</t>
        </is>
      </c>
      <c r="B1592" t="n">
        <v>9</v>
      </c>
      <c r="C1592" s="18">
        <f>'Календарь'!A105</f>
        <v/>
      </c>
      <c r="D1592">
        <f>MONTH(C1592)</f>
        <v/>
      </c>
      <c r="E1592">
        <f>'Календарь'!D105</f>
        <v/>
      </c>
      <c r="F1592">
        <f>INT((C1592-Нед_Начало)/7)+1</f>
        <v/>
      </c>
      <c r="G1592">
        <f>IF(E1592=0,0,INDEX('Планы менеджеров'!$B$5:$M$16,B1592,D1592)/INDEX(Мес_Раб,D1592))</f>
        <v/>
      </c>
    </row>
    <row r="1593">
      <c r="A1593" t="inlineStr">
        <is>
          <t>Новиков</t>
        </is>
      </c>
      <c r="B1593" t="n">
        <v>9</v>
      </c>
      <c r="C1593" s="18">
        <f>'Календарь'!A106</f>
        <v/>
      </c>
      <c r="D1593">
        <f>MONTH(C1593)</f>
        <v/>
      </c>
      <c r="E1593">
        <f>'Календарь'!D106</f>
        <v/>
      </c>
      <c r="F1593">
        <f>INT((C1593-Нед_Начало)/7)+1</f>
        <v/>
      </c>
      <c r="G1593">
        <f>IF(E1593=0,0,INDEX('Планы менеджеров'!$B$5:$M$16,B1593,D1593)/INDEX(Мес_Раб,D1593))</f>
        <v/>
      </c>
    </row>
    <row r="1594">
      <c r="A1594" t="inlineStr">
        <is>
          <t>Новиков</t>
        </is>
      </c>
      <c r="B1594" t="n">
        <v>9</v>
      </c>
      <c r="C1594" s="18">
        <f>'Календарь'!A107</f>
        <v/>
      </c>
      <c r="D1594">
        <f>MONTH(C1594)</f>
        <v/>
      </c>
      <c r="E1594">
        <f>'Календарь'!D107</f>
        <v/>
      </c>
      <c r="F1594">
        <f>INT((C1594-Нед_Начало)/7)+1</f>
        <v/>
      </c>
      <c r="G1594">
        <f>IF(E1594=0,0,INDEX('Планы менеджеров'!$B$5:$M$16,B1594,D1594)/INDEX(Мес_Раб,D1594))</f>
        <v/>
      </c>
    </row>
    <row r="1595">
      <c r="A1595" t="inlineStr">
        <is>
          <t>Новиков</t>
        </is>
      </c>
      <c r="B1595" t="n">
        <v>9</v>
      </c>
      <c r="C1595" s="18">
        <f>'Календарь'!A108</f>
        <v/>
      </c>
      <c r="D1595">
        <f>MONTH(C1595)</f>
        <v/>
      </c>
      <c r="E1595">
        <f>'Календарь'!D108</f>
        <v/>
      </c>
      <c r="F1595">
        <f>INT((C1595-Нед_Начало)/7)+1</f>
        <v/>
      </c>
      <c r="G1595">
        <f>IF(E1595=0,0,INDEX('Планы менеджеров'!$B$5:$M$16,B1595,D1595)/INDEX(Мес_Раб,D1595))</f>
        <v/>
      </c>
    </row>
    <row r="1596">
      <c r="A1596" t="inlineStr">
        <is>
          <t>Новиков</t>
        </is>
      </c>
      <c r="B1596" t="n">
        <v>9</v>
      </c>
      <c r="C1596" s="18">
        <f>'Календарь'!A109</f>
        <v/>
      </c>
      <c r="D1596">
        <f>MONTH(C1596)</f>
        <v/>
      </c>
      <c r="E1596">
        <f>'Календарь'!D109</f>
        <v/>
      </c>
      <c r="F1596">
        <f>INT((C1596-Нед_Начало)/7)+1</f>
        <v/>
      </c>
      <c r="G1596">
        <f>IF(E1596=0,0,INDEX('Планы менеджеров'!$B$5:$M$16,B1596,D1596)/INDEX(Мес_Раб,D1596))</f>
        <v/>
      </c>
    </row>
    <row r="1597">
      <c r="A1597" t="inlineStr">
        <is>
          <t>Новиков</t>
        </is>
      </c>
      <c r="B1597" t="n">
        <v>9</v>
      </c>
      <c r="C1597" s="18">
        <f>'Календарь'!A110</f>
        <v/>
      </c>
      <c r="D1597">
        <f>MONTH(C1597)</f>
        <v/>
      </c>
      <c r="E1597">
        <f>'Календарь'!D110</f>
        <v/>
      </c>
      <c r="F1597">
        <f>INT((C1597-Нед_Начало)/7)+1</f>
        <v/>
      </c>
      <c r="G1597">
        <f>IF(E1597=0,0,INDEX('Планы менеджеров'!$B$5:$M$16,B1597,D1597)/INDEX(Мес_Раб,D1597))</f>
        <v/>
      </c>
    </row>
    <row r="1598">
      <c r="A1598" t="inlineStr">
        <is>
          <t>Новиков</t>
        </is>
      </c>
      <c r="B1598" t="n">
        <v>9</v>
      </c>
      <c r="C1598" s="18">
        <f>'Календарь'!A111</f>
        <v/>
      </c>
      <c r="D1598">
        <f>MONTH(C1598)</f>
        <v/>
      </c>
      <c r="E1598">
        <f>'Календарь'!D111</f>
        <v/>
      </c>
      <c r="F1598">
        <f>INT((C1598-Нед_Начало)/7)+1</f>
        <v/>
      </c>
      <c r="G1598">
        <f>IF(E1598=0,0,INDEX('Планы менеджеров'!$B$5:$M$16,B1598,D1598)/INDEX(Мес_Раб,D1598))</f>
        <v/>
      </c>
    </row>
    <row r="1599">
      <c r="A1599" t="inlineStr">
        <is>
          <t>Новиков</t>
        </is>
      </c>
      <c r="B1599" t="n">
        <v>9</v>
      </c>
      <c r="C1599" s="18">
        <f>'Календарь'!A112</f>
        <v/>
      </c>
      <c r="D1599">
        <f>MONTH(C1599)</f>
        <v/>
      </c>
      <c r="E1599">
        <f>'Календарь'!D112</f>
        <v/>
      </c>
      <c r="F1599">
        <f>INT((C1599-Нед_Начало)/7)+1</f>
        <v/>
      </c>
      <c r="G1599">
        <f>IF(E1599=0,0,INDEX('Планы менеджеров'!$B$5:$M$16,B1599,D1599)/INDEX(Мес_Раб,D1599))</f>
        <v/>
      </c>
    </row>
    <row r="1600">
      <c r="A1600" t="inlineStr">
        <is>
          <t>Новиков</t>
        </is>
      </c>
      <c r="B1600" t="n">
        <v>9</v>
      </c>
      <c r="C1600" s="18">
        <f>'Календарь'!A113</f>
        <v/>
      </c>
      <c r="D1600">
        <f>MONTH(C1600)</f>
        <v/>
      </c>
      <c r="E1600">
        <f>'Календарь'!D113</f>
        <v/>
      </c>
      <c r="F1600">
        <f>INT((C1600-Нед_Начало)/7)+1</f>
        <v/>
      </c>
      <c r="G1600">
        <f>IF(E1600=0,0,INDEX('Планы менеджеров'!$B$5:$M$16,B1600,D1600)/INDEX(Мес_Раб,D1600))</f>
        <v/>
      </c>
    </row>
    <row r="1601">
      <c r="A1601" t="inlineStr">
        <is>
          <t>Новиков</t>
        </is>
      </c>
      <c r="B1601" t="n">
        <v>9</v>
      </c>
      <c r="C1601" s="18">
        <f>'Календарь'!A114</f>
        <v/>
      </c>
      <c r="D1601">
        <f>MONTH(C1601)</f>
        <v/>
      </c>
      <c r="E1601">
        <f>'Календарь'!D114</f>
        <v/>
      </c>
      <c r="F1601">
        <f>INT((C1601-Нед_Начало)/7)+1</f>
        <v/>
      </c>
      <c r="G1601">
        <f>IF(E1601=0,0,INDEX('Планы менеджеров'!$B$5:$M$16,B1601,D1601)/INDEX(Мес_Раб,D1601))</f>
        <v/>
      </c>
    </row>
    <row r="1602">
      <c r="A1602" t="inlineStr">
        <is>
          <t>Новиков</t>
        </is>
      </c>
      <c r="B1602" t="n">
        <v>9</v>
      </c>
      <c r="C1602" s="18">
        <f>'Календарь'!A115</f>
        <v/>
      </c>
      <c r="D1602">
        <f>MONTH(C1602)</f>
        <v/>
      </c>
      <c r="E1602">
        <f>'Календарь'!D115</f>
        <v/>
      </c>
      <c r="F1602">
        <f>INT((C1602-Нед_Начало)/7)+1</f>
        <v/>
      </c>
      <c r="G1602">
        <f>IF(E1602=0,0,INDEX('Планы менеджеров'!$B$5:$M$16,B1602,D1602)/INDEX(Мес_Раб,D1602))</f>
        <v/>
      </c>
    </row>
    <row r="1603">
      <c r="A1603" t="inlineStr">
        <is>
          <t>Новиков</t>
        </is>
      </c>
      <c r="B1603" t="n">
        <v>9</v>
      </c>
      <c r="C1603" s="18">
        <f>'Календарь'!A116</f>
        <v/>
      </c>
      <c r="D1603">
        <f>MONTH(C1603)</f>
        <v/>
      </c>
      <c r="E1603">
        <f>'Календарь'!D116</f>
        <v/>
      </c>
      <c r="F1603">
        <f>INT((C1603-Нед_Начало)/7)+1</f>
        <v/>
      </c>
      <c r="G1603">
        <f>IF(E1603=0,0,INDEX('Планы менеджеров'!$B$5:$M$16,B1603,D1603)/INDEX(Мес_Раб,D1603))</f>
        <v/>
      </c>
    </row>
    <row r="1604">
      <c r="A1604" t="inlineStr">
        <is>
          <t>Новиков</t>
        </is>
      </c>
      <c r="B1604" t="n">
        <v>9</v>
      </c>
      <c r="C1604" s="18">
        <f>'Календарь'!A117</f>
        <v/>
      </c>
      <c r="D1604">
        <f>MONTH(C1604)</f>
        <v/>
      </c>
      <c r="E1604">
        <f>'Календарь'!D117</f>
        <v/>
      </c>
      <c r="F1604">
        <f>INT((C1604-Нед_Начало)/7)+1</f>
        <v/>
      </c>
      <c r="G1604">
        <f>IF(E1604=0,0,INDEX('Планы менеджеров'!$B$5:$M$16,B1604,D1604)/INDEX(Мес_Раб,D1604))</f>
        <v/>
      </c>
    </row>
    <row r="1605">
      <c r="A1605" t="inlineStr">
        <is>
          <t>Новиков</t>
        </is>
      </c>
      <c r="B1605" t="n">
        <v>9</v>
      </c>
      <c r="C1605" s="18">
        <f>'Календарь'!A118</f>
        <v/>
      </c>
      <c r="D1605">
        <f>MONTH(C1605)</f>
        <v/>
      </c>
      <c r="E1605">
        <f>'Календарь'!D118</f>
        <v/>
      </c>
      <c r="F1605">
        <f>INT((C1605-Нед_Начало)/7)+1</f>
        <v/>
      </c>
      <c r="G1605">
        <f>IF(E1605=0,0,INDEX('Планы менеджеров'!$B$5:$M$16,B1605,D1605)/INDEX(Мес_Раб,D1605))</f>
        <v/>
      </c>
    </row>
    <row r="1606">
      <c r="A1606" t="inlineStr">
        <is>
          <t>Новиков</t>
        </is>
      </c>
      <c r="B1606" t="n">
        <v>9</v>
      </c>
      <c r="C1606" s="18">
        <f>'Календарь'!A119</f>
        <v/>
      </c>
      <c r="D1606">
        <f>MONTH(C1606)</f>
        <v/>
      </c>
      <c r="E1606">
        <f>'Календарь'!D119</f>
        <v/>
      </c>
      <c r="F1606">
        <f>INT((C1606-Нед_Начало)/7)+1</f>
        <v/>
      </c>
      <c r="G1606">
        <f>IF(E1606=0,0,INDEX('Планы менеджеров'!$B$5:$M$16,B1606,D1606)/INDEX(Мес_Раб,D1606))</f>
        <v/>
      </c>
    </row>
    <row r="1607">
      <c r="A1607" t="inlineStr">
        <is>
          <t>Новиков</t>
        </is>
      </c>
      <c r="B1607" t="n">
        <v>9</v>
      </c>
      <c r="C1607" s="18">
        <f>'Календарь'!A120</f>
        <v/>
      </c>
      <c r="D1607">
        <f>MONTH(C1607)</f>
        <v/>
      </c>
      <c r="E1607">
        <f>'Календарь'!D120</f>
        <v/>
      </c>
      <c r="F1607">
        <f>INT((C1607-Нед_Начало)/7)+1</f>
        <v/>
      </c>
      <c r="G1607">
        <f>IF(E1607=0,0,INDEX('Планы менеджеров'!$B$5:$M$16,B1607,D1607)/INDEX(Мес_Раб,D1607))</f>
        <v/>
      </c>
    </row>
    <row r="1608">
      <c r="A1608" t="inlineStr">
        <is>
          <t>Новиков</t>
        </is>
      </c>
      <c r="B1608" t="n">
        <v>9</v>
      </c>
      <c r="C1608" s="18">
        <f>'Календарь'!A121</f>
        <v/>
      </c>
      <c r="D1608">
        <f>MONTH(C1608)</f>
        <v/>
      </c>
      <c r="E1608">
        <f>'Календарь'!D121</f>
        <v/>
      </c>
      <c r="F1608">
        <f>INT((C1608-Нед_Начало)/7)+1</f>
        <v/>
      </c>
      <c r="G1608">
        <f>IF(E1608=0,0,INDEX('Планы менеджеров'!$B$5:$M$16,B1608,D1608)/INDEX(Мес_Раб,D1608))</f>
        <v/>
      </c>
    </row>
    <row r="1609">
      <c r="A1609" t="inlineStr">
        <is>
          <t>Новиков</t>
        </is>
      </c>
      <c r="B1609" t="n">
        <v>9</v>
      </c>
      <c r="C1609" s="18">
        <f>'Календарь'!A122</f>
        <v/>
      </c>
      <c r="D1609">
        <f>MONTH(C1609)</f>
        <v/>
      </c>
      <c r="E1609">
        <f>'Календарь'!D122</f>
        <v/>
      </c>
      <c r="F1609">
        <f>INT((C1609-Нед_Начало)/7)+1</f>
        <v/>
      </c>
      <c r="G1609">
        <f>IF(E1609=0,0,INDEX('Планы менеджеров'!$B$5:$M$16,B1609,D1609)/INDEX(Мес_Раб,D1609))</f>
        <v/>
      </c>
    </row>
    <row r="1610">
      <c r="A1610" t="inlineStr">
        <is>
          <t>Новиков</t>
        </is>
      </c>
      <c r="B1610" t="n">
        <v>9</v>
      </c>
      <c r="C1610" s="18">
        <f>'Календарь'!A123</f>
        <v/>
      </c>
      <c r="D1610">
        <f>MONTH(C1610)</f>
        <v/>
      </c>
      <c r="E1610">
        <f>'Календарь'!D123</f>
        <v/>
      </c>
      <c r="F1610">
        <f>INT((C1610-Нед_Начало)/7)+1</f>
        <v/>
      </c>
      <c r="G1610">
        <f>IF(E1610=0,0,INDEX('Планы менеджеров'!$B$5:$M$16,B1610,D1610)/INDEX(Мес_Раб,D1610))</f>
        <v/>
      </c>
    </row>
    <row r="1611">
      <c r="A1611" t="inlineStr">
        <is>
          <t>Новиков</t>
        </is>
      </c>
      <c r="B1611" t="n">
        <v>9</v>
      </c>
      <c r="C1611" s="18">
        <f>'Календарь'!A124</f>
        <v/>
      </c>
      <c r="D1611">
        <f>MONTH(C1611)</f>
        <v/>
      </c>
      <c r="E1611">
        <f>'Календарь'!D124</f>
        <v/>
      </c>
      <c r="F1611">
        <f>INT((C1611-Нед_Начало)/7)+1</f>
        <v/>
      </c>
      <c r="G1611">
        <f>IF(E1611=0,0,INDEX('Планы менеджеров'!$B$5:$M$16,B1611,D1611)/INDEX(Мес_Раб,D1611))</f>
        <v/>
      </c>
    </row>
    <row r="1612">
      <c r="A1612" t="inlineStr">
        <is>
          <t>Новиков</t>
        </is>
      </c>
      <c r="B1612" t="n">
        <v>9</v>
      </c>
      <c r="C1612" s="18">
        <f>'Календарь'!A125</f>
        <v/>
      </c>
      <c r="D1612">
        <f>MONTH(C1612)</f>
        <v/>
      </c>
      <c r="E1612">
        <f>'Календарь'!D125</f>
        <v/>
      </c>
      <c r="F1612">
        <f>INT((C1612-Нед_Начало)/7)+1</f>
        <v/>
      </c>
      <c r="G1612">
        <f>IF(E1612=0,0,INDEX('Планы менеджеров'!$B$5:$M$16,B1612,D1612)/INDEX(Мес_Раб,D1612))</f>
        <v/>
      </c>
    </row>
    <row r="1613">
      <c r="A1613" t="inlineStr">
        <is>
          <t>Новиков</t>
        </is>
      </c>
      <c r="B1613" t="n">
        <v>9</v>
      </c>
      <c r="C1613" s="18">
        <f>'Календарь'!A126</f>
        <v/>
      </c>
      <c r="D1613">
        <f>MONTH(C1613)</f>
        <v/>
      </c>
      <c r="E1613">
        <f>'Календарь'!D126</f>
        <v/>
      </c>
      <c r="F1613">
        <f>INT((C1613-Нед_Начало)/7)+1</f>
        <v/>
      </c>
      <c r="G1613">
        <f>IF(E1613=0,0,INDEX('Планы менеджеров'!$B$5:$M$16,B1613,D1613)/INDEX(Мес_Раб,D1613))</f>
        <v/>
      </c>
    </row>
    <row r="1614">
      <c r="A1614" t="inlineStr">
        <is>
          <t>Новиков</t>
        </is>
      </c>
      <c r="B1614" t="n">
        <v>9</v>
      </c>
      <c r="C1614" s="18">
        <f>'Календарь'!A127</f>
        <v/>
      </c>
      <c r="D1614">
        <f>MONTH(C1614)</f>
        <v/>
      </c>
      <c r="E1614">
        <f>'Календарь'!D127</f>
        <v/>
      </c>
      <c r="F1614">
        <f>INT((C1614-Нед_Начало)/7)+1</f>
        <v/>
      </c>
      <c r="G1614">
        <f>IF(E1614=0,0,INDEX('Планы менеджеров'!$B$5:$M$16,B1614,D1614)/INDEX(Мес_Раб,D1614))</f>
        <v/>
      </c>
    </row>
    <row r="1615">
      <c r="A1615" t="inlineStr">
        <is>
          <t>Новиков</t>
        </is>
      </c>
      <c r="B1615" t="n">
        <v>9</v>
      </c>
      <c r="C1615" s="18">
        <f>'Календарь'!A128</f>
        <v/>
      </c>
      <c r="D1615">
        <f>MONTH(C1615)</f>
        <v/>
      </c>
      <c r="E1615">
        <f>'Календарь'!D128</f>
        <v/>
      </c>
      <c r="F1615">
        <f>INT((C1615-Нед_Начало)/7)+1</f>
        <v/>
      </c>
      <c r="G1615">
        <f>IF(E1615=0,0,INDEX('Планы менеджеров'!$B$5:$M$16,B1615,D1615)/INDEX(Мес_Раб,D1615))</f>
        <v/>
      </c>
    </row>
    <row r="1616">
      <c r="A1616" t="inlineStr">
        <is>
          <t>Новиков</t>
        </is>
      </c>
      <c r="B1616" t="n">
        <v>9</v>
      </c>
      <c r="C1616" s="18">
        <f>'Календарь'!A129</f>
        <v/>
      </c>
      <c r="D1616">
        <f>MONTH(C1616)</f>
        <v/>
      </c>
      <c r="E1616">
        <f>'Календарь'!D129</f>
        <v/>
      </c>
      <c r="F1616">
        <f>INT((C1616-Нед_Начало)/7)+1</f>
        <v/>
      </c>
      <c r="G1616">
        <f>IF(E1616=0,0,INDEX('Планы менеджеров'!$B$5:$M$16,B1616,D1616)/INDEX(Мес_Раб,D1616))</f>
        <v/>
      </c>
    </row>
    <row r="1617">
      <c r="A1617" t="inlineStr">
        <is>
          <t>Новиков</t>
        </is>
      </c>
      <c r="B1617" t="n">
        <v>9</v>
      </c>
      <c r="C1617" s="18">
        <f>'Календарь'!A130</f>
        <v/>
      </c>
      <c r="D1617">
        <f>MONTH(C1617)</f>
        <v/>
      </c>
      <c r="E1617">
        <f>'Календарь'!D130</f>
        <v/>
      </c>
      <c r="F1617">
        <f>INT((C1617-Нед_Начало)/7)+1</f>
        <v/>
      </c>
      <c r="G1617">
        <f>IF(E1617=0,0,INDEX('Планы менеджеров'!$B$5:$M$16,B1617,D1617)/INDEX(Мес_Раб,D1617))</f>
        <v/>
      </c>
    </row>
    <row r="1618">
      <c r="A1618" t="inlineStr">
        <is>
          <t>Новиков</t>
        </is>
      </c>
      <c r="B1618" t="n">
        <v>9</v>
      </c>
      <c r="C1618" s="18">
        <f>'Календарь'!A131</f>
        <v/>
      </c>
      <c r="D1618">
        <f>MONTH(C1618)</f>
        <v/>
      </c>
      <c r="E1618">
        <f>'Календарь'!D131</f>
        <v/>
      </c>
      <c r="F1618">
        <f>INT((C1618-Нед_Начало)/7)+1</f>
        <v/>
      </c>
      <c r="G1618">
        <f>IF(E1618=0,0,INDEX('Планы менеджеров'!$B$5:$M$16,B1618,D1618)/INDEX(Мес_Раб,D1618))</f>
        <v/>
      </c>
    </row>
    <row r="1619">
      <c r="A1619" t="inlineStr">
        <is>
          <t>Новиков</t>
        </is>
      </c>
      <c r="B1619" t="n">
        <v>9</v>
      </c>
      <c r="C1619" s="18">
        <f>'Календарь'!A132</f>
        <v/>
      </c>
      <c r="D1619">
        <f>MONTH(C1619)</f>
        <v/>
      </c>
      <c r="E1619">
        <f>'Календарь'!D132</f>
        <v/>
      </c>
      <c r="F1619">
        <f>INT((C1619-Нед_Начало)/7)+1</f>
        <v/>
      </c>
      <c r="G1619">
        <f>IF(E1619=0,0,INDEX('Планы менеджеров'!$B$5:$M$16,B1619,D1619)/INDEX(Мес_Раб,D1619))</f>
        <v/>
      </c>
    </row>
    <row r="1620">
      <c r="A1620" t="inlineStr">
        <is>
          <t>Новиков</t>
        </is>
      </c>
      <c r="B1620" t="n">
        <v>9</v>
      </c>
      <c r="C1620" s="18">
        <f>'Календарь'!A133</f>
        <v/>
      </c>
      <c r="D1620">
        <f>MONTH(C1620)</f>
        <v/>
      </c>
      <c r="E1620">
        <f>'Календарь'!D133</f>
        <v/>
      </c>
      <c r="F1620">
        <f>INT((C1620-Нед_Начало)/7)+1</f>
        <v/>
      </c>
      <c r="G1620">
        <f>IF(E1620=0,0,INDEX('Планы менеджеров'!$B$5:$M$16,B1620,D1620)/INDEX(Мес_Раб,D1620))</f>
        <v/>
      </c>
    </row>
    <row r="1621">
      <c r="A1621" t="inlineStr">
        <is>
          <t>Новиков</t>
        </is>
      </c>
      <c r="B1621" t="n">
        <v>9</v>
      </c>
      <c r="C1621" s="18">
        <f>'Календарь'!A134</f>
        <v/>
      </c>
      <c r="D1621">
        <f>MONTH(C1621)</f>
        <v/>
      </c>
      <c r="E1621">
        <f>'Календарь'!D134</f>
        <v/>
      </c>
      <c r="F1621">
        <f>INT((C1621-Нед_Начало)/7)+1</f>
        <v/>
      </c>
      <c r="G1621">
        <f>IF(E1621=0,0,INDEX('Планы менеджеров'!$B$5:$M$16,B1621,D1621)/INDEX(Мес_Раб,D1621))</f>
        <v/>
      </c>
    </row>
    <row r="1622">
      <c r="A1622" t="inlineStr">
        <is>
          <t>Новиков</t>
        </is>
      </c>
      <c r="B1622" t="n">
        <v>9</v>
      </c>
      <c r="C1622" s="18">
        <f>'Календарь'!A135</f>
        <v/>
      </c>
      <c r="D1622">
        <f>MONTH(C1622)</f>
        <v/>
      </c>
      <c r="E1622">
        <f>'Календарь'!D135</f>
        <v/>
      </c>
      <c r="F1622">
        <f>INT((C1622-Нед_Начало)/7)+1</f>
        <v/>
      </c>
      <c r="G1622">
        <f>IF(E1622=0,0,INDEX('Планы менеджеров'!$B$5:$M$16,B1622,D1622)/INDEX(Мес_Раб,D1622))</f>
        <v/>
      </c>
    </row>
    <row r="1623">
      <c r="A1623" t="inlineStr">
        <is>
          <t>Новиков</t>
        </is>
      </c>
      <c r="B1623" t="n">
        <v>9</v>
      </c>
      <c r="C1623" s="18">
        <f>'Календарь'!A136</f>
        <v/>
      </c>
      <c r="D1623">
        <f>MONTH(C1623)</f>
        <v/>
      </c>
      <c r="E1623">
        <f>'Календарь'!D136</f>
        <v/>
      </c>
      <c r="F1623">
        <f>INT((C1623-Нед_Начало)/7)+1</f>
        <v/>
      </c>
      <c r="G1623">
        <f>IF(E1623=0,0,INDEX('Планы менеджеров'!$B$5:$M$16,B1623,D1623)/INDEX(Мес_Раб,D1623))</f>
        <v/>
      </c>
    </row>
    <row r="1624">
      <c r="A1624" t="inlineStr">
        <is>
          <t>Новиков</t>
        </is>
      </c>
      <c r="B1624" t="n">
        <v>9</v>
      </c>
      <c r="C1624" s="18">
        <f>'Календарь'!A137</f>
        <v/>
      </c>
      <c r="D1624">
        <f>MONTH(C1624)</f>
        <v/>
      </c>
      <c r="E1624">
        <f>'Календарь'!D137</f>
        <v/>
      </c>
      <c r="F1624">
        <f>INT((C1624-Нед_Начало)/7)+1</f>
        <v/>
      </c>
      <c r="G1624">
        <f>IF(E1624=0,0,INDEX('Планы менеджеров'!$B$5:$M$16,B1624,D1624)/INDEX(Мес_Раб,D1624))</f>
        <v/>
      </c>
    </row>
    <row r="1625">
      <c r="A1625" t="inlineStr">
        <is>
          <t>Новиков</t>
        </is>
      </c>
      <c r="B1625" t="n">
        <v>9</v>
      </c>
      <c r="C1625" s="18">
        <f>'Календарь'!A138</f>
        <v/>
      </c>
      <c r="D1625">
        <f>MONTH(C1625)</f>
        <v/>
      </c>
      <c r="E1625">
        <f>'Календарь'!D138</f>
        <v/>
      </c>
      <c r="F1625">
        <f>INT((C1625-Нед_Начало)/7)+1</f>
        <v/>
      </c>
      <c r="G1625">
        <f>IF(E1625=0,0,INDEX('Планы менеджеров'!$B$5:$M$16,B1625,D1625)/INDEX(Мес_Раб,D1625))</f>
        <v/>
      </c>
    </row>
    <row r="1626">
      <c r="A1626" t="inlineStr">
        <is>
          <t>Новиков</t>
        </is>
      </c>
      <c r="B1626" t="n">
        <v>9</v>
      </c>
      <c r="C1626" s="18">
        <f>'Календарь'!A139</f>
        <v/>
      </c>
      <c r="D1626">
        <f>MONTH(C1626)</f>
        <v/>
      </c>
      <c r="E1626">
        <f>'Календарь'!D139</f>
        <v/>
      </c>
      <c r="F1626">
        <f>INT((C1626-Нед_Начало)/7)+1</f>
        <v/>
      </c>
      <c r="G1626">
        <f>IF(E1626=0,0,INDEX('Планы менеджеров'!$B$5:$M$16,B1626,D1626)/INDEX(Мес_Раб,D1626))</f>
        <v/>
      </c>
    </row>
    <row r="1627">
      <c r="A1627" t="inlineStr">
        <is>
          <t>Новиков</t>
        </is>
      </c>
      <c r="B1627" t="n">
        <v>9</v>
      </c>
      <c r="C1627" s="18">
        <f>'Календарь'!A140</f>
        <v/>
      </c>
      <c r="D1627">
        <f>MONTH(C1627)</f>
        <v/>
      </c>
      <c r="E1627">
        <f>'Календарь'!D140</f>
        <v/>
      </c>
      <c r="F1627">
        <f>INT((C1627-Нед_Начало)/7)+1</f>
        <v/>
      </c>
      <c r="G1627">
        <f>IF(E1627=0,0,INDEX('Планы менеджеров'!$B$5:$M$16,B1627,D1627)/INDEX(Мес_Раб,D1627))</f>
        <v/>
      </c>
    </row>
    <row r="1628">
      <c r="A1628" t="inlineStr">
        <is>
          <t>Новиков</t>
        </is>
      </c>
      <c r="B1628" t="n">
        <v>9</v>
      </c>
      <c r="C1628" s="18">
        <f>'Календарь'!A141</f>
        <v/>
      </c>
      <c r="D1628">
        <f>MONTH(C1628)</f>
        <v/>
      </c>
      <c r="E1628">
        <f>'Календарь'!D141</f>
        <v/>
      </c>
      <c r="F1628">
        <f>INT((C1628-Нед_Начало)/7)+1</f>
        <v/>
      </c>
      <c r="G1628">
        <f>IF(E1628=0,0,INDEX('Планы менеджеров'!$B$5:$M$16,B1628,D1628)/INDEX(Мес_Раб,D1628))</f>
        <v/>
      </c>
    </row>
    <row r="1629">
      <c r="A1629" t="inlineStr">
        <is>
          <t>Новиков</t>
        </is>
      </c>
      <c r="B1629" t="n">
        <v>9</v>
      </c>
      <c r="C1629" s="18">
        <f>'Календарь'!A142</f>
        <v/>
      </c>
      <c r="D1629">
        <f>MONTH(C1629)</f>
        <v/>
      </c>
      <c r="E1629">
        <f>'Календарь'!D142</f>
        <v/>
      </c>
      <c r="F1629">
        <f>INT((C1629-Нед_Начало)/7)+1</f>
        <v/>
      </c>
      <c r="G1629">
        <f>IF(E1629=0,0,INDEX('Планы менеджеров'!$B$5:$M$16,B1629,D1629)/INDEX(Мес_Раб,D1629))</f>
        <v/>
      </c>
    </row>
    <row r="1630">
      <c r="A1630" t="inlineStr">
        <is>
          <t>Новиков</t>
        </is>
      </c>
      <c r="B1630" t="n">
        <v>9</v>
      </c>
      <c r="C1630" s="18">
        <f>'Календарь'!A143</f>
        <v/>
      </c>
      <c r="D1630">
        <f>MONTH(C1630)</f>
        <v/>
      </c>
      <c r="E1630">
        <f>'Календарь'!D143</f>
        <v/>
      </c>
      <c r="F1630">
        <f>INT((C1630-Нед_Начало)/7)+1</f>
        <v/>
      </c>
      <c r="G1630">
        <f>IF(E1630=0,0,INDEX('Планы менеджеров'!$B$5:$M$16,B1630,D1630)/INDEX(Мес_Раб,D1630))</f>
        <v/>
      </c>
    </row>
    <row r="1631">
      <c r="A1631" t="inlineStr">
        <is>
          <t>Новиков</t>
        </is>
      </c>
      <c r="B1631" t="n">
        <v>9</v>
      </c>
      <c r="C1631" s="18">
        <f>'Календарь'!A144</f>
        <v/>
      </c>
      <c r="D1631">
        <f>MONTH(C1631)</f>
        <v/>
      </c>
      <c r="E1631">
        <f>'Календарь'!D144</f>
        <v/>
      </c>
      <c r="F1631">
        <f>INT((C1631-Нед_Начало)/7)+1</f>
        <v/>
      </c>
      <c r="G1631">
        <f>IF(E1631=0,0,INDEX('Планы менеджеров'!$B$5:$M$16,B1631,D1631)/INDEX(Мес_Раб,D1631))</f>
        <v/>
      </c>
    </row>
    <row r="1632">
      <c r="A1632" t="inlineStr">
        <is>
          <t>Новиков</t>
        </is>
      </c>
      <c r="B1632" t="n">
        <v>9</v>
      </c>
      <c r="C1632" s="18">
        <f>'Календарь'!A145</f>
        <v/>
      </c>
      <c r="D1632">
        <f>MONTH(C1632)</f>
        <v/>
      </c>
      <c r="E1632">
        <f>'Календарь'!D145</f>
        <v/>
      </c>
      <c r="F1632">
        <f>INT((C1632-Нед_Начало)/7)+1</f>
        <v/>
      </c>
      <c r="G1632">
        <f>IF(E1632=0,0,INDEX('Планы менеджеров'!$B$5:$M$16,B1632,D1632)/INDEX(Мес_Раб,D1632))</f>
        <v/>
      </c>
    </row>
    <row r="1633">
      <c r="A1633" t="inlineStr">
        <is>
          <t>Новиков</t>
        </is>
      </c>
      <c r="B1633" t="n">
        <v>9</v>
      </c>
      <c r="C1633" s="18">
        <f>'Календарь'!A146</f>
        <v/>
      </c>
      <c r="D1633">
        <f>MONTH(C1633)</f>
        <v/>
      </c>
      <c r="E1633">
        <f>'Календарь'!D146</f>
        <v/>
      </c>
      <c r="F1633">
        <f>INT((C1633-Нед_Начало)/7)+1</f>
        <v/>
      </c>
      <c r="G1633">
        <f>IF(E1633=0,0,INDEX('Планы менеджеров'!$B$5:$M$16,B1633,D1633)/INDEX(Мес_Раб,D1633))</f>
        <v/>
      </c>
    </row>
    <row r="1634">
      <c r="A1634" t="inlineStr">
        <is>
          <t>Новиков</t>
        </is>
      </c>
      <c r="B1634" t="n">
        <v>9</v>
      </c>
      <c r="C1634" s="18">
        <f>'Календарь'!A147</f>
        <v/>
      </c>
      <c r="D1634">
        <f>MONTH(C1634)</f>
        <v/>
      </c>
      <c r="E1634">
        <f>'Календарь'!D147</f>
        <v/>
      </c>
      <c r="F1634">
        <f>INT((C1634-Нед_Начало)/7)+1</f>
        <v/>
      </c>
      <c r="G1634">
        <f>IF(E1634=0,0,INDEX('Планы менеджеров'!$B$5:$M$16,B1634,D1634)/INDEX(Мес_Раб,D1634))</f>
        <v/>
      </c>
    </row>
    <row r="1635">
      <c r="A1635" t="inlineStr">
        <is>
          <t>Новиков</t>
        </is>
      </c>
      <c r="B1635" t="n">
        <v>9</v>
      </c>
      <c r="C1635" s="18">
        <f>'Календарь'!A148</f>
        <v/>
      </c>
      <c r="D1635">
        <f>MONTH(C1635)</f>
        <v/>
      </c>
      <c r="E1635">
        <f>'Календарь'!D148</f>
        <v/>
      </c>
      <c r="F1635">
        <f>INT((C1635-Нед_Начало)/7)+1</f>
        <v/>
      </c>
      <c r="G1635">
        <f>IF(E1635=0,0,INDEX('Планы менеджеров'!$B$5:$M$16,B1635,D1635)/INDEX(Мес_Раб,D1635))</f>
        <v/>
      </c>
    </row>
    <row r="1636">
      <c r="A1636" t="inlineStr">
        <is>
          <t>Новиков</t>
        </is>
      </c>
      <c r="B1636" t="n">
        <v>9</v>
      </c>
      <c r="C1636" s="18">
        <f>'Календарь'!A149</f>
        <v/>
      </c>
      <c r="D1636">
        <f>MONTH(C1636)</f>
        <v/>
      </c>
      <c r="E1636">
        <f>'Календарь'!D149</f>
        <v/>
      </c>
      <c r="F1636">
        <f>INT((C1636-Нед_Начало)/7)+1</f>
        <v/>
      </c>
      <c r="G1636">
        <f>IF(E1636=0,0,INDEX('Планы менеджеров'!$B$5:$M$16,B1636,D1636)/INDEX(Мес_Раб,D1636))</f>
        <v/>
      </c>
    </row>
    <row r="1637">
      <c r="A1637" t="inlineStr">
        <is>
          <t>Новиков</t>
        </is>
      </c>
      <c r="B1637" t="n">
        <v>9</v>
      </c>
      <c r="C1637" s="18">
        <f>'Календарь'!A150</f>
        <v/>
      </c>
      <c r="D1637">
        <f>MONTH(C1637)</f>
        <v/>
      </c>
      <c r="E1637">
        <f>'Календарь'!D150</f>
        <v/>
      </c>
      <c r="F1637">
        <f>INT((C1637-Нед_Начало)/7)+1</f>
        <v/>
      </c>
      <c r="G1637">
        <f>IF(E1637=0,0,INDEX('Планы менеджеров'!$B$5:$M$16,B1637,D1637)/INDEX(Мес_Раб,D1637))</f>
        <v/>
      </c>
    </row>
    <row r="1638">
      <c r="A1638" t="inlineStr">
        <is>
          <t>Новиков</t>
        </is>
      </c>
      <c r="B1638" t="n">
        <v>9</v>
      </c>
      <c r="C1638" s="18">
        <f>'Календарь'!A151</f>
        <v/>
      </c>
      <c r="D1638">
        <f>MONTH(C1638)</f>
        <v/>
      </c>
      <c r="E1638">
        <f>'Календарь'!D151</f>
        <v/>
      </c>
      <c r="F1638">
        <f>INT((C1638-Нед_Начало)/7)+1</f>
        <v/>
      </c>
      <c r="G1638">
        <f>IF(E1638=0,0,INDEX('Планы менеджеров'!$B$5:$M$16,B1638,D1638)/INDEX(Мес_Раб,D1638))</f>
        <v/>
      </c>
    </row>
    <row r="1639">
      <c r="A1639" t="inlineStr">
        <is>
          <t>Новиков</t>
        </is>
      </c>
      <c r="B1639" t="n">
        <v>9</v>
      </c>
      <c r="C1639" s="18">
        <f>'Календарь'!A152</f>
        <v/>
      </c>
      <c r="D1639">
        <f>MONTH(C1639)</f>
        <v/>
      </c>
      <c r="E1639">
        <f>'Календарь'!D152</f>
        <v/>
      </c>
      <c r="F1639">
        <f>INT((C1639-Нед_Начало)/7)+1</f>
        <v/>
      </c>
      <c r="G1639">
        <f>IF(E1639=0,0,INDEX('Планы менеджеров'!$B$5:$M$16,B1639,D1639)/INDEX(Мес_Раб,D1639))</f>
        <v/>
      </c>
    </row>
    <row r="1640">
      <c r="A1640" t="inlineStr">
        <is>
          <t>Новиков</t>
        </is>
      </c>
      <c r="B1640" t="n">
        <v>9</v>
      </c>
      <c r="C1640" s="18">
        <f>'Календарь'!A153</f>
        <v/>
      </c>
      <c r="D1640">
        <f>MONTH(C1640)</f>
        <v/>
      </c>
      <c r="E1640">
        <f>'Календарь'!D153</f>
        <v/>
      </c>
      <c r="F1640">
        <f>INT((C1640-Нед_Начало)/7)+1</f>
        <v/>
      </c>
      <c r="G1640">
        <f>IF(E1640=0,0,INDEX('Планы менеджеров'!$B$5:$M$16,B1640,D1640)/INDEX(Мес_Раб,D1640))</f>
        <v/>
      </c>
    </row>
    <row r="1641">
      <c r="A1641" t="inlineStr">
        <is>
          <t>Новиков</t>
        </is>
      </c>
      <c r="B1641" t="n">
        <v>9</v>
      </c>
      <c r="C1641" s="18">
        <f>'Календарь'!A154</f>
        <v/>
      </c>
      <c r="D1641">
        <f>MONTH(C1641)</f>
        <v/>
      </c>
      <c r="E1641">
        <f>'Календарь'!D154</f>
        <v/>
      </c>
      <c r="F1641">
        <f>INT((C1641-Нед_Начало)/7)+1</f>
        <v/>
      </c>
      <c r="G1641">
        <f>IF(E1641=0,0,INDEX('Планы менеджеров'!$B$5:$M$16,B1641,D1641)/INDEX(Мес_Раб,D1641))</f>
        <v/>
      </c>
    </row>
    <row r="1642">
      <c r="A1642" t="inlineStr">
        <is>
          <t>Новиков</t>
        </is>
      </c>
      <c r="B1642" t="n">
        <v>9</v>
      </c>
      <c r="C1642" s="18">
        <f>'Календарь'!A155</f>
        <v/>
      </c>
      <c r="D1642">
        <f>MONTH(C1642)</f>
        <v/>
      </c>
      <c r="E1642">
        <f>'Календарь'!D155</f>
        <v/>
      </c>
      <c r="F1642">
        <f>INT((C1642-Нед_Начало)/7)+1</f>
        <v/>
      </c>
      <c r="G1642">
        <f>IF(E1642=0,0,INDEX('Планы менеджеров'!$B$5:$M$16,B1642,D1642)/INDEX(Мес_Раб,D1642))</f>
        <v/>
      </c>
    </row>
    <row r="1643">
      <c r="A1643" t="inlineStr">
        <is>
          <t>Новиков</t>
        </is>
      </c>
      <c r="B1643" t="n">
        <v>9</v>
      </c>
      <c r="C1643" s="18">
        <f>'Календарь'!A156</f>
        <v/>
      </c>
      <c r="D1643">
        <f>MONTH(C1643)</f>
        <v/>
      </c>
      <c r="E1643">
        <f>'Календарь'!D156</f>
        <v/>
      </c>
      <c r="F1643">
        <f>INT((C1643-Нед_Начало)/7)+1</f>
        <v/>
      </c>
      <c r="G1643">
        <f>IF(E1643=0,0,INDEX('Планы менеджеров'!$B$5:$M$16,B1643,D1643)/INDEX(Мес_Раб,D1643))</f>
        <v/>
      </c>
    </row>
    <row r="1644">
      <c r="A1644" t="inlineStr">
        <is>
          <t>Новиков</t>
        </is>
      </c>
      <c r="B1644" t="n">
        <v>9</v>
      </c>
      <c r="C1644" s="18">
        <f>'Календарь'!A157</f>
        <v/>
      </c>
      <c r="D1644">
        <f>MONTH(C1644)</f>
        <v/>
      </c>
      <c r="E1644">
        <f>'Календарь'!D157</f>
        <v/>
      </c>
      <c r="F1644">
        <f>INT((C1644-Нед_Начало)/7)+1</f>
        <v/>
      </c>
      <c r="G1644">
        <f>IF(E1644=0,0,INDEX('Планы менеджеров'!$B$5:$M$16,B1644,D1644)/INDEX(Мес_Раб,D1644))</f>
        <v/>
      </c>
    </row>
    <row r="1645">
      <c r="A1645" t="inlineStr">
        <is>
          <t>Новиков</t>
        </is>
      </c>
      <c r="B1645" t="n">
        <v>9</v>
      </c>
      <c r="C1645" s="18">
        <f>'Календарь'!A158</f>
        <v/>
      </c>
      <c r="D1645">
        <f>MONTH(C1645)</f>
        <v/>
      </c>
      <c r="E1645">
        <f>'Календарь'!D158</f>
        <v/>
      </c>
      <c r="F1645">
        <f>INT((C1645-Нед_Начало)/7)+1</f>
        <v/>
      </c>
      <c r="G1645">
        <f>IF(E1645=0,0,INDEX('Планы менеджеров'!$B$5:$M$16,B1645,D1645)/INDEX(Мес_Раб,D1645))</f>
        <v/>
      </c>
    </row>
    <row r="1646">
      <c r="A1646" t="inlineStr">
        <is>
          <t>Новиков</t>
        </is>
      </c>
      <c r="B1646" t="n">
        <v>9</v>
      </c>
      <c r="C1646" s="18">
        <f>'Календарь'!A159</f>
        <v/>
      </c>
      <c r="D1646">
        <f>MONTH(C1646)</f>
        <v/>
      </c>
      <c r="E1646">
        <f>'Календарь'!D159</f>
        <v/>
      </c>
      <c r="F1646">
        <f>INT((C1646-Нед_Начало)/7)+1</f>
        <v/>
      </c>
      <c r="G1646">
        <f>IF(E1646=0,0,INDEX('Планы менеджеров'!$B$5:$M$16,B1646,D1646)/INDEX(Мес_Раб,D1646))</f>
        <v/>
      </c>
    </row>
    <row r="1647">
      <c r="A1647" t="inlineStr">
        <is>
          <t>Новиков</t>
        </is>
      </c>
      <c r="B1647" t="n">
        <v>9</v>
      </c>
      <c r="C1647" s="18">
        <f>'Календарь'!A160</f>
        <v/>
      </c>
      <c r="D1647">
        <f>MONTH(C1647)</f>
        <v/>
      </c>
      <c r="E1647">
        <f>'Календарь'!D160</f>
        <v/>
      </c>
      <c r="F1647">
        <f>INT((C1647-Нед_Начало)/7)+1</f>
        <v/>
      </c>
      <c r="G1647">
        <f>IF(E1647=0,0,INDEX('Планы менеджеров'!$B$5:$M$16,B1647,D1647)/INDEX(Мес_Раб,D1647))</f>
        <v/>
      </c>
    </row>
    <row r="1648">
      <c r="A1648" t="inlineStr">
        <is>
          <t>Новиков</t>
        </is>
      </c>
      <c r="B1648" t="n">
        <v>9</v>
      </c>
      <c r="C1648" s="18">
        <f>'Календарь'!A161</f>
        <v/>
      </c>
      <c r="D1648">
        <f>MONTH(C1648)</f>
        <v/>
      </c>
      <c r="E1648">
        <f>'Календарь'!D161</f>
        <v/>
      </c>
      <c r="F1648">
        <f>INT((C1648-Нед_Начало)/7)+1</f>
        <v/>
      </c>
      <c r="G1648">
        <f>IF(E1648=0,0,INDEX('Планы менеджеров'!$B$5:$M$16,B1648,D1648)/INDEX(Мес_Раб,D1648))</f>
        <v/>
      </c>
    </row>
    <row r="1649">
      <c r="A1649" t="inlineStr">
        <is>
          <t>Новиков</t>
        </is>
      </c>
      <c r="B1649" t="n">
        <v>9</v>
      </c>
      <c r="C1649" s="18">
        <f>'Календарь'!A162</f>
        <v/>
      </c>
      <c r="D1649">
        <f>MONTH(C1649)</f>
        <v/>
      </c>
      <c r="E1649">
        <f>'Календарь'!D162</f>
        <v/>
      </c>
      <c r="F1649">
        <f>INT((C1649-Нед_Начало)/7)+1</f>
        <v/>
      </c>
      <c r="G1649">
        <f>IF(E1649=0,0,INDEX('Планы менеджеров'!$B$5:$M$16,B1649,D1649)/INDEX(Мес_Раб,D1649))</f>
        <v/>
      </c>
    </row>
    <row r="1650">
      <c r="A1650" t="inlineStr">
        <is>
          <t>Новиков</t>
        </is>
      </c>
      <c r="B1650" t="n">
        <v>9</v>
      </c>
      <c r="C1650" s="18">
        <f>'Календарь'!A163</f>
        <v/>
      </c>
      <c r="D1650">
        <f>MONTH(C1650)</f>
        <v/>
      </c>
      <c r="E1650">
        <f>'Календарь'!D163</f>
        <v/>
      </c>
      <c r="F1650">
        <f>INT((C1650-Нед_Начало)/7)+1</f>
        <v/>
      </c>
      <c r="G1650">
        <f>IF(E1650=0,0,INDEX('Планы менеджеров'!$B$5:$M$16,B1650,D1650)/INDEX(Мес_Раб,D1650))</f>
        <v/>
      </c>
    </row>
    <row r="1651">
      <c r="A1651" t="inlineStr">
        <is>
          <t>Новиков</t>
        </is>
      </c>
      <c r="B1651" t="n">
        <v>9</v>
      </c>
      <c r="C1651" s="18">
        <f>'Календарь'!A164</f>
        <v/>
      </c>
      <c r="D1651">
        <f>MONTH(C1651)</f>
        <v/>
      </c>
      <c r="E1651">
        <f>'Календарь'!D164</f>
        <v/>
      </c>
      <c r="F1651">
        <f>INT((C1651-Нед_Начало)/7)+1</f>
        <v/>
      </c>
      <c r="G1651">
        <f>IF(E1651=0,0,INDEX('Планы менеджеров'!$B$5:$M$16,B1651,D1651)/INDEX(Мес_Раб,D1651))</f>
        <v/>
      </c>
    </row>
    <row r="1652">
      <c r="A1652" t="inlineStr">
        <is>
          <t>Новиков</t>
        </is>
      </c>
      <c r="B1652" t="n">
        <v>9</v>
      </c>
      <c r="C1652" s="18">
        <f>'Календарь'!A165</f>
        <v/>
      </c>
      <c r="D1652">
        <f>MONTH(C1652)</f>
        <v/>
      </c>
      <c r="E1652">
        <f>'Календарь'!D165</f>
        <v/>
      </c>
      <c r="F1652">
        <f>INT((C1652-Нед_Начало)/7)+1</f>
        <v/>
      </c>
      <c r="G1652">
        <f>IF(E1652=0,0,INDEX('Планы менеджеров'!$B$5:$M$16,B1652,D1652)/INDEX(Мес_Раб,D1652))</f>
        <v/>
      </c>
    </row>
    <row r="1653">
      <c r="A1653" t="inlineStr">
        <is>
          <t>Новиков</t>
        </is>
      </c>
      <c r="B1653" t="n">
        <v>9</v>
      </c>
      <c r="C1653" s="18">
        <f>'Календарь'!A166</f>
        <v/>
      </c>
      <c r="D1653">
        <f>MONTH(C1653)</f>
        <v/>
      </c>
      <c r="E1653">
        <f>'Календарь'!D166</f>
        <v/>
      </c>
      <c r="F1653">
        <f>INT((C1653-Нед_Начало)/7)+1</f>
        <v/>
      </c>
      <c r="G1653">
        <f>IF(E1653=0,0,INDEX('Планы менеджеров'!$B$5:$M$16,B1653,D1653)/INDEX(Мес_Раб,D1653))</f>
        <v/>
      </c>
    </row>
    <row r="1654">
      <c r="A1654" t="inlineStr">
        <is>
          <t>Новиков</t>
        </is>
      </c>
      <c r="B1654" t="n">
        <v>9</v>
      </c>
      <c r="C1654" s="18">
        <f>'Календарь'!A167</f>
        <v/>
      </c>
      <c r="D1654">
        <f>MONTH(C1654)</f>
        <v/>
      </c>
      <c r="E1654">
        <f>'Календарь'!D167</f>
        <v/>
      </c>
      <c r="F1654">
        <f>INT((C1654-Нед_Начало)/7)+1</f>
        <v/>
      </c>
      <c r="G1654">
        <f>IF(E1654=0,0,INDEX('Планы менеджеров'!$B$5:$M$16,B1654,D1654)/INDEX(Мес_Раб,D1654))</f>
        <v/>
      </c>
    </row>
    <row r="1655">
      <c r="A1655" t="inlineStr">
        <is>
          <t>Новиков</t>
        </is>
      </c>
      <c r="B1655" t="n">
        <v>9</v>
      </c>
      <c r="C1655" s="18">
        <f>'Календарь'!A168</f>
        <v/>
      </c>
      <c r="D1655">
        <f>MONTH(C1655)</f>
        <v/>
      </c>
      <c r="E1655">
        <f>'Календарь'!D168</f>
        <v/>
      </c>
      <c r="F1655">
        <f>INT((C1655-Нед_Начало)/7)+1</f>
        <v/>
      </c>
      <c r="G1655">
        <f>IF(E1655=0,0,INDEX('Планы менеджеров'!$B$5:$M$16,B1655,D1655)/INDEX(Мес_Раб,D1655))</f>
        <v/>
      </c>
    </row>
    <row r="1656">
      <c r="A1656" t="inlineStr">
        <is>
          <t>Новиков</t>
        </is>
      </c>
      <c r="B1656" t="n">
        <v>9</v>
      </c>
      <c r="C1656" s="18">
        <f>'Календарь'!A169</f>
        <v/>
      </c>
      <c r="D1656">
        <f>MONTH(C1656)</f>
        <v/>
      </c>
      <c r="E1656">
        <f>'Календарь'!D169</f>
        <v/>
      </c>
      <c r="F1656">
        <f>INT((C1656-Нед_Начало)/7)+1</f>
        <v/>
      </c>
      <c r="G1656">
        <f>IF(E1656=0,0,INDEX('Планы менеджеров'!$B$5:$M$16,B1656,D1656)/INDEX(Мес_Раб,D1656))</f>
        <v/>
      </c>
    </row>
    <row r="1657">
      <c r="A1657" t="inlineStr">
        <is>
          <t>Новиков</t>
        </is>
      </c>
      <c r="B1657" t="n">
        <v>9</v>
      </c>
      <c r="C1657" s="18">
        <f>'Календарь'!A170</f>
        <v/>
      </c>
      <c r="D1657">
        <f>MONTH(C1657)</f>
        <v/>
      </c>
      <c r="E1657">
        <f>'Календарь'!D170</f>
        <v/>
      </c>
      <c r="F1657">
        <f>INT((C1657-Нед_Начало)/7)+1</f>
        <v/>
      </c>
      <c r="G1657">
        <f>IF(E1657=0,0,INDEX('Планы менеджеров'!$B$5:$M$16,B1657,D1657)/INDEX(Мес_Раб,D1657))</f>
        <v/>
      </c>
    </row>
    <row r="1658">
      <c r="A1658" t="inlineStr">
        <is>
          <t>Новиков</t>
        </is>
      </c>
      <c r="B1658" t="n">
        <v>9</v>
      </c>
      <c r="C1658" s="18">
        <f>'Календарь'!A171</f>
        <v/>
      </c>
      <c r="D1658">
        <f>MONTH(C1658)</f>
        <v/>
      </c>
      <c r="E1658">
        <f>'Календарь'!D171</f>
        <v/>
      </c>
      <c r="F1658">
        <f>INT((C1658-Нед_Начало)/7)+1</f>
        <v/>
      </c>
      <c r="G1658">
        <f>IF(E1658=0,0,INDEX('Планы менеджеров'!$B$5:$M$16,B1658,D1658)/INDEX(Мес_Раб,D1658))</f>
        <v/>
      </c>
    </row>
    <row r="1659">
      <c r="A1659" t="inlineStr">
        <is>
          <t>Новиков</t>
        </is>
      </c>
      <c r="B1659" t="n">
        <v>9</v>
      </c>
      <c r="C1659" s="18">
        <f>'Календарь'!A172</f>
        <v/>
      </c>
      <c r="D1659">
        <f>MONTH(C1659)</f>
        <v/>
      </c>
      <c r="E1659">
        <f>'Календарь'!D172</f>
        <v/>
      </c>
      <c r="F1659">
        <f>INT((C1659-Нед_Начало)/7)+1</f>
        <v/>
      </c>
      <c r="G1659">
        <f>IF(E1659=0,0,INDEX('Планы менеджеров'!$B$5:$M$16,B1659,D1659)/INDEX(Мес_Раб,D1659))</f>
        <v/>
      </c>
    </row>
    <row r="1660">
      <c r="A1660" t="inlineStr">
        <is>
          <t>Новиков</t>
        </is>
      </c>
      <c r="B1660" t="n">
        <v>9</v>
      </c>
      <c r="C1660" s="18">
        <f>'Календарь'!A173</f>
        <v/>
      </c>
      <c r="D1660">
        <f>MONTH(C1660)</f>
        <v/>
      </c>
      <c r="E1660">
        <f>'Календарь'!D173</f>
        <v/>
      </c>
      <c r="F1660">
        <f>INT((C1660-Нед_Начало)/7)+1</f>
        <v/>
      </c>
      <c r="G1660">
        <f>IF(E1660=0,0,INDEX('Планы менеджеров'!$B$5:$M$16,B1660,D1660)/INDEX(Мес_Раб,D1660))</f>
        <v/>
      </c>
    </row>
    <row r="1661">
      <c r="A1661" t="inlineStr">
        <is>
          <t>Новиков</t>
        </is>
      </c>
      <c r="B1661" t="n">
        <v>9</v>
      </c>
      <c r="C1661" s="18">
        <f>'Календарь'!A174</f>
        <v/>
      </c>
      <c r="D1661">
        <f>MONTH(C1661)</f>
        <v/>
      </c>
      <c r="E1661">
        <f>'Календарь'!D174</f>
        <v/>
      </c>
      <c r="F1661">
        <f>INT((C1661-Нед_Начало)/7)+1</f>
        <v/>
      </c>
      <c r="G1661">
        <f>IF(E1661=0,0,INDEX('Планы менеджеров'!$B$5:$M$16,B1661,D1661)/INDEX(Мес_Раб,D1661))</f>
        <v/>
      </c>
    </row>
    <row r="1662">
      <c r="A1662" t="inlineStr">
        <is>
          <t>Новиков</t>
        </is>
      </c>
      <c r="B1662" t="n">
        <v>9</v>
      </c>
      <c r="C1662" s="18">
        <f>'Календарь'!A175</f>
        <v/>
      </c>
      <c r="D1662">
        <f>MONTH(C1662)</f>
        <v/>
      </c>
      <c r="E1662">
        <f>'Календарь'!D175</f>
        <v/>
      </c>
      <c r="F1662">
        <f>INT((C1662-Нед_Начало)/7)+1</f>
        <v/>
      </c>
      <c r="G1662">
        <f>IF(E1662=0,0,INDEX('Планы менеджеров'!$B$5:$M$16,B1662,D1662)/INDEX(Мес_Раб,D1662))</f>
        <v/>
      </c>
    </row>
    <row r="1663">
      <c r="A1663" t="inlineStr">
        <is>
          <t>Новиков</t>
        </is>
      </c>
      <c r="B1663" t="n">
        <v>9</v>
      </c>
      <c r="C1663" s="18">
        <f>'Календарь'!A176</f>
        <v/>
      </c>
      <c r="D1663">
        <f>MONTH(C1663)</f>
        <v/>
      </c>
      <c r="E1663">
        <f>'Календарь'!D176</f>
        <v/>
      </c>
      <c r="F1663">
        <f>INT((C1663-Нед_Начало)/7)+1</f>
        <v/>
      </c>
      <c r="G1663">
        <f>IF(E1663=0,0,INDEX('Планы менеджеров'!$B$5:$M$16,B1663,D1663)/INDEX(Мес_Раб,D1663))</f>
        <v/>
      </c>
    </row>
    <row r="1664">
      <c r="A1664" t="inlineStr">
        <is>
          <t>Новиков</t>
        </is>
      </c>
      <c r="B1664" t="n">
        <v>9</v>
      </c>
      <c r="C1664" s="18">
        <f>'Календарь'!A177</f>
        <v/>
      </c>
      <c r="D1664">
        <f>MONTH(C1664)</f>
        <v/>
      </c>
      <c r="E1664">
        <f>'Календарь'!D177</f>
        <v/>
      </c>
      <c r="F1664">
        <f>INT((C1664-Нед_Начало)/7)+1</f>
        <v/>
      </c>
      <c r="G1664">
        <f>IF(E1664=0,0,INDEX('Планы менеджеров'!$B$5:$M$16,B1664,D1664)/INDEX(Мес_Раб,D1664))</f>
        <v/>
      </c>
    </row>
    <row r="1665">
      <c r="A1665" t="inlineStr">
        <is>
          <t>Новиков</t>
        </is>
      </c>
      <c r="B1665" t="n">
        <v>9</v>
      </c>
      <c r="C1665" s="18">
        <f>'Календарь'!A178</f>
        <v/>
      </c>
      <c r="D1665">
        <f>MONTH(C1665)</f>
        <v/>
      </c>
      <c r="E1665">
        <f>'Календарь'!D178</f>
        <v/>
      </c>
      <c r="F1665">
        <f>INT((C1665-Нед_Начало)/7)+1</f>
        <v/>
      </c>
      <c r="G1665">
        <f>IF(E1665=0,0,INDEX('Планы менеджеров'!$B$5:$M$16,B1665,D1665)/INDEX(Мес_Раб,D1665))</f>
        <v/>
      </c>
    </row>
    <row r="1666">
      <c r="A1666" t="inlineStr">
        <is>
          <t>Новиков</t>
        </is>
      </c>
      <c r="B1666" t="n">
        <v>9</v>
      </c>
      <c r="C1666" s="18">
        <f>'Календарь'!A179</f>
        <v/>
      </c>
      <c r="D1666">
        <f>MONTH(C1666)</f>
        <v/>
      </c>
      <c r="E1666">
        <f>'Календарь'!D179</f>
        <v/>
      </c>
      <c r="F1666">
        <f>INT((C1666-Нед_Начало)/7)+1</f>
        <v/>
      </c>
      <c r="G1666">
        <f>IF(E1666=0,0,INDEX('Планы менеджеров'!$B$5:$M$16,B1666,D1666)/INDEX(Мес_Раб,D1666))</f>
        <v/>
      </c>
    </row>
    <row r="1667">
      <c r="A1667" t="inlineStr">
        <is>
          <t>Новиков</t>
        </is>
      </c>
      <c r="B1667" t="n">
        <v>9</v>
      </c>
      <c r="C1667" s="18">
        <f>'Календарь'!A180</f>
        <v/>
      </c>
      <c r="D1667">
        <f>MONTH(C1667)</f>
        <v/>
      </c>
      <c r="E1667">
        <f>'Календарь'!D180</f>
        <v/>
      </c>
      <c r="F1667">
        <f>INT((C1667-Нед_Начало)/7)+1</f>
        <v/>
      </c>
      <c r="G1667">
        <f>IF(E1667=0,0,INDEX('Планы менеджеров'!$B$5:$M$16,B1667,D1667)/INDEX(Мес_Раб,D1667))</f>
        <v/>
      </c>
    </row>
    <row r="1668">
      <c r="A1668" t="inlineStr">
        <is>
          <t>Новиков</t>
        </is>
      </c>
      <c r="B1668" t="n">
        <v>9</v>
      </c>
      <c r="C1668" s="18">
        <f>'Календарь'!A181</f>
        <v/>
      </c>
      <c r="D1668">
        <f>MONTH(C1668)</f>
        <v/>
      </c>
      <c r="E1668">
        <f>'Календарь'!D181</f>
        <v/>
      </c>
      <c r="F1668">
        <f>INT((C1668-Нед_Начало)/7)+1</f>
        <v/>
      </c>
      <c r="G1668">
        <f>IF(E1668=0,0,INDEX('Планы менеджеров'!$B$5:$M$16,B1668,D1668)/INDEX(Мес_Раб,D1668))</f>
        <v/>
      </c>
    </row>
    <row r="1669">
      <c r="A1669" t="inlineStr">
        <is>
          <t>Новиков</t>
        </is>
      </c>
      <c r="B1669" t="n">
        <v>9</v>
      </c>
      <c r="C1669" s="18">
        <f>'Календарь'!A182</f>
        <v/>
      </c>
      <c r="D1669">
        <f>MONTH(C1669)</f>
        <v/>
      </c>
      <c r="E1669">
        <f>'Календарь'!D182</f>
        <v/>
      </c>
      <c r="F1669">
        <f>INT((C1669-Нед_Начало)/7)+1</f>
        <v/>
      </c>
      <c r="G1669">
        <f>IF(E1669=0,0,INDEX('Планы менеджеров'!$B$5:$M$16,B1669,D1669)/INDEX(Мес_Раб,D1669))</f>
        <v/>
      </c>
    </row>
    <row r="1670">
      <c r="A1670" t="inlineStr">
        <is>
          <t>Новиков</t>
        </is>
      </c>
      <c r="B1670" t="n">
        <v>9</v>
      </c>
      <c r="C1670" s="18">
        <f>'Календарь'!A183</f>
        <v/>
      </c>
      <c r="D1670">
        <f>MONTH(C1670)</f>
        <v/>
      </c>
      <c r="E1670">
        <f>'Календарь'!D183</f>
        <v/>
      </c>
      <c r="F1670">
        <f>INT((C1670-Нед_Начало)/7)+1</f>
        <v/>
      </c>
      <c r="G1670">
        <f>IF(E1670=0,0,INDEX('Планы менеджеров'!$B$5:$M$16,B1670,D1670)/INDEX(Мес_Раб,D1670))</f>
        <v/>
      </c>
    </row>
    <row r="1671">
      <c r="A1671" t="inlineStr">
        <is>
          <t>Новиков</t>
        </is>
      </c>
      <c r="B1671" t="n">
        <v>9</v>
      </c>
      <c r="C1671" s="18">
        <f>'Календарь'!A184</f>
        <v/>
      </c>
      <c r="D1671">
        <f>MONTH(C1671)</f>
        <v/>
      </c>
      <c r="E1671">
        <f>'Календарь'!D184</f>
        <v/>
      </c>
      <c r="F1671">
        <f>INT((C1671-Нед_Начало)/7)+1</f>
        <v/>
      </c>
      <c r="G1671">
        <f>IF(E1671=0,0,INDEX('Планы менеджеров'!$B$5:$M$16,B1671,D1671)/INDEX(Мес_Раб,D1671))</f>
        <v/>
      </c>
    </row>
    <row r="1672">
      <c r="A1672" t="inlineStr">
        <is>
          <t>Новиков</t>
        </is>
      </c>
      <c r="B1672" t="n">
        <v>9</v>
      </c>
      <c r="C1672" s="18">
        <f>'Календарь'!A185</f>
        <v/>
      </c>
      <c r="D1672">
        <f>MONTH(C1672)</f>
        <v/>
      </c>
      <c r="E1672">
        <f>'Календарь'!D185</f>
        <v/>
      </c>
      <c r="F1672">
        <f>INT((C1672-Нед_Начало)/7)+1</f>
        <v/>
      </c>
      <c r="G1672">
        <f>IF(E1672=0,0,INDEX('Планы менеджеров'!$B$5:$M$16,B1672,D1672)/INDEX(Мес_Раб,D1672))</f>
        <v/>
      </c>
    </row>
    <row r="1673">
      <c r="A1673" t="inlineStr">
        <is>
          <t>Новиков</t>
        </is>
      </c>
      <c r="B1673" t="n">
        <v>9</v>
      </c>
      <c r="C1673" s="18">
        <f>'Календарь'!A186</f>
        <v/>
      </c>
      <c r="D1673">
        <f>MONTH(C1673)</f>
        <v/>
      </c>
      <c r="E1673">
        <f>'Календарь'!D186</f>
        <v/>
      </c>
      <c r="F1673">
        <f>INT((C1673-Нед_Начало)/7)+1</f>
        <v/>
      </c>
      <c r="G1673">
        <f>IF(E1673=0,0,INDEX('Планы менеджеров'!$B$5:$M$16,B1673,D1673)/INDEX(Мес_Раб,D1673))</f>
        <v/>
      </c>
    </row>
    <row r="1674">
      <c r="A1674" t="inlineStr">
        <is>
          <t>Новиков</t>
        </is>
      </c>
      <c r="B1674" t="n">
        <v>9</v>
      </c>
      <c r="C1674" s="18">
        <f>'Календарь'!A187</f>
        <v/>
      </c>
      <c r="D1674">
        <f>MONTH(C1674)</f>
        <v/>
      </c>
      <c r="E1674">
        <f>'Календарь'!D187</f>
        <v/>
      </c>
      <c r="F1674">
        <f>INT((C1674-Нед_Начало)/7)+1</f>
        <v/>
      </c>
      <c r="G1674">
        <f>IF(E1674=0,0,INDEX('Планы менеджеров'!$B$5:$M$16,B1674,D1674)/INDEX(Мес_Раб,D1674))</f>
        <v/>
      </c>
    </row>
    <row r="1675">
      <c r="A1675" t="inlineStr">
        <is>
          <t>Новиков</t>
        </is>
      </c>
      <c r="B1675" t="n">
        <v>9</v>
      </c>
      <c r="C1675" s="18">
        <f>'Календарь'!A188</f>
        <v/>
      </c>
      <c r="D1675">
        <f>MONTH(C1675)</f>
        <v/>
      </c>
      <c r="E1675">
        <f>'Календарь'!D188</f>
        <v/>
      </c>
      <c r="F1675">
        <f>INT((C1675-Нед_Начало)/7)+1</f>
        <v/>
      </c>
      <c r="G1675">
        <f>IF(E1675=0,0,INDEX('Планы менеджеров'!$B$5:$M$16,B1675,D1675)/INDEX(Мес_Раб,D1675))</f>
        <v/>
      </c>
    </row>
    <row r="1676">
      <c r="A1676" t="inlineStr">
        <is>
          <t>Новиков</t>
        </is>
      </c>
      <c r="B1676" t="n">
        <v>9</v>
      </c>
      <c r="C1676" s="18">
        <f>'Календарь'!A189</f>
        <v/>
      </c>
      <c r="D1676">
        <f>MONTH(C1676)</f>
        <v/>
      </c>
      <c r="E1676">
        <f>'Календарь'!D189</f>
        <v/>
      </c>
      <c r="F1676">
        <f>INT((C1676-Нед_Начало)/7)+1</f>
        <v/>
      </c>
      <c r="G1676">
        <f>IF(E1676=0,0,INDEX('Планы менеджеров'!$B$5:$M$16,B1676,D1676)/INDEX(Мес_Раб,D1676))</f>
        <v/>
      </c>
    </row>
    <row r="1677">
      <c r="A1677" t="inlineStr">
        <is>
          <t>Новиков</t>
        </is>
      </c>
      <c r="B1677" t="n">
        <v>9</v>
      </c>
      <c r="C1677" s="18">
        <f>'Календарь'!A190</f>
        <v/>
      </c>
      <c r="D1677">
        <f>MONTH(C1677)</f>
        <v/>
      </c>
      <c r="E1677">
        <f>'Календарь'!D190</f>
        <v/>
      </c>
      <c r="F1677">
        <f>INT((C1677-Нед_Начало)/7)+1</f>
        <v/>
      </c>
      <c r="G1677">
        <f>IF(E1677=0,0,INDEX('Планы менеджеров'!$B$5:$M$16,B1677,D1677)/INDEX(Мес_Раб,D1677))</f>
        <v/>
      </c>
    </row>
    <row r="1678">
      <c r="A1678" t="inlineStr">
        <is>
          <t>Новиков</t>
        </is>
      </c>
      <c r="B1678" t="n">
        <v>9</v>
      </c>
      <c r="C1678" s="18">
        <f>'Календарь'!A191</f>
        <v/>
      </c>
      <c r="D1678">
        <f>MONTH(C1678)</f>
        <v/>
      </c>
      <c r="E1678">
        <f>'Календарь'!D191</f>
        <v/>
      </c>
      <c r="F1678">
        <f>INT((C1678-Нед_Начало)/7)+1</f>
        <v/>
      </c>
      <c r="G1678">
        <f>IF(E1678=0,0,INDEX('Планы менеджеров'!$B$5:$M$16,B1678,D1678)/INDEX(Мес_Раб,D1678))</f>
        <v/>
      </c>
    </row>
    <row r="1679">
      <c r="A1679" t="inlineStr">
        <is>
          <t>Новиков</t>
        </is>
      </c>
      <c r="B1679" t="n">
        <v>9</v>
      </c>
      <c r="C1679" s="18">
        <f>'Календарь'!A192</f>
        <v/>
      </c>
      <c r="D1679">
        <f>MONTH(C1679)</f>
        <v/>
      </c>
      <c r="E1679">
        <f>'Календарь'!D192</f>
        <v/>
      </c>
      <c r="F1679">
        <f>INT((C1679-Нед_Начало)/7)+1</f>
        <v/>
      </c>
      <c r="G1679">
        <f>IF(E1679=0,0,INDEX('Планы менеджеров'!$B$5:$M$16,B1679,D1679)/INDEX(Мес_Раб,D1679))</f>
        <v/>
      </c>
    </row>
    <row r="1680">
      <c r="A1680" t="inlineStr">
        <is>
          <t>Новиков</t>
        </is>
      </c>
      <c r="B1680" t="n">
        <v>9</v>
      </c>
      <c r="C1680" s="18">
        <f>'Календарь'!A193</f>
        <v/>
      </c>
      <c r="D1680">
        <f>MONTH(C1680)</f>
        <v/>
      </c>
      <c r="E1680">
        <f>'Календарь'!D193</f>
        <v/>
      </c>
      <c r="F1680">
        <f>INT((C1680-Нед_Начало)/7)+1</f>
        <v/>
      </c>
      <c r="G1680">
        <f>IF(E1680=0,0,INDEX('Планы менеджеров'!$B$5:$M$16,B1680,D1680)/INDEX(Мес_Раб,D1680))</f>
        <v/>
      </c>
    </row>
    <row r="1681">
      <c r="A1681" t="inlineStr">
        <is>
          <t>Новиков</t>
        </is>
      </c>
      <c r="B1681" t="n">
        <v>9</v>
      </c>
      <c r="C1681" s="18">
        <f>'Календарь'!A194</f>
        <v/>
      </c>
      <c r="D1681">
        <f>MONTH(C1681)</f>
        <v/>
      </c>
      <c r="E1681">
        <f>'Календарь'!D194</f>
        <v/>
      </c>
      <c r="F1681">
        <f>INT((C1681-Нед_Начало)/7)+1</f>
        <v/>
      </c>
      <c r="G1681">
        <f>IF(E1681=0,0,INDEX('Планы менеджеров'!$B$5:$M$16,B1681,D1681)/INDEX(Мес_Раб,D1681))</f>
        <v/>
      </c>
    </row>
    <row r="1682">
      <c r="A1682" t="inlineStr">
        <is>
          <t>Новиков</t>
        </is>
      </c>
      <c r="B1682" t="n">
        <v>9</v>
      </c>
      <c r="C1682" s="18">
        <f>'Календарь'!A195</f>
        <v/>
      </c>
      <c r="D1682">
        <f>MONTH(C1682)</f>
        <v/>
      </c>
      <c r="E1682">
        <f>'Календарь'!D195</f>
        <v/>
      </c>
      <c r="F1682">
        <f>INT((C1682-Нед_Начало)/7)+1</f>
        <v/>
      </c>
      <c r="G1682">
        <f>IF(E1682=0,0,INDEX('Планы менеджеров'!$B$5:$M$16,B1682,D1682)/INDEX(Мес_Раб,D1682))</f>
        <v/>
      </c>
    </row>
    <row r="1683">
      <c r="A1683" t="inlineStr">
        <is>
          <t>Новиков</t>
        </is>
      </c>
      <c r="B1683" t="n">
        <v>9</v>
      </c>
      <c r="C1683" s="18">
        <f>'Календарь'!A196</f>
        <v/>
      </c>
      <c r="D1683">
        <f>MONTH(C1683)</f>
        <v/>
      </c>
      <c r="E1683">
        <f>'Календарь'!D196</f>
        <v/>
      </c>
      <c r="F1683">
        <f>INT((C1683-Нед_Начало)/7)+1</f>
        <v/>
      </c>
      <c r="G1683">
        <f>IF(E1683=0,0,INDEX('Планы менеджеров'!$B$5:$M$16,B1683,D1683)/INDEX(Мес_Раб,D1683))</f>
        <v/>
      </c>
    </row>
    <row r="1684">
      <c r="A1684" t="inlineStr">
        <is>
          <t>Новиков</t>
        </is>
      </c>
      <c r="B1684" t="n">
        <v>9</v>
      </c>
      <c r="C1684" s="18">
        <f>'Календарь'!A197</f>
        <v/>
      </c>
      <c r="D1684">
        <f>MONTH(C1684)</f>
        <v/>
      </c>
      <c r="E1684">
        <f>'Календарь'!D197</f>
        <v/>
      </c>
      <c r="F1684">
        <f>INT((C1684-Нед_Начало)/7)+1</f>
        <v/>
      </c>
      <c r="G1684">
        <f>IF(E1684=0,0,INDEX('Планы менеджеров'!$B$5:$M$16,B1684,D1684)/INDEX(Мес_Раб,D1684))</f>
        <v/>
      </c>
    </row>
    <row r="1685">
      <c r="A1685" t="inlineStr">
        <is>
          <t>Новиков</t>
        </is>
      </c>
      <c r="B1685" t="n">
        <v>9</v>
      </c>
      <c r="C1685" s="18">
        <f>'Календарь'!A198</f>
        <v/>
      </c>
      <c r="D1685">
        <f>MONTH(C1685)</f>
        <v/>
      </c>
      <c r="E1685">
        <f>'Календарь'!D198</f>
        <v/>
      </c>
      <c r="F1685">
        <f>INT((C1685-Нед_Начало)/7)+1</f>
        <v/>
      </c>
      <c r="G1685">
        <f>IF(E1685=0,0,INDEX('Планы менеджеров'!$B$5:$M$16,B1685,D1685)/INDEX(Мес_Раб,D1685))</f>
        <v/>
      </c>
    </row>
    <row r="1686">
      <c r="A1686" t="inlineStr">
        <is>
          <t>Новиков</t>
        </is>
      </c>
      <c r="B1686" t="n">
        <v>9</v>
      </c>
      <c r="C1686" s="18">
        <f>'Календарь'!A199</f>
        <v/>
      </c>
      <c r="D1686">
        <f>MONTH(C1686)</f>
        <v/>
      </c>
      <c r="E1686">
        <f>'Календарь'!D199</f>
        <v/>
      </c>
      <c r="F1686">
        <f>INT((C1686-Нед_Начало)/7)+1</f>
        <v/>
      </c>
      <c r="G1686">
        <f>IF(E1686=0,0,INDEX('Планы менеджеров'!$B$5:$M$16,B1686,D1686)/INDEX(Мес_Раб,D1686))</f>
        <v/>
      </c>
    </row>
    <row r="1687">
      <c r="A1687" t="inlineStr">
        <is>
          <t>Новиков</t>
        </is>
      </c>
      <c r="B1687" t="n">
        <v>9</v>
      </c>
      <c r="C1687" s="18">
        <f>'Календарь'!A200</f>
        <v/>
      </c>
      <c r="D1687">
        <f>MONTH(C1687)</f>
        <v/>
      </c>
      <c r="E1687">
        <f>'Календарь'!D200</f>
        <v/>
      </c>
      <c r="F1687">
        <f>INT((C1687-Нед_Начало)/7)+1</f>
        <v/>
      </c>
      <c r="G1687">
        <f>IF(E1687=0,0,INDEX('Планы менеджеров'!$B$5:$M$16,B1687,D1687)/INDEX(Мес_Раб,D1687))</f>
        <v/>
      </c>
    </row>
    <row r="1688">
      <c r="A1688" t="inlineStr">
        <is>
          <t>Новиков</t>
        </is>
      </c>
      <c r="B1688" t="n">
        <v>9</v>
      </c>
      <c r="C1688" s="18">
        <f>'Календарь'!A201</f>
        <v/>
      </c>
      <c r="D1688">
        <f>MONTH(C1688)</f>
        <v/>
      </c>
      <c r="E1688">
        <f>'Календарь'!D201</f>
        <v/>
      </c>
      <c r="F1688">
        <f>INT((C1688-Нед_Начало)/7)+1</f>
        <v/>
      </c>
      <c r="G1688">
        <f>IF(E1688=0,0,INDEX('Планы менеджеров'!$B$5:$M$16,B1688,D1688)/INDEX(Мес_Раб,D1688))</f>
        <v/>
      </c>
    </row>
    <row r="1689">
      <c r="A1689" t="inlineStr">
        <is>
          <t>Новиков</t>
        </is>
      </c>
      <c r="B1689" t="n">
        <v>9</v>
      </c>
      <c r="C1689" s="18">
        <f>'Календарь'!A202</f>
        <v/>
      </c>
      <c r="D1689">
        <f>MONTH(C1689)</f>
        <v/>
      </c>
      <c r="E1689">
        <f>'Календарь'!D202</f>
        <v/>
      </c>
      <c r="F1689">
        <f>INT((C1689-Нед_Начало)/7)+1</f>
        <v/>
      </c>
      <c r="G1689">
        <f>IF(E1689=0,0,INDEX('Планы менеджеров'!$B$5:$M$16,B1689,D1689)/INDEX(Мес_Раб,D1689))</f>
        <v/>
      </c>
    </row>
    <row r="1690">
      <c r="A1690" t="inlineStr">
        <is>
          <t>Новиков</t>
        </is>
      </c>
      <c r="B1690" t="n">
        <v>9</v>
      </c>
      <c r="C1690" s="18">
        <f>'Календарь'!A203</f>
        <v/>
      </c>
      <c r="D1690">
        <f>MONTH(C1690)</f>
        <v/>
      </c>
      <c r="E1690">
        <f>'Календарь'!D203</f>
        <v/>
      </c>
      <c r="F1690">
        <f>INT((C1690-Нед_Начало)/7)+1</f>
        <v/>
      </c>
      <c r="G1690">
        <f>IF(E1690=0,0,INDEX('Планы менеджеров'!$B$5:$M$16,B1690,D1690)/INDEX(Мес_Раб,D1690))</f>
        <v/>
      </c>
    </row>
    <row r="1691">
      <c r="A1691" t="inlineStr">
        <is>
          <t>Новиков</t>
        </is>
      </c>
      <c r="B1691" t="n">
        <v>9</v>
      </c>
      <c r="C1691" s="18">
        <f>'Календарь'!A204</f>
        <v/>
      </c>
      <c r="D1691">
        <f>MONTH(C1691)</f>
        <v/>
      </c>
      <c r="E1691">
        <f>'Календарь'!D204</f>
        <v/>
      </c>
      <c r="F1691">
        <f>INT((C1691-Нед_Начало)/7)+1</f>
        <v/>
      </c>
      <c r="G1691">
        <f>IF(E1691=0,0,INDEX('Планы менеджеров'!$B$5:$M$16,B1691,D1691)/INDEX(Мес_Раб,D1691))</f>
        <v/>
      </c>
    </row>
    <row r="1692">
      <c r="A1692" t="inlineStr">
        <is>
          <t>Новиков</t>
        </is>
      </c>
      <c r="B1692" t="n">
        <v>9</v>
      </c>
      <c r="C1692" s="18">
        <f>'Календарь'!A205</f>
        <v/>
      </c>
      <c r="D1692">
        <f>MONTH(C1692)</f>
        <v/>
      </c>
      <c r="E1692">
        <f>'Календарь'!D205</f>
        <v/>
      </c>
      <c r="F1692">
        <f>INT((C1692-Нед_Начало)/7)+1</f>
        <v/>
      </c>
      <c r="G1692">
        <f>IF(E1692=0,0,INDEX('Планы менеджеров'!$B$5:$M$16,B1692,D1692)/INDEX(Мес_Раб,D1692))</f>
        <v/>
      </c>
    </row>
    <row r="1693">
      <c r="A1693" t="inlineStr">
        <is>
          <t>Новиков</t>
        </is>
      </c>
      <c r="B1693" t="n">
        <v>9</v>
      </c>
      <c r="C1693" s="18">
        <f>'Календарь'!A206</f>
        <v/>
      </c>
      <c r="D1693">
        <f>MONTH(C1693)</f>
        <v/>
      </c>
      <c r="E1693">
        <f>'Календарь'!D206</f>
        <v/>
      </c>
      <c r="F1693">
        <f>INT((C1693-Нед_Начало)/7)+1</f>
        <v/>
      </c>
      <c r="G1693">
        <f>IF(E1693=0,0,INDEX('Планы менеджеров'!$B$5:$M$16,B1693,D1693)/INDEX(Мес_Раб,D1693))</f>
        <v/>
      </c>
    </row>
    <row r="1694">
      <c r="A1694" t="inlineStr">
        <is>
          <t>Новиков</t>
        </is>
      </c>
      <c r="B1694" t="n">
        <v>9</v>
      </c>
      <c r="C1694" s="18">
        <f>'Календарь'!A207</f>
        <v/>
      </c>
      <c r="D1694">
        <f>MONTH(C1694)</f>
        <v/>
      </c>
      <c r="E1694">
        <f>'Календарь'!D207</f>
        <v/>
      </c>
      <c r="F1694">
        <f>INT((C1694-Нед_Начало)/7)+1</f>
        <v/>
      </c>
      <c r="G1694">
        <f>IF(E1694=0,0,INDEX('Планы менеджеров'!$B$5:$M$16,B1694,D1694)/INDEX(Мес_Раб,D1694))</f>
        <v/>
      </c>
    </row>
    <row r="1695">
      <c r="A1695" t="inlineStr">
        <is>
          <t>Новиков</t>
        </is>
      </c>
      <c r="B1695" t="n">
        <v>9</v>
      </c>
      <c r="C1695" s="18">
        <f>'Календарь'!A208</f>
        <v/>
      </c>
      <c r="D1695">
        <f>MONTH(C1695)</f>
        <v/>
      </c>
      <c r="E1695">
        <f>'Календарь'!D208</f>
        <v/>
      </c>
      <c r="F1695">
        <f>INT((C1695-Нед_Начало)/7)+1</f>
        <v/>
      </c>
      <c r="G1695">
        <f>IF(E1695=0,0,INDEX('Планы менеджеров'!$B$5:$M$16,B1695,D1695)/INDEX(Мес_Раб,D1695))</f>
        <v/>
      </c>
    </row>
    <row r="1696">
      <c r="A1696" t="inlineStr">
        <is>
          <t>Новиков</t>
        </is>
      </c>
      <c r="B1696" t="n">
        <v>9</v>
      </c>
      <c r="C1696" s="18">
        <f>'Календарь'!A209</f>
        <v/>
      </c>
      <c r="D1696">
        <f>MONTH(C1696)</f>
        <v/>
      </c>
      <c r="E1696">
        <f>'Календарь'!D209</f>
        <v/>
      </c>
      <c r="F1696">
        <f>INT((C1696-Нед_Начало)/7)+1</f>
        <v/>
      </c>
      <c r="G1696">
        <f>IF(E1696=0,0,INDEX('Планы менеджеров'!$B$5:$M$16,B1696,D1696)/INDEX(Мес_Раб,D1696))</f>
        <v/>
      </c>
    </row>
    <row r="1697">
      <c r="A1697" t="inlineStr">
        <is>
          <t>Новиков</t>
        </is>
      </c>
      <c r="B1697" t="n">
        <v>9</v>
      </c>
      <c r="C1697" s="18">
        <f>'Календарь'!A210</f>
        <v/>
      </c>
      <c r="D1697">
        <f>MONTH(C1697)</f>
        <v/>
      </c>
      <c r="E1697">
        <f>'Календарь'!D210</f>
        <v/>
      </c>
      <c r="F1697">
        <f>INT((C1697-Нед_Начало)/7)+1</f>
        <v/>
      </c>
      <c r="G1697">
        <f>IF(E1697=0,0,INDEX('Планы менеджеров'!$B$5:$M$16,B1697,D1697)/INDEX(Мес_Раб,D1697))</f>
        <v/>
      </c>
    </row>
    <row r="1698">
      <c r="A1698" t="inlineStr">
        <is>
          <t>Новиков</t>
        </is>
      </c>
      <c r="B1698" t="n">
        <v>9</v>
      </c>
      <c r="C1698" s="18">
        <f>'Календарь'!A211</f>
        <v/>
      </c>
      <c r="D1698">
        <f>MONTH(C1698)</f>
        <v/>
      </c>
      <c r="E1698">
        <f>'Календарь'!D211</f>
        <v/>
      </c>
      <c r="F1698">
        <f>INT((C1698-Нед_Начало)/7)+1</f>
        <v/>
      </c>
      <c r="G1698">
        <f>IF(E1698=0,0,INDEX('Планы менеджеров'!$B$5:$M$16,B1698,D1698)/INDEX(Мес_Раб,D1698))</f>
        <v/>
      </c>
    </row>
    <row r="1699">
      <c r="A1699" t="inlineStr">
        <is>
          <t>Новиков</t>
        </is>
      </c>
      <c r="B1699" t="n">
        <v>9</v>
      </c>
      <c r="C1699" s="18">
        <f>'Календарь'!A212</f>
        <v/>
      </c>
      <c r="D1699">
        <f>MONTH(C1699)</f>
        <v/>
      </c>
      <c r="E1699">
        <f>'Календарь'!D212</f>
        <v/>
      </c>
      <c r="F1699">
        <f>INT((C1699-Нед_Начало)/7)+1</f>
        <v/>
      </c>
      <c r="G1699">
        <f>IF(E1699=0,0,INDEX('Планы менеджеров'!$B$5:$M$16,B1699,D1699)/INDEX(Мес_Раб,D1699))</f>
        <v/>
      </c>
    </row>
    <row r="1700">
      <c r="A1700" t="inlineStr">
        <is>
          <t>Новиков</t>
        </is>
      </c>
      <c r="B1700" t="n">
        <v>9</v>
      </c>
      <c r="C1700" s="18">
        <f>'Календарь'!A213</f>
        <v/>
      </c>
      <c r="D1700">
        <f>MONTH(C1700)</f>
        <v/>
      </c>
      <c r="E1700">
        <f>'Календарь'!D213</f>
        <v/>
      </c>
      <c r="F1700">
        <f>INT((C1700-Нед_Начало)/7)+1</f>
        <v/>
      </c>
      <c r="G1700">
        <f>IF(E1700=0,0,INDEX('Планы менеджеров'!$B$5:$M$16,B1700,D1700)/INDEX(Мес_Раб,D1700))</f>
        <v/>
      </c>
    </row>
    <row r="1701">
      <c r="A1701" t="inlineStr">
        <is>
          <t>Новиков</t>
        </is>
      </c>
      <c r="B1701" t="n">
        <v>9</v>
      </c>
      <c r="C1701" s="18">
        <f>'Календарь'!A214</f>
        <v/>
      </c>
      <c r="D1701">
        <f>MONTH(C1701)</f>
        <v/>
      </c>
      <c r="E1701">
        <f>'Календарь'!D214</f>
        <v/>
      </c>
      <c r="F1701">
        <f>INT((C1701-Нед_Начало)/7)+1</f>
        <v/>
      </c>
      <c r="G1701">
        <f>IF(E1701=0,0,INDEX('Планы менеджеров'!$B$5:$M$16,B1701,D1701)/INDEX(Мес_Раб,D1701))</f>
        <v/>
      </c>
    </row>
    <row r="1702">
      <c r="A1702" t="inlineStr">
        <is>
          <t>Новиков</t>
        </is>
      </c>
      <c r="B1702" t="n">
        <v>9</v>
      </c>
      <c r="C1702" s="18">
        <f>'Календарь'!A215</f>
        <v/>
      </c>
      <c r="D1702">
        <f>MONTH(C1702)</f>
        <v/>
      </c>
      <c r="E1702">
        <f>'Календарь'!D215</f>
        <v/>
      </c>
      <c r="F1702">
        <f>INT((C1702-Нед_Начало)/7)+1</f>
        <v/>
      </c>
      <c r="G1702">
        <f>IF(E1702=0,0,INDEX('Планы менеджеров'!$B$5:$M$16,B1702,D1702)/INDEX(Мес_Раб,D1702))</f>
        <v/>
      </c>
    </row>
    <row r="1703">
      <c r="A1703" t="inlineStr">
        <is>
          <t>Новиков</t>
        </is>
      </c>
      <c r="B1703" t="n">
        <v>9</v>
      </c>
      <c r="C1703" s="18">
        <f>'Календарь'!A216</f>
        <v/>
      </c>
      <c r="D1703">
        <f>MONTH(C1703)</f>
        <v/>
      </c>
      <c r="E1703">
        <f>'Календарь'!D216</f>
        <v/>
      </c>
      <c r="F1703">
        <f>INT((C1703-Нед_Начало)/7)+1</f>
        <v/>
      </c>
      <c r="G1703">
        <f>IF(E1703=0,0,INDEX('Планы менеджеров'!$B$5:$M$16,B1703,D1703)/INDEX(Мес_Раб,D1703))</f>
        <v/>
      </c>
    </row>
    <row r="1704">
      <c r="A1704" t="inlineStr">
        <is>
          <t>Новиков</t>
        </is>
      </c>
      <c r="B1704" t="n">
        <v>9</v>
      </c>
      <c r="C1704" s="18">
        <f>'Календарь'!A217</f>
        <v/>
      </c>
      <c r="D1704">
        <f>MONTH(C1704)</f>
        <v/>
      </c>
      <c r="E1704">
        <f>'Календарь'!D217</f>
        <v/>
      </c>
      <c r="F1704">
        <f>INT((C1704-Нед_Начало)/7)+1</f>
        <v/>
      </c>
      <c r="G1704">
        <f>IF(E1704=0,0,INDEX('Планы менеджеров'!$B$5:$M$16,B1704,D1704)/INDEX(Мес_Раб,D1704))</f>
        <v/>
      </c>
    </row>
    <row r="1705">
      <c r="A1705" t="inlineStr">
        <is>
          <t>Новиков</t>
        </is>
      </c>
      <c r="B1705" t="n">
        <v>9</v>
      </c>
      <c r="C1705" s="18">
        <f>'Календарь'!A218</f>
        <v/>
      </c>
      <c r="D1705">
        <f>MONTH(C1705)</f>
        <v/>
      </c>
      <c r="E1705">
        <f>'Календарь'!D218</f>
        <v/>
      </c>
      <c r="F1705">
        <f>INT((C1705-Нед_Начало)/7)+1</f>
        <v/>
      </c>
      <c r="G1705">
        <f>IF(E1705=0,0,INDEX('Планы менеджеров'!$B$5:$M$16,B1705,D1705)/INDEX(Мес_Раб,D1705))</f>
        <v/>
      </c>
    </row>
    <row r="1706">
      <c r="A1706" t="inlineStr">
        <is>
          <t>Новиков</t>
        </is>
      </c>
      <c r="B1706" t="n">
        <v>9</v>
      </c>
      <c r="C1706" s="18">
        <f>'Календарь'!A219</f>
        <v/>
      </c>
      <c r="D1706">
        <f>MONTH(C1706)</f>
        <v/>
      </c>
      <c r="E1706">
        <f>'Календарь'!D219</f>
        <v/>
      </c>
      <c r="F1706">
        <f>INT((C1706-Нед_Начало)/7)+1</f>
        <v/>
      </c>
      <c r="G1706">
        <f>IF(E1706=0,0,INDEX('Планы менеджеров'!$B$5:$M$16,B1706,D1706)/INDEX(Мес_Раб,D1706))</f>
        <v/>
      </c>
    </row>
    <row r="1707">
      <c r="A1707" t="inlineStr">
        <is>
          <t>Новиков</t>
        </is>
      </c>
      <c r="B1707" t="n">
        <v>9</v>
      </c>
      <c r="C1707" s="18">
        <f>'Календарь'!A220</f>
        <v/>
      </c>
      <c r="D1707">
        <f>MONTH(C1707)</f>
        <v/>
      </c>
      <c r="E1707">
        <f>'Календарь'!D220</f>
        <v/>
      </c>
      <c r="F1707">
        <f>INT((C1707-Нед_Начало)/7)+1</f>
        <v/>
      </c>
      <c r="G1707">
        <f>IF(E1707=0,0,INDEX('Планы менеджеров'!$B$5:$M$16,B1707,D1707)/INDEX(Мес_Раб,D1707))</f>
        <v/>
      </c>
    </row>
    <row r="1708">
      <c r="A1708" t="inlineStr">
        <is>
          <t>Новиков</t>
        </is>
      </c>
      <c r="B1708" t="n">
        <v>9</v>
      </c>
      <c r="C1708" s="18">
        <f>'Календарь'!A221</f>
        <v/>
      </c>
      <c r="D1708">
        <f>MONTH(C1708)</f>
        <v/>
      </c>
      <c r="E1708">
        <f>'Календарь'!D221</f>
        <v/>
      </c>
      <c r="F1708">
        <f>INT((C1708-Нед_Начало)/7)+1</f>
        <v/>
      </c>
      <c r="G1708">
        <f>IF(E1708=0,0,INDEX('Планы менеджеров'!$B$5:$M$16,B1708,D1708)/INDEX(Мес_Раб,D1708))</f>
        <v/>
      </c>
    </row>
    <row r="1709">
      <c r="A1709" t="inlineStr">
        <is>
          <t>Новиков</t>
        </is>
      </c>
      <c r="B1709" t="n">
        <v>9</v>
      </c>
      <c r="C1709" s="18">
        <f>'Календарь'!A222</f>
        <v/>
      </c>
      <c r="D1709">
        <f>MONTH(C1709)</f>
        <v/>
      </c>
      <c r="E1709">
        <f>'Календарь'!D222</f>
        <v/>
      </c>
      <c r="F1709">
        <f>INT((C1709-Нед_Начало)/7)+1</f>
        <v/>
      </c>
      <c r="G1709">
        <f>IF(E1709=0,0,INDEX('Планы менеджеров'!$B$5:$M$16,B1709,D1709)/INDEX(Мес_Раб,D1709))</f>
        <v/>
      </c>
    </row>
    <row r="1710">
      <c r="A1710" t="inlineStr">
        <is>
          <t>Новиков</t>
        </is>
      </c>
      <c r="B1710" t="n">
        <v>9</v>
      </c>
      <c r="C1710" s="18">
        <f>'Календарь'!A223</f>
        <v/>
      </c>
      <c r="D1710">
        <f>MONTH(C1710)</f>
        <v/>
      </c>
      <c r="E1710">
        <f>'Календарь'!D223</f>
        <v/>
      </c>
      <c r="F1710">
        <f>INT((C1710-Нед_Начало)/7)+1</f>
        <v/>
      </c>
      <c r="G1710">
        <f>IF(E1710=0,0,INDEX('Планы менеджеров'!$B$5:$M$16,B1710,D1710)/INDEX(Мес_Раб,D1710))</f>
        <v/>
      </c>
    </row>
    <row r="1711">
      <c r="A1711" t="inlineStr">
        <is>
          <t>Новиков</t>
        </is>
      </c>
      <c r="B1711" t="n">
        <v>9</v>
      </c>
      <c r="C1711" s="18">
        <f>'Календарь'!A224</f>
        <v/>
      </c>
      <c r="D1711">
        <f>MONTH(C1711)</f>
        <v/>
      </c>
      <c r="E1711">
        <f>'Календарь'!D224</f>
        <v/>
      </c>
      <c r="F1711">
        <f>INT((C1711-Нед_Начало)/7)+1</f>
        <v/>
      </c>
      <c r="G1711">
        <f>IF(E1711=0,0,INDEX('Планы менеджеров'!$B$5:$M$16,B1711,D1711)/INDEX(Мес_Раб,D1711))</f>
        <v/>
      </c>
    </row>
    <row r="1712">
      <c r="A1712" t="inlineStr">
        <is>
          <t>Новиков</t>
        </is>
      </c>
      <c r="B1712" t="n">
        <v>9</v>
      </c>
      <c r="C1712" s="18">
        <f>'Календарь'!A225</f>
        <v/>
      </c>
      <c r="D1712">
        <f>MONTH(C1712)</f>
        <v/>
      </c>
      <c r="E1712">
        <f>'Календарь'!D225</f>
        <v/>
      </c>
      <c r="F1712">
        <f>INT((C1712-Нед_Начало)/7)+1</f>
        <v/>
      </c>
      <c r="G1712">
        <f>IF(E1712=0,0,INDEX('Планы менеджеров'!$B$5:$M$16,B1712,D1712)/INDEX(Мес_Раб,D1712))</f>
        <v/>
      </c>
    </row>
    <row r="1713">
      <c r="A1713" t="inlineStr">
        <is>
          <t>Новиков</t>
        </is>
      </c>
      <c r="B1713" t="n">
        <v>9</v>
      </c>
      <c r="C1713" s="18">
        <f>'Календарь'!A226</f>
        <v/>
      </c>
      <c r="D1713">
        <f>MONTH(C1713)</f>
        <v/>
      </c>
      <c r="E1713">
        <f>'Календарь'!D226</f>
        <v/>
      </c>
      <c r="F1713">
        <f>INT((C1713-Нед_Начало)/7)+1</f>
        <v/>
      </c>
      <c r="G1713">
        <f>IF(E1713=0,0,INDEX('Планы менеджеров'!$B$5:$M$16,B1713,D1713)/INDEX(Мес_Раб,D1713))</f>
        <v/>
      </c>
    </row>
    <row r="1714">
      <c r="A1714" t="inlineStr">
        <is>
          <t>Новиков</t>
        </is>
      </c>
      <c r="B1714" t="n">
        <v>9</v>
      </c>
      <c r="C1714" s="18">
        <f>'Календарь'!A227</f>
        <v/>
      </c>
      <c r="D1714">
        <f>MONTH(C1714)</f>
        <v/>
      </c>
      <c r="E1714">
        <f>'Календарь'!D227</f>
        <v/>
      </c>
      <c r="F1714">
        <f>INT((C1714-Нед_Начало)/7)+1</f>
        <v/>
      </c>
      <c r="G1714">
        <f>IF(E1714=0,0,INDEX('Планы менеджеров'!$B$5:$M$16,B1714,D1714)/INDEX(Мес_Раб,D1714))</f>
        <v/>
      </c>
    </row>
    <row r="1715">
      <c r="A1715" t="inlineStr">
        <is>
          <t>Новиков</t>
        </is>
      </c>
      <c r="B1715" t="n">
        <v>9</v>
      </c>
      <c r="C1715" s="18">
        <f>'Календарь'!A228</f>
        <v/>
      </c>
      <c r="D1715">
        <f>MONTH(C1715)</f>
        <v/>
      </c>
      <c r="E1715">
        <f>'Календарь'!D228</f>
        <v/>
      </c>
      <c r="F1715">
        <f>INT((C1715-Нед_Начало)/7)+1</f>
        <v/>
      </c>
      <c r="G1715">
        <f>IF(E1715=0,0,INDEX('Планы менеджеров'!$B$5:$M$16,B1715,D1715)/INDEX(Мес_Раб,D1715))</f>
        <v/>
      </c>
    </row>
    <row r="1716">
      <c r="A1716" t="inlineStr">
        <is>
          <t>Новиков</t>
        </is>
      </c>
      <c r="B1716" t="n">
        <v>9</v>
      </c>
      <c r="C1716" s="18">
        <f>'Календарь'!A229</f>
        <v/>
      </c>
      <c r="D1716">
        <f>MONTH(C1716)</f>
        <v/>
      </c>
      <c r="E1716">
        <f>'Календарь'!D229</f>
        <v/>
      </c>
      <c r="F1716">
        <f>INT((C1716-Нед_Начало)/7)+1</f>
        <v/>
      </c>
      <c r="G1716">
        <f>IF(E1716=0,0,INDEX('Планы менеджеров'!$B$5:$M$16,B1716,D1716)/INDEX(Мес_Раб,D1716))</f>
        <v/>
      </c>
    </row>
    <row r="1717">
      <c r="A1717" t="inlineStr">
        <is>
          <t>Новиков</t>
        </is>
      </c>
      <c r="B1717" t="n">
        <v>9</v>
      </c>
      <c r="C1717" s="18">
        <f>'Календарь'!A230</f>
        <v/>
      </c>
      <c r="D1717">
        <f>MONTH(C1717)</f>
        <v/>
      </c>
      <c r="E1717">
        <f>'Календарь'!D230</f>
        <v/>
      </c>
      <c r="F1717">
        <f>INT((C1717-Нед_Начало)/7)+1</f>
        <v/>
      </c>
      <c r="G1717">
        <f>IF(E1717=0,0,INDEX('Планы менеджеров'!$B$5:$M$16,B1717,D1717)/INDEX(Мес_Раб,D1717))</f>
        <v/>
      </c>
    </row>
    <row r="1718">
      <c r="A1718" t="inlineStr">
        <is>
          <t>Новиков</t>
        </is>
      </c>
      <c r="B1718" t="n">
        <v>9</v>
      </c>
      <c r="C1718" s="18">
        <f>'Календарь'!A231</f>
        <v/>
      </c>
      <c r="D1718">
        <f>MONTH(C1718)</f>
        <v/>
      </c>
      <c r="E1718">
        <f>'Календарь'!D231</f>
        <v/>
      </c>
      <c r="F1718">
        <f>INT((C1718-Нед_Начало)/7)+1</f>
        <v/>
      </c>
      <c r="G1718">
        <f>IF(E1718=0,0,INDEX('Планы менеджеров'!$B$5:$M$16,B1718,D1718)/INDEX(Мес_Раб,D1718))</f>
        <v/>
      </c>
    </row>
    <row r="1719">
      <c r="A1719" t="inlineStr">
        <is>
          <t>Новиков</t>
        </is>
      </c>
      <c r="B1719" t="n">
        <v>9</v>
      </c>
      <c r="C1719" s="18">
        <f>'Календарь'!A232</f>
        <v/>
      </c>
      <c r="D1719">
        <f>MONTH(C1719)</f>
        <v/>
      </c>
      <c r="E1719">
        <f>'Календарь'!D232</f>
        <v/>
      </c>
      <c r="F1719">
        <f>INT((C1719-Нед_Начало)/7)+1</f>
        <v/>
      </c>
      <c r="G1719">
        <f>IF(E1719=0,0,INDEX('Планы менеджеров'!$B$5:$M$16,B1719,D1719)/INDEX(Мес_Раб,D1719))</f>
        <v/>
      </c>
    </row>
    <row r="1720">
      <c r="A1720" t="inlineStr">
        <is>
          <t>Новиков</t>
        </is>
      </c>
      <c r="B1720" t="n">
        <v>9</v>
      </c>
      <c r="C1720" s="18">
        <f>'Календарь'!A233</f>
        <v/>
      </c>
      <c r="D1720">
        <f>MONTH(C1720)</f>
        <v/>
      </c>
      <c r="E1720">
        <f>'Календарь'!D233</f>
        <v/>
      </c>
      <c r="F1720">
        <f>INT((C1720-Нед_Начало)/7)+1</f>
        <v/>
      </c>
      <c r="G1720">
        <f>IF(E1720=0,0,INDEX('Планы менеджеров'!$B$5:$M$16,B1720,D1720)/INDEX(Мес_Раб,D1720))</f>
        <v/>
      </c>
    </row>
    <row r="1721">
      <c r="A1721" t="inlineStr">
        <is>
          <t>Новиков</t>
        </is>
      </c>
      <c r="B1721" t="n">
        <v>9</v>
      </c>
      <c r="C1721" s="18">
        <f>'Календарь'!A234</f>
        <v/>
      </c>
      <c r="D1721">
        <f>MONTH(C1721)</f>
        <v/>
      </c>
      <c r="E1721">
        <f>'Календарь'!D234</f>
        <v/>
      </c>
      <c r="F1721">
        <f>INT((C1721-Нед_Начало)/7)+1</f>
        <v/>
      </c>
      <c r="G1721">
        <f>IF(E1721=0,0,INDEX('Планы менеджеров'!$B$5:$M$16,B1721,D1721)/INDEX(Мес_Раб,D1721))</f>
        <v/>
      </c>
    </row>
    <row r="1722">
      <c r="A1722" t="inlineStr">
        <is>
          <t>Новиков</t>
        </is>
      </c>
      <c r="B1722" t="n">
        <v>9</v>
      </c>
      <c r="C1722" s="18">
        <f>'Календарь'!A235</f>
        <v/>
      </c>
      <c r="D1722">
        <f>MONTH(C1722)</f>
        <v/>
      </c>
      <c r="E1722">
        <f>'Календарь'!D235</f>
        <v/>
      </c>
      <c r="F1722">
        <f>INT((C1722-Нед_Начало)/7)+1</f>
        <v/>
      </c>
      <c r="G1722">
        <f>IF(E1722=0,0,INDEX('Планы менеджеров'!$B$5:$M$16,B1722,D1722)/INDEX(Мес_Раб,D1722))</f>
        <v/>
      </c>
    </row>
    <row r="1723">
      <c r="A1723" t="inlineStr">
        <is>
          <t>Новиков</t>
        </is>
      </c>
      <c r="B1723" t="n">
        <v>9</v>
      </c>
      <c r="C1723" s="18">
        <f>'Календарь'!A236</f>
        <v/>
      </c>
      <c r="D1723">
        <f>MONTH(C1723)</f>
        <v/>
      </c>
      <c r="E1723">
        <f>'Календарь'!D236</f>
        <v/>
      </c>
      <c r="F1723">
        <f>INT((C1723-Нед_Начало)/7)+1</f>
        <v/>
      </c>
      <c r="G1723">
        <f>IF(E1723=0,0,INDEX('Планы менеджеров'!$B$5:$M$16,B1723,D1723)/INDEX(Мес_Раб,D1723))</f>
        <v/>
      </c>
    </row>
    <row r="1724">
      <c r="A1724" t="inlineStr">
        <is>
          <t>Новиков</t>
        </is>
      </c>
      <c r="B1724" t="n">
        <v>9</v>
      </c>
      <c r="C1724" s="18">
        <f>'Календарь'!A237</f>
        <v/>
      </c>
      <c r="D1724">
        <f>MONTH(C1724)</f>
        <v/>
      </c>
      <c r="E1724">
        <f>'Календарь'!D237</f>
        <v/>
      </c>
      <c r="F1724">
        <f>INT((C1724-Нед_Начало)/7)+1</f>
        <v/>
      </c>
      <c r="G1724">
        <f>IF(E1724=0,0,INDEX('Планы менеджеров'!$B$5:$M$16,B1724,D1724)/INDEX(Мес_Раб,D1724))</f>
        <v/>
      </c>
    </row>
    <row r="1725">
      <c r="A1725" t="inlineStr">
        <is>
          <t>Новиков</t>
        </is>
      </c>
      <c r="B1725" t="n">
        <v>9</v>
      </c>
      <c r="C1725" s="18">
        <f>'Календарь'!A238</f>
        <v/>
      </c>
      <c r="D1725">
        <f>MONTH(C1725)</f>
        <v/>
      </c>
      <c r="E1725">
        <f>'Календарь'!D238</f>
        <v/>
      </c>
      <c r="F1725">
        <f>INT((C1725-Нед_Начало)/7)+1</f>
        <v/>
      </c>
      <c r="G1725">
        <f>IF(E1725=0,0,INDEX('Планы менеджеров'!$B$5:$M$16,B1725,D1725)/INDEX(Мес_Раб,D1725))</f>
        <v/>
      </c>
    </row>
    <row r="1726">
      <c r="A1726" t="inlineStr">
        <is>
          <t>Новиков</t>
        </is>
      </c>
      <c r="B1726" t="n">
        <v>9</v>
      </c>
      <c r="C1726" s="18">
        <f>'Календарь'!A239</f>
        <v/>
      </c>
      <c r="D1726">
        <f>MONTH(C1726)</f>
        <v/>
      </c>
      <c r="E1726">
        <f>'Календарь'!D239</f>
        <v/>
      </c>
      <c r="F1726">
        <f>INT((C1726-Нед_Начало)/7)+1</f>
        <v/>
      </c>
      <c r="G1726">
        <f>IF(E1726=0,0,INDEX('Планы менеджеров'!$B$5:$M$16,B1726,D1726)/INDEX(Мес_Раб,D1726))</f>
        <v/>
      </c>
    </row>
    <row r="1727">
      <c r="A1727" t="inlineStr">
        <is>
          <t>Новиков</t>
        </is>
      </c>
      <c r="B1727" t="n">
        <v>9</v>
      </c>
      <c r="C1727" s="18">
        <f>'Календарь'!A240</f>
        <v/>
      </c>
      <c r="D1727">
        <f>MONTH(C1727)</f>
        <v/>
      </c>
      <c r="E1727">
        <f>'Календарь'!D240</f>
        <v/>
      </c>
      <c r="F1727">
        <f>INT((C1727-Нед_Начало)/7)+1</f>
        <v/>
      </c>
      <c r="G1727">
        <f>IF(E1727=0,0,INDEX('Планы менеджеров'!$B$5:$M$16,B1727,D1727)/INDEX(Мес_Раб,D1727))</f>
        <v/>
      </c>
    </row>
    <row r="1728">
      <c r="A1728" t="inlineStr">
        <is>
          <t>Новиков</t>
        </is>
      </c>
      <c r="B1728" t="n">
        <v>9</v>
      </c>
      <c r="C1728" s="18">
        <f>'Календарь'!A241</f>
        <v/>
      </c>
      <c r="D1728">
        <f>MONTH(C1728)</f>
        <v/>
      </c>
      <c r="E1728">
        <f>'Календарь'!D241</f>
        <v/>
      </c>
      <c r="F1728">
        <f>INT((C1728-Нед_Начало)/7)+1</f>
        <v/>
      </c>
      <c r="G1728">
        <f>IF(E1728=0,0,INDEX('Планы менеджеров'!$B$5:$M$16,B1728,D1728)/INDEX(Мес_Раб,D1728))</f>
        <v/>
      </c>
    </row>
    <row r="1729">
      <c r="A1729" t="inlineStr">
        <is>
          <t>Новиков</t>
        </is>
      </c>
      <c r="B1729" t="n">
        <v>9</v>
      </c>
      <c r="C1729" s="18">
        <f>'Календарь'!A242</f>
        <v/>
      </c>
      <c r="D1729">
        <f>MONTH(C1729)</f>
        <v/>
      </c>
      <c r="E1729">
        <f>'Календарь'!D242</f>
        <v/>
      </c>
      <c r="F1729">
        <f>INT((C1729-Нед_Начало)/7)+1</f>
        <v/>
      </c>
      <c r="G1729">
        <f>IF(E1729=0,0,INDEX('Планы менеджеров'!$B$5:$M$16,B1729,D1729)/INDEX(Мес_Раб,D1729))</f>
        <v/>
      </c>
    </row>
    <row r="1730">
      <c r="A1730" t="inlineStr">
        <is>
          <t>Новиков</t>
        </is>
      </c>
      <c r="B1730" t="n">
        <v>9</v>
      </c>
      <c r="C1730" s="18">
        <f>'Календарь'!A243</f>
        <v/>
      </c>
      <c r="D1730">
        <f>MONTH(C1730)</f>
        <v/>
      </c>
      <c r="E1730">
        <f>'Календарь'!D243</f>
        <v/>
      </c>
      <c r="F1730">
        <f>INT((C1730-Нед_Начало)/7)+1</f>
        <v/>
      </c>
      <c r="G1730">
        <f>IF(E1730=0,0,INDEX('Планы менеджеров'!$B$5:$M$16,B1730,D1730)/INDEX(Мес_Раб,D1730))</f>
        <v/>
      </c>
    </row>
    <row r="1731">
      <c r="A1731" t="inlineStr">
        <is>
          <t>Новиков</t>
        </is>
      </c>
      <c r="B1731" t="n">
        <v>9</v>
      </c>
      <c r="C1731" s="18">
        <f>'Календарь'!A244</f>
        <v/>
      </c>
      <c r="D1731">
        <f>MONTH(C1731)</f>
        <v/>
      </c>
      <c r="E1731">
        <f>'Календарь'!D244</f>
        <v/>
      </c>
      <c r="F1731">
        <f>INT((C1731-Нед_Начало)/7)+1</f>
        <v/>
      </c>
      <c r="G1731">
        <f>IF(E1731=0,0,INDEX('Планы менеджеров'!$B$5:$M$16,B1731,D1731)/INDEX(Мес_Раб,D1731))</f>
        <v/>
      </c>
    </row>
    <row r="1732">
      <c r="A1732" t="inlineStr">
        <is>
          <t>Новиков</t>
        </is>
      </c>
      <c r="B1732" t="n">
        <v>9</v>
      </c>
      <c r="C1732" s="18">
        <f>'Календарь'!A245</f>
        <v/>
      </c>
      <c r="D1732">
        <f>MONTH(C1732)</f>
        <v/>
      </c>
      <c r="E1732">
        <f>'Календарь'!D245</f>
        <v/>
      </c>
      <c r="F1732">
        <f>INT((C1732-Нед_Начало)/7)+1</f>
        <v/>
      </c>
      <c r="G1732">
        <f>IF(E1732=0,0,INDEX('Планы менеджеров'!$B$5:$M$16,B1732,D1732)/INDEX(Мес_Раб,D1732))</f>
        <v/>
      </c>
    </row>
    <row r="1733">
      <c r="A1733" t="inlineStr">
        <is>
          <t>Новиков</t>
        </is>
      </c>
      <c r="B1733" t="n">
        <v>9</v>
      </c>
      <c r="C1733" s="18">
        <f>'Календарь'!A246</f>
        <v/>
      </c>
      <c r="D1733">
        <f>MONTH(C1733)</f>
        <v/>
      </c>
      <c r="E1733">
        <f>'Календарь'!D246</f>
        <v/>
      </c>
      <c r="F1733">
        <f>INT((C1733-Нед_Начало)/7)+1</f>
        <v/>
      </c>
      <c r="G1733">
        <f>IF(E1733=0,0,INDEX('Планы менеджеров'!$B$5:$M$16,B1733,D1733)/INDEX(Мес_Раб,D1733))</f>
        <v/>
      </c>
    </row>
    <row r="1734">
      <c r="A1734" t="inlineStr">
        <is>
          <t>Новиков</t>
        </is>
      </c>
      <c r="B1734" t="n">
        <v>9</v>
      </c>
      <c r="C1734" s="18">
        <f>'Календарь'!A247</f>
        <v/>
      </c>
      <c r="D1734">
        <f>MONTH(C1734)</f>
        <v/>
      </c>
      <c r="E1734">
        <f>'Календарь'!D247</f>
        <v/>
      </c>
      <c r="F1734">
        <f>INT((C1734-Нед_Начало)/7)+1</f>
        <v/>
      </c>
      <c r="G1734">
        <f>IF(E1734=0,0,INDEX('Планы менеджеров'!$B$5:$M$16,B1734,D1734)/INDEX(Мес_Раб,D1734))</f>
        <v/>
      </c>
    </row>
    <row r="1735">
      <c r="A1735" t="inlineStr">
        <is>
          <t>Новиков</t>
        </is>
      </c>
      <c r="B1735" t="n">
        <v>9</v>
      </c>
      <c r="C1735" s="18">
        <f>'Календарь'!A248</f>
        <v/>
      </c>
      <c r="D1735">
        <f>MONTH(C1735)</f>
        <v/>
      </c>
      <c r="E1735">
        <f>'Календарь'!D248</f>
        <v/>
      </c>
      <c r="F1735">
        <f>INT((C1735-Нед_Начало)/7)+1</f>
        <v/>
      </c>
      <c r="G1735">
        <f>IF(E1735=0,0,INDEX('Планы менеджеров'!$B$5:$M$16,B1735,D1735)/INDEX(Мес_Раб,D1735))</f>
        <v/>
      </c>
    </row>
    <row r="1736">
      <c r="A1736" t="inlineStr">
        <is>
          <t>Новиков</t>
        </is>
      </c>
      <c r="B1736" t="n">
        <v>9</v>
      </c>
      <c r="C1736" s="18">
        <f>'Календарь'!A249</f>
        <v/>
      </c>
      <c r="D1736">
        <f>MONTH(C1736)</f>
        <v/>
      </c>
      <c r="E1736">
        <f>'Календарь'!D249</f>
        <v/>
      </c>
      <c r="F1736">
        <f>INT((C1736-Нед_Начало)/7)+1</f>
        <v/>
      </c>
      <c r="G1736">
        <f>IF(E1736=0,0,INDEX('Планы менеджеров'!$B$5:$M$16,B1736,D1736)/INDEX(Мес_Раб,D1736))</f>
        <v/>
      </c>
    </row>
    <row r="1737">
      <c r="A1737" t="inlineStr">
        <is>
          <t>Новиков</t>
        </is>
      </c>
      <c r="B1737" t="n">
        <v>9</v>
      </c>
      <c r="C1737" s="18">
        <f>'Календарь'!A250</f>
        <v/>
      </c>
      <c r="D1737">
        <f>MONTH(C1737)</f>
        <v/>
      </c>
      <c r="E1737">
        <f>'Календарь'!D250</f>
        <v/>
      </c>
      <c r="F1737">
        <f>INT((C1737-Нед_Начало)/7)+1</f>
        <v/>
      </c>
      <c r="G1737">
        <f>IF(E1737=0,0,INDEX('Планы менеджеров'!$B$5:$M$16,B1737,D1737)/INDEX(Мес_Раб,D1737))</f>
        <v/>
      </c>
    </row>
    <row r="1738">
      <c r="A1738" t="inlineStr">
        <is>
          <t>Новиков</t>
        </is>
      </c>
      <c r="B1738" t="n">
        <v>9</v>
      </c>
      <c r="C1738" s="18">
        <f>'Календарь'!A251</f>
        <v/>
      </c>
      <c r="D1738">
        <f>MONTH(C1738)</f>
        <v/>
      </c>
      <c r="E1738">
        <f>'Календарь'!D251</f>
        <v/>
      </c>
      <c r="F1738">
        <f>INT((C1738-Нед_Начало)/7)+1</f>
        <v/>
      </c>
      <c r="G1738">
        <f>IF(E1738=0,0,INDEX('Планы менеджеров'!$B$5:$M$16,B1738,D1738)/INDEX(Мес_Раб,D1738))</f>
        <v/>
      </c>
    </row>
    <row r="1739">
      <c r="A1739" t="inlineStr">
        <is>
          <t>Новиков</t>
        </is>
      </c>
      <c r="B1739" t="n">
        <v>9</v>
      </c>
      <c r="C1739" s="18">
        <f>'Календарь'!A252</f>
        <v/>
      </c>
      <c r="D1739">
        <f>MONTH(C1739)</f>
        <v/>
      </c>
      <c r="E1739">
        <f>'Календарь'!D252</f>
        <v/>
      </c>
      <c r="F1739">
        <f>INT((C1739-Нед_Начало)/7)+1</f>
        <v/>
      </c>
      <c r="G1739">
        <f>IF(E1739=0,0,INDEX('Планы менеджеров'!$B$5:$M$16,B1739,D1739)/INDEX(Мес_Раб,D1739))</f>
        <v/>
      </c>
    </row>
    <row r="1740">
      <c r="A1740" t="inlineStr">
        <is>
          <t>Новиков</t>
        </is>
      </c>
      <c r="B1740" t="n">
        <v>9</v>
      </c>
      <c r="C1740" s="18">
        <f>'Календарь'!A253</f>
        <v/>
      </c>
      <c r="D1740">
        <f>MONTH(C1740)</f>
        <v/>
      </c>
      <c r="E1740">
        <f>'Календарь'!D253</f>
        <v/>
      </c>
      <c r="F1740">
        <f>INT((C1740-Нед_Начало)/7)+1</f>
        <v/>
      </c>
      <c r="G1740">
        <f>IF(E1740=0,0,INDEX('Планы менеджеров'!$B$5:$M$16,B1740,D1740)/INDEX(Мес_Раб,D1740))</f>
        <v/>
      </c>
    </row>
    <row r="1741">
      <c r="A1741" t="inlineStr">
        <is>
          <t>Новиков</t>
        </is>
      </c>
      <c r="B1741" t="n">
        <v>9</v>
      </c>
      <c r="C1741" s="18">
        <f>'Календарь'!A254</f>
        <v/>
      </c>
      <c r="D1741">
        <f>MONTH(C1741)</f>
        <v/>
      </c>
      <c r="E1741">
        <f>'Календарь'!D254</f>
        <v/>
      </c>
      <c r="F1741">
        <f>INT((C1741-Нед_Начало)/7)+1</f>
        <v/>
      </c>
      <c r="G1741">
        <f>IF(E1741=0,0,INDEX('Планы менеджеров'!$B$5:$M$16,B1741,D1741)/INDEX(Мес_Раб,D1741))</f>
        <v/>
      </c>
    </row>
    <row r="1742">
      <c r="A1742" t="inlineStr">
        <is>
          <t>Новиков</t>
        </is>
      </c>
      <c r="B1742" t="n">
        <v>9</v>
      </c>
      <c r="C1742" s="18">
        <f>'Календарь'!A255</f>
        <v/>
      </c>
      <c r="D1742">
        <f>MONTH(C1742)</f>
        <v/>
      </c>
      <c r="E1742">
        <f>'Календарь'!D255</f>
        <v/>
      </c>
      <c r="F1742">
        <f>INT((C1742-Нед_Начало)/7)+1</f>
        <v/>
      </c>
      <c r="G1742">
        <f>IF(E1742=0,0,INDEX('Планы менеджеров'!$B$5:$M$16,B1742,D1742)/INDEX(Мес_Раб,D1742))</f>
        <v/>
      </c>
    </row>
    <row r="1743">
      <c r="A1743" t="inlineStr">
        <is>
          <t>Новиков</t>
        </is>
      </c>
      <c r="B1743" t="n">
        <v>9</v>
      </c>
      <c r="C1743" s="18">
        <f>'Календарь'!A256</f>
        <v/>
      </c>
      <c r="D1743">
        <f>MONTH(C1743)</f>
        <v/>
      </c>
      <c r="E1743">
        <f>'Календарь'!D256</f>
        <v/>
      </c>
      <c r="F1743">
        <f>INT((C1743-Нед_Начало)/7)+1</f>
        <v/>
      </c>
      <c r="G1743">
        <f>IF(E1743=0,0,INDEX('Планы менеджеров'!$B$5:$M$16,B1743,D1743)/INDEX(Мес_Раб,D1743))</f>
        <v/>
      </c>
    </row>
    <row r="1744">
      <c r="A1744" t="inlineStr">
        <is>
          <t>Новиков</t>
        </is>
      </c>
      <c r="B1744" t="n">
        <v>9</v>
      </c>
      <c r="C1744" s="18">
        <f>'Календарь'!A257</f>
        <v/>
      </c>
      <c r="D1744">
        <f>MONTH(C1744)</f>
        <v/>
      </c>
      <c r="E1744">
        <f>'Календарь'!D257</f>
        <v/>
      </c>
      <c r="F1744">
        <f>INT((C1744-Нед_Начало)/7)+1</f>
        <v/>
      </c>
      <c r="G1744">
        <f>IF(E1744=0,0,INDEX('Планы менеджеров'!$B$5:$M$16,B1744,D1744)/INDEX(Мес_Раб,D1744))</f>
        <v/>
      </c>
    </row>
    <row r="1745">
      <c r="A1745" t="inlineStr">
        <is>
          <t>Новиков</t>
        </is>
      </c>
      <c r="B1745" t="n">
        <v>9</v>
      </c>
      <c r="C1745" s="18">
        <f>'Календарь'!A258</f>
        <v/>
      </c>
      <c r="D1745">
        <f>MONTH(C1745)</f>
        <v/>
      </c>
      <c r="E1745">
        <f>'Календарь'!D258</f>
        <v/>
      </c>
      <c r="F1745">
        <f>INT((C1745-Нед_Начало)/7)+1</f>
        <v/>
      </c>
      <c r="G1745">
        <f>IF(E1745=0,0,INDEX('Планы менеджеров'!$B$5:$M$16,B1745,D1745)/INDEX(Мес_Раб,D1745))</f>
        <v/>
      </c>
    </row>
    <row r="1746">
      <c r="A1746" t="inlineStr">
        <is>
          <t>Новиков</t>
        </is>
      </c>
      <c r="B1746" t="n">
        <v>9</v>
      </c>
      <c r="C1746" s="18">
        <f>'Календарь'!A259</f>
        <v/>
      </c>
      <c r="D1746">
        <f>MONTH(C1746)</f>
        <v/>
      </c>
      <c r="E1746">
        <f>'Календарь'!D259</f>
        <v/>
      </c>
      <c r="F1746">
        <f>INT((C1746-Нед_Начало)/7)+1</f>
        <v/>
      </c>
      <c r="G1746">
        <f>IF(E1746=0,0,INDEX('Планы менеджеров'!$B$5:$M$16,B1746,D1746)/INDEX(Мес_Раб,D1746))</f>
        <v/>
      </c>
    </row>
    <row r="1747">
      <c r="A1747" t="inlineStr">
        <is>
          <t>Новиков</t>
        </is>
      </c>
      <c r="B1747" t="n">
        <v>9</v>
      </c>
      <c r="C1747" s="18">
        <f>'Календарь'!A260</f>
        <v/>
      </c>
      <c r="D1747">
        <f>MONTH(C1747)</f>
        <v/>
      </c>
      <c r="E1747">
        <f>'Календарь'!D260</f>
        <v/>
      </c>
      <c r="F1747">
        <f>INT((C1747-Нед_Начало)/7)+1</f>
        <v/>
      </c>
      <c r="G1747">
        <f>IF(E1747=0,0,INDEX('Планы менеджеров'!$B$5:$M$16,B1747,D1747)/INDEX(Мес_Раб,D1747))</f>
        <v/>
      </c>
    </row>
    <row r="1748">
      <c r="A1748" t="inlineStr">
        <is>
          <t>Новиков</t>
        </is>
      </c>
      <c r="B1748" t="n">
        <v>9</v>
      </c>
      <c r="C1748" s="18">
        <f>'Календарь'!A261</f>
        <v/>
      </c>
      <c r="D1748">
        <f>MONTH(C1748)</f>
        <v/>
      </c>
      <c r="E1748">
        <f>'Календарь'!D261</f>
        <v/>
      </c>
      <c r="F1748">
        <f>INT((C1748-Нед_Начало)/7)+1</f>
        <v/>
      </c>
      <c r="G1748">
        <f>IF(E1748=0,0,INDEX('Планы менеджеров'!$B$5:$M$16,B1748,D1748)/INDEX(Мес_Раб,D1748))</f>
        <v/>
      </c>
    </row>
    <row r="1749">
      <c r="A1749" t="inlineStr">
        <is>
          <t>Новиков</t>
        </is>
      </c>
      <c r="B1749" t="n">
        <v>9</v>
      </c>
      <c r="C1749" s="18">
        <f>'Календарь'!A262</f>
        <v/>
      </c>
      <c r="D1749">
        <f>MONTH(C1749)</f>
        <v/>
      </c>
      <c r="E1749">
        <f>'Календарь'!D262</f>
        <v/>
      </c>
      <c r="F1749">
        <f>INT((C1749-Нед_Начало)/7)+1</f>
        <v/>
      </c>
      <c r="G1749">
        <f>IF(E1749=0,0,INDEX('Планы менеджеров'!$B$5:$M$16,B1749,D1749)/INDEX(Мес_Раб,D1749))</f>
        <v/>
      </c>
    </row>
    <row r="1750">
      <c r="A1750" t="inlineStr">
        <is>
          <t>Новиков</t>
        </is>
      </c>
      <c r="B1750" t="n">
        <v>9</v>
      </c>
      <c r="C1750" s="18">
        <f>'Календарь'!A263</f>
        <v/>
      </c>
      <c r="D1750">
        <f>MONTH(C1750)</f>
        <v/>
      </c>
      <c r="E1750">
        <f>'Календарь'!D263</f>
        <v/>
      </c>
      <c r="F1750">
        <f>INT((C1750-Нед_Начало)/7)+1</f>
        <v/>
      </c>
      <c r="G1750">
        <f>IF(E1750=0,0,INDEX('Планы менеджеров'!$B$5:$M$16,B1750,D1750)/INDEX(Мес_Раб,D1750))</f>
        <v/>
      </c>
    </row>
    <row r="1751">
      <c r="A1751" t="inlineStr">
        <is>
          <t>Новиков</t>
        </is>
      </c>
      <c r="B1751" t="n">
        <v>9</v>
      </c>
      <c r="C1751" s="18">
        <f>'Календарь'!A264</f>
        <v/>
      </c>
      <c r="D1751">
        <f>MONTH(C1751)</f>
        <v/>
      </c>
      <c r="E1751">
        <f>'Календарь'!D264</f>
        <v/>
      </c>
      <c r="F1751">
        <f>INT((C1751-Нед_Начало)/7)+1</f>
        <v/>
      </c>
      <c r="G1751">
        <f>IF(E1751=0,0,INDEX('Планы менеджеров'!$B$5:$M$16,B1751,D1751)/INDEX(Мес_Раб,D1751))</f>
        <v/>
      </c>
    </row>
    <row r="1752">
      <c r="A1752" t="inlineStr">
        <is>
          <t>Новиков</t>
        </is>
      </c>
      <c r="B1752" t="n">
        <v>9</v>
      </c>
      <c r="C1752" s="18">
        <f>'Календарь'!A265</f>
        <v/>
      </c>
      <c r="D1752">
        <f>MONTH(C1752)</f>
        <v/>
      </c>
      <c r="E1752">
        <f>'Календарь'!D265</f>
        <v/>
      </c>
      <c r="F1752">
        <f>INT((C1752-Нед_Начало)/7)+1</f>
        <v/>
      </c>
      <c r="G1752">
        <f>IF(E1752=0,0,INDEX('Планы менеджеров'!$B$5:$M$16,B1752,D1752)/INDEX(Мес_Раб,D1752))</f>
        <v/>
      </c>
    </row>
    <row r="1753">
      <c r="A1753" t="inlineStr">
        <is>
          <t>Новиков</t>
        </is>
      </c>
      <c r="B1753" t="n">
        <v>9</v>
      </c>
      <c r="C1753" s="18">
        <f>'Календарь'!A266</f>
        <v/>
      </c>
      <c r="D1753">
        <f>MONTH(C1753)</f>
        <v/>
      </c>
      <c r="E1753">
        <f>'Календарь'!D266</f>
        <v/>
      </c>
      <c r="F1753">
        <f>INT((C1753-Нед_Начало)/7)+1</f>
        <v/>
      </c>
      <c r="G1753">
        <f>IF(E1753=0,0,INDEX('Планы менеджеров'!$B$5:$M$16,B1753,D1753)/INDEX(Мес_Раб,D1753))</f>
        <v/>
      </c>
    </row>
    <row r="1754">
      <c r="A1754" t="inlineStr">
        <is>
          <t>Новиков</t>
        </is>
      </c>
      <c r="B1754" t="n">
        <v>9</v>
      </c>
      <c r="C1754" s="18">
        <f>'Календарь'!A267</f>
        <v/>
      </c>
      <c r="D1754">
        <f>MONTH(C1754)</f>
        <v/>
      </c>
      <c r="E1754">
        <f>'Календарь'!D267</f>
        <v/>
      </c>
      <c r="F1754">
        <f>INT((C1754-Нед_Начало)/7)+1</f>
        <v/>
      </c>
      <c r="G1754">
        <f>IF(E1754=0,0,INDEX('Планы менеджеров'!$B$5:$M$16,B1754,D1754)/INDEX(Мес_Раб,D1754))</f>
        <v/>
      </c>
    </row>
    <row r="1755">
      <c r="A1755" t="inlineStr">
        <is>
          <t>Новиков</t>
        </is>
      </c>
      <c r="B1755" t="n">
        <v>9</v>
      </c>
      <c r="C1755" s="18">
        <f>'Календарь'!A268</f>
        <v/>
      </c>
      <c r="D1755">
        <f>MONTH(C1755)</f>
        <v/>
      </c>
      <c r="E1755">
        <f>'Календарь'!D268</f>
        <v/>
      </c>
      <c r="F1755">
        <f>INT((C1755-Нед_Начало)/7)+1</f>
        <v/>
      </c>
      <c r="G1755">
        <f>IF(E1755=0,0,INDEX('Планы менеджеров'!$B$5:$M$16,B1755,D1755)/INDEX(Мес_Раб,D1755))</f>
        <v/>
      </c>
    </row>
    <row r="1756">
      <c r="A1756" t="inlineStr">
        <is>
          <t>Новиков</t>
        </is>
      </c>
      <c r="B1756" t="n">
        <v>9</v>
      </c>
      <c r="C1756" s="18">
        <f>'Календарь'!A269</f>
        <v/>
      </c>
      <c r="D1756">
        <f>MONTH(C1756)</f>
        <v/>
      </c>
      <c r="E1756">
        <f>'Календарь'!D269</f>
        <v/>
      </c>
      <c r="F1756">
        <f>INT((C1756-Нед_Начало)/7)+1</f>
        <v/>
      </c>
      <c r="G1756">
        <f>IF(E1756=0,0,INDEX('Планы менеджеров'!$B$5:$M$16,B1756,D1756)/INDEX(Мес_Раб,D1756))</f>
        <v/>
      </c>
    </row>
    <row r="1757">
      <c r="A1757" t="inlineStr">
        <is>
          <t>Новиков</t>
        </is>
      </c>
      <c r="B1757" t="n">
        <v>9</v>
      </c>
      <c r="C1757" s="18">
        <f>'Календарь'!A270</f>
        <v/>
      </c>
      <c r="D1757">
        <f>MONTH(C1757)</f>
        <v/>
      </c>
      <c r="E1757">
        <f>'Календарь'!D270</f>
        <v/>
      </c>
      <c r="F1757">
        <f>INT((C1757-Нед_Начало)/7)+1</f>
        <v/>
      </c>
      <c r="G1757">
        <f>IF(E1757=0,0,INDEX('Планы менеджеров'!$B$5:$M$16,B1757,D1757)/INDEX(Мес_Раб,D1757))</f>
        <v/>
      </c>
    </row>
    <row r="1758">
      <c r="A1758" t="inlineStr">
        <is>
          <t>Новиков</t>
        </is>
      </c>
      <c r="B1758" t="n">
        <v>9</v>
      </c>
      <c r="C1758" s="18">
        <f>'Календарь'!A271</f>
        <v/>
      </c>
      <c r="D1758">
        <f>MONTH(C1758)</f>
        <v/>
      </c>
      <c r="E1758">
        <f>'Календарь'!D271</f>
        <v/>
      </c>
      <c r="F1758">
        <f>INT((C1758-Нед_Начало)/7)+1</f>
        <v/>
      </c>
      <c r="G1758">
        <f>IF(E1758=0,0,INDEX('Планы менеджеров'!$B$5:$M$16,B1758,D1758)/INDEX(Мес_Раб,D1758))</f>
        <v/>
      </c>
    </row>
    <row r="1759">
      <c r="A1759" t="inlineStr">
        <is>
          <t>Новиков</t>
        </is>
      </c>
      <c r="B1759" t="n">
        <v>9</v>
      </c>
      <c r="C1759" s="18">
        <f>'Календарь'!A272</f>
        <v/>
      </c>
      <c r="D1759">
        <f>MONTH(C1759)</f>
        <v/>
      </c>
      <c r="E1759">
        <f>'Календарь'!D272</f>
        <v/>
      </c>
      <c r="F1759">
        <f>INT((C1759-Нед_Начало)/7)+1</f>
        <v/>
      </c>
      <c r="G1759">
        <f>IF(E1759=0,0,INDEX('Планы менеджеров'!$B$5:$M$16,B1759,D1759)/INDEX(Мес_Раб,D1759))</f>
        <v/>
      </c>
    </row>
    <row r="1760">
      <c r="A1760" t="inlineStr">
        <is>
          <t>Новиков</t>
        </is>
      </c>
      <c r="B1760" t="n">
        <v>9</v>
      </c>
      <c r="C1760" s="18">
        <f>'Календарь'!A273</f>
        <v/>
      </c>
      <c r="D1760">
        <f>MONTH(C1760)</f>
        <v/>
      </c>
      <c r="E1760">
        <f>'Календарь'!D273</f>
        <v/>
      </c>
      <c r="F1760">
        <f>INT((C1760-Нед_Начало)/7)+1</f>
        <v/>
      </c>
      <c r="G1760">
        <f>IF(E1760=0,0,INDEX('Планы менеджеров'!$B$5:$M$16,B1760,D1760)/INDEX(Мес_Раб,D1760))</f>
        <v/>
      </c>
    </row>
    <row r="1761">
      <c r="A1761" t="inlineStr">
        <is>
          <t>Новиков</t>
        </is>
      </c>
      <c r="B1761" t="n">
        <v>9</v>
      </c>
      <c r="C1761" s="18">
        <f>'Календарь'!A274</f>
        <v/>
      </c>
      <c r="D1761">
        <f>MONTH(C1761)</f>
        <v/>
      </c>
      <c r="E1761">
        <f>'Календарь'!D274</f>
        <v/>
      </c>
      <c r="F1761">
        <f>INT((C1761-Нед_Начало)/7)+1</f>
        <v/>
      </c>
      <c r="G1761">
        <f>IF(E1761=0,0,INDEX('Планы менеджеров'!$B$5:$M$16,B1761,D1761)/INDEX(Мес_Раб,D1761))</f>
        <v/>
      </c>
    </row>
    <row r="1762">
      <c r="A1762" t="inlineStr">
        <is>
          <t>Новиков</t>
        </is>
      </c>
      <c r="B1762" t="n">
        <v>9</v>
      </c>
      <c r="C1762" s="18">
        <f>'Календарь'!A275</f>
        <v/>
      </c>
      <c r="D1762">
        <f>MONTH(C1762)</f>
        <v/>
      </c>
      <c r="E1762">
        <f>'Календарь'!D275</f>
        <v/>
      </c>
      <c r="F1762">
        <f>INT((C1762-Нед_Начало)/7)+1</f>
        <v/>
      </c>
      <c r="G1762">
        <f>IF(E1762=0,0,INDEX('Планы менеджеров'!$B$5:$M$16,B1762,D1762)/INDEX(Мес_Раб,D1762))</f>
        <v/>
      </c>
    </row>
    <row r="1763">
      <c r="A1763" t="inlineStr">
        <is>
          <t>Новиков</t>
        </is>
      </c>
      <c r="B1763" t="n">
        <v>9</v>
      </c>
      <c r="C1763" s="18">
        <f>'Календарь'!A276</f>
        <v/>
      </c>
      <c r="D1763">
        <f>MONTH(C1763)</f>
        <v/>
      </c>
      <c r="E1763">
        <f>'Календарь'!D276</f>
        <v/>
      </c>
      <c r="F1763">
        <f>INT((C1763-Нед_Начало)/7)+1</f>
        <v/>
      </c>
      <c r="G1763">
        <f>IF(E1763=0,0,INDEX('Планы менеджеров'!$B$5:$M$16,B1763,D1763)/INDEX(Мес_Раб,D1763))</f>
        <v/>
      </c>
    </row>
    <row r="1764">
      <c r="A1764" t="inlineStr">
        <is>
          <t>Новиков</t>
        </is>
      </c>
      <c r="B1764" t="n">
        <v>9</v>
      </c>
      <c r="C1764" s="18">
        <f>'Календарь'!A277</f>
        <v/>
      </c>
      <c r="D1764">
        <f>MONTH(C1764)</f>
        <v/>
      </c>
      <c r="E1764">
        <f>'Календарь'!D277</f>
        <v/>
      </c>
      <c r="F1764">
        <f>INT((C1764-Нед_Начало)/7)+1</f>
        <v/>
      </c>
      <c r="G1764">
        <f>IF(E1764=0,0,INDEX('Планы менеджеров'!$B$5:$M$16,B1764,D1764)/INDEX(Мес_Раб,D1764))</f>
        <v/>
      </c>
    </row>
    <row r="1765">
      <c r="A1765" t="inlineStr">
        <is>
          <t>Новиков</t>
        </is>
      </c>
      <c r="B1765" t="n">
        <v>9</v>
      </c>
      <c r="C1765" s="18">
        <f>'Календарь'!A278</f>
        <v/>
      </c>
      <c r="D1765">
        <f>MONTH(C1765)</f>
        <v/>
      </c>
      <c r="E1765">
        <f>'Календарь'!D278</f>
        <v/>
      </c>
      <c r="F1765">
        <f>INT((C1765-Нед_Начало)/7)+1</f>
        <v/>
      </c>
      <c r="G1765">
        <f>IF(E1765=0,0,INDEX('Планы менеджеров'!$B$5:$M$16,B1765,D1765)/INDEX(Мес_Раб,D1765))</f>
        <v/>
      </c>
    </row>
    <row r="1766">
      <c r="A1766" t="inlineStr">
        <is>
          <t>Новиков</t>
        </is>
      </c>
      <c r="B1766" t="n">
        <v>9</v>
      </c>
      <c r="C1766" s="18">
        <f>'Календарь'!A279</f>
        <v/>
      </c>
      <c r="D1766">
        <f>MONTH(C1766)</f>
        <v/>
      </c>
      <c r="E1766">
        <f>'Календарь'!D279</f>
        <v/>
      </c>
      <c r="F1766">
        <f>INT((C1766-Нед_Начало)/7)+1</f>
        <v/>
      </c>
      <c r="G1766">
        <f>IF(E1766=0,0,INDEX('Планы менеджеров'!$B$5:$M$16,B1766,D1766)/INDEX(Мес_Раб,D1766))</f>
        <v/>
      </c>
    </row>
    <row r="1767">
      <c r="A1767" t="inlineStr">
        <is>
          <t>Новиков</t>
        </is>
      </c>
      <c r="B1767" t="n">
        <v>9</v>
      </c>
      <c r="C1767" s="18">
        <f>'Календарь'!A280</f>
        <v/>
      </c>
      <c r="D1767">
        <f>MONTH(C1767)</f>
        <v/>
      </c>
      <c r="E1767">
        <f>'Календарь'!D280</f>
        <v/>
      </c>
      <c r="F1767">
        <f>INT((C1767-Нед_Начало)/7)+1</f>
        <v/>
      </c>
      <c r="G1767">
        <f>IF(E1767=0,0,INDEX('Планы менеджеров'!$B$5:$M$16,B1767,D1767)/INDEX(Мес_Раб,D1767))</f>
        <v/>
      </c>
    </row>
    <row r="1768">
      <c r="A1768" t="inlineStr">
        <is>
          <t>Новиков</t>
        </is>
      </c>
      <c r="B1768" t="n">
        <v>9</v>
      </c>
      <c r="C1768" s="18">
        <f>'Календарь'!A281</f>
        <v/>
      </c>
      <c r="D1768">
        <f>MONTH(C1768)</f>
        <v/>
      </c>
      <c r="E1768">
        <f>'Календарь'!D281</f>
        <v/>
      </c>
      <c r="F1768">
        <f>INT((C1768-Нед_Начало)/7)+1</f>
        <v/>
      </c>
      <c r="G1768">
        <f>IF(E1768=0,0,INDEX('Планы менеджеров'!$B$5:$M$16,B1768,D1768)/INDEX(Мес_Раб,D1768))</f>
        <v/>
      </c>
    </row>
    <row r="1769">
      <c r="A1769" t="inlineStr">
        <is>
          <t>Новиков</t>
        </is>
      </c>
      <c r="B1769" t="n">
        <v>9</v>
      </c>
      <c r="C1769" s="18">
        <f>'Календарь'!A282</f>
        <v/>
      </c>
      <c r="D1769">
        <f>MONTH(C1769)</f>
        <v/>
      </c>
      <c r="E1769">
        <f>'Календарь'!D282</f>
        <v/>
      </c>
      <c r="F1769">
        <f>INT((C1769-Нед_Начало)/7)+1</f>
        <v/>
      </c>
      <c r="G1769">
        <f>IF(E1769=0,0,INDEX('Планы менеджеров'!$B$5:$M$16,B1769,D1769)/INDEX(Мес_Раб,D1769))</f>
        <v/>
      </c>
    </row>
    <row r="1770">
      <c r="A1770" t="inlineStr">
        <is>
          <t>Новиков</t>
        </is>
      </c>
      <c r="B1770" t="n">
        <v>9</v>
      </c>
      <c r="C1770" s="18">
        <f>'Календарь'!A283</f>
        <v/>
      </c>
      <c r="D1770">
        <f>MONTH(C1770)</f>
        <v/>
      </c>
      <c r="E1770">
        <f>'Календарь'!D283</f>
        <v/>
      </c>
      <c r="F1770">
        <f>INT((C1770-Нед_Начало)/7)+1</f>
        <v/>
      </c>
      <c r="G1770">
        <f>IF(E1770=0,0,INDEX('Планы менеджеров'!$B$5:$M$16,B1770,D1770)/INDEX(Мес_Раб,D1770))</f>
        <v/>
      </c>
    </row>
    <row r="1771">
      <c r="A1771" t="inlineStr">
        <is>
          <t>Новиков</t>
        </is>
      </c>
      <c r="B1771" t="n">
        <v>9</v>
      </c>
      <c r="C1771" s="18">
        <f>'Календарь'!A284</f>
        <v/>
      </c>
      <c r="D1771">
        <f>MONTH(C1771)</f>
        <v/>
      </c>
      <c r="E1771">
        <f>'Календарь'!D284</f>
        <v/>
      </c>
      <c r="F1771">
        <f>INT((C1771-Нед_Начало)/7)+1</f>
        <v/>
      </c>
      <c r="G1771">
        <f>IF(E1771=0,0,INDEX('Планы менеджеров'!$B$5:$M$16,B1771,D1771)/INDEX(Мес_Раб,D1771))</f>
        <v/>
      </c>
    </row>
    <row r="1772">
      <c r="A1772" t="inlineStr">
        <is>
          <t>Новиков</t>
        </is>
      </c>
      <c r="B1772" t="n">
        <v>9</v>
      </c>
      <c r="C1772" s="18">
        <f>'Календарь'!A285</f>
        <v/>
      </c>
      <c r="D1772">
        <f>MONTH(C1772)</f>
        <v/>
      </c>
      <c r="E1772">
        <f>'Календарь'!D285</f>
        <v/>
      </c>
      <c r="F1772">
        <f>INT((C1772-Нед_Начало)/7)+1</f>
        <v/>
      </c>
      <c r="G1772">
        <f>IF(E1772=0,0,INDEX('Планы менеджеров'!$B$5:$M$16,B1772,D1772)/INDEX(Мес_Раб,D1772))</f>
        <v/>
      </c>
    </row>
    <row r="1773">
      <c r="A1773" t="inlineStr">
        <is>
          <t>Новиков</t>
        </is>
      </c>
      <c r="B1773" t="n">
        <v>9</v>
      </c>
      <c r="C1773" s="18">
        <f>'Календарь'!A286</f>
        <v/>
      </c>
      <c r="D1773">
        <f>MONTH(C1773)</f>
        <v/>
      </c>
      <c r="E1773">
        <f>'Календарь'!D286</f>
        <v/>
      </c>
      <c r="F1773">
        <f>INT((C1773-Нед_Начало)/7)+1</f>
        <v/>
      </c>
      <c r="G1773">
        <f>IF(E1773=0,0,INDEX('Планы менеджеров'!$B$5:$M$16,B1773,D1773)/INDEX(Мес_Раб,D1773))</f>
        <v/>
      </c>
    </row>
    <row r="1774">
      <c r="A1774" t="inlineStr">
        <is>
          <t>Новиков</t>
        </is>
      </c>
      <c r="B1774" t="n">
        <v>9</v>
      </c>
      <c r="C1774" s="18">
        <f>'Календарь'!A287</f>
        <v/>
      </c>
      <c r="D1774">
        <f>MONTH(C1774)</f>
        <v/>
      </c>
      <c r="E1774">
        <f>'Календарь'!D287</f>
        <v/>
      </c>
      <c r="F1774">
        <f>INT((C1774-Нед_Начало)/7)+1</f>
        <v/>
      </c>
      <c r="G1774">
        <f>IF(E1774=0,0,INDEX('Планы менеджеров'!$B$5:$M$16,B1774,D1774)/INDEX(Мес_Раб,D1774))</f>
        <v/>
      </c>
    </row>
    <row r="1775">
      <c r="A1775" t="inlineStr">
        <is>
          <t>Новиков</t>
        </is>
      </c>
      <c r="B1775" t="n">
        <v>9</v>
      </c>
      <c r="C1775" s="18">
        <f>'Календарь'!A288</f>
        <v/>
      </c>
      <c r="D1775">
        <f>MONTH(C1775)</f>
        <v/>
      </c>
      <c r="E1775">
        <f>'Календарь'!D288</f>
        <v/>
      </c>
      <c r="F1775">
        <f>INT((C1775-Нед_Начало)/7)+1</f>
        <v/>
      </c>
      <c r="G1775">
        <f>IF(E1775=0,0,INDEX('Планы менеджеров'!$B$5:$M$16,B1775,D1775)/INDEX(Мес_Раб,D1775))</f>
        <v/>
      </c>
    </row>
    <row r="1776">
      <c r="A1776" t="inlineStr">
        <is>
          <t>Новиков</t>
        </is>
      </c>
      <c r="B1776" t="n">
        <v>9</v>
      </c>
      <c r="C1776" s="18">
        <f>'Календарь'!A289</f>
        <v/>
      </c>
      <c r="D1776">
        <f>MONTH(C1776)</f>
        <v/>
      </c>
      <c r="E1776">
        <f>'Календарь'!D289</f>
        <v/>
      </c>
      <c r="F1776">
        <f>INT((C1776-Нед_Начало)/7)+1</f>
        <v/>
      </c>
      <c r="G1776">
        <f>IF(E1776=0,0,INDEX('Планы менеджеров'!$B$5:$M$16,B1776,D1776)/INDEX(Мес_Раб,D1776))</f>
        <v/>
      </c>
    </row>
    <row r="1777">
      <c r="A1777" t="inlineStr">
        <is>
          <t>Новиков</t>
        </is>
      </c>
      <c r="B1777" t="n">
        <v>9</v>
      </c>
      <c r="C1777" s="18">
        <f>'Календарь'!A290</f>
        <v/>
      </c>
      <c r="D1777">
        <f>MONTH(C1777)</f>
        <v/>
      </c>
      <c r="E1777">
        <f>'Календарь'!D290</f>
        <v/>
      </c>
      <c r="F1777">
        <f>INT((C1777-Нед_Начало)/7)+1</f>
        <v/>
      </c>
      <c r="G1777">
        <f>IF(E1777=0,0,INDEX('Планы менеджеров'!$B$5:$M$16,B1777,D1777)/INDEX(Мес_Раб,D1777))</f>
        <v/>
      </c>
    </row>
    <row r="1778">
      <c r="A1778" t="inlineStr">
        <is>
          <t>Новиков</t>
        </is>
      </c>
      <c r="B1778" t="n">
        <v>9</v>
      </c>
      <c r="C1778" s="18">
        <f>'Календарь'!A291</f>
        <v/>
      </c>
      <c r="D1778">
        <f>MONTH(C1778)</f>
        <v/>
      </c>
      <c r="E1778">
        <f>'Календарь'!D291</f>
        <v/>
      </c>
      <c r="F1778">
        <f>INT((C1778-Нед_Начало)/7)+1</f>
        <v/>
      </c>
      <c r="G1778">
        <f>IF(E1778=0,0,INDEX('Планы менеджеров'!$B$5:$M$16,B1778,D1778)/INDEX(Мес_Раб,D1778))</f>
        <v/>
      </c>
    </row>
    <row r="1779">
      <c r="A1779" t="inlineStr">
        <is>
          <t>Новиков</t>
        </is>
      </c>
      <c r="B1779" t="n">
        <v>9</v>
      </c>
      <c r="C1779" s="18">
        <f>'Календарь'!A292</f>
        <v/>
      </c>
      <c r="D1779">
        <f>MONTH(C1779)</f>
        <v/>
      </c>
      <c r="E1779">
        <f>'Календарь'!D292</f>
        <v/>
      </c>
      <c r="F1779">
        <f>INT((C1779-Нед_Начало)/7)+1</f>
        <v/>
      </c>
      <c r="G1779">
        <f>IF(E1779=0,0,INDEX('Планы менеджеров'!$B$5:$M$16,B1779,D1779)/INDEX(Мес_Раб,D1779))</f>
        <v/>
      </c>
    </row>
    <row r="1780">
      <c r="A1780" t="inlineStr">
        <is>
          <t>Новиков</t>
        </is>
      </c>
      <c r="B1780" t="n">
        <v>9</v>
      </c>
      <c r="C1780" s="18">
        <f>'Календарь'!A293</f>
        <v/>
      </c>
      <c r="D1780">
        <f>MONTH(C1780)</f>
        <v/>
      </c>
      <c r="E1780">
        <f>'Календарь'!D293</f>
        <v/>
      </c>
      <c r="F1780">
        <f>INT((C1780-Нед_Начало)/7)+1</f>
        <v/>
      </c>
      <c r="G1780">
        <f>IF(E1780=0,0,INDEX('Планы менеджеров'!$B$5:$M$16,B1780,D1780)/INDEX(Мес_Раб,D1780))</f>
        <v/>
      </c>
    </row>
    <row r="1781">
      <c r="A1781" t="inlineStr">
        <is>
          <t>Новиков</t>
        </is>
      </c>
      <c r="B1781" t="n">
        <v>9</v>
      </c>
      <c r="C1781" s="18">
        <f>'Календарь'!A294</f>
        <v/>
      </c>
      <c r="D1781">
        <f>MONTH(C1781)</f>
        <v/>
      </c>
      <c r="E1781">
        <f>'Календарь'!D294</f>
        <v/>
      </c>
      <c r="F1781">
        <f>INT((C1781-Нед_Начало)/7)+1</f>
        <v/>
      </c>
      <c r="G1781">
        <f>IF(E1781=0,0,INDEX('Планы менеджеров'!$B$5:$M$16,B1781,D1781)/INDEX(Мес_Раб,D1781))</f>
        <v/>
      </c>
    </row>
    <row r="1782">
      <c r="A1782" t="inlineStr">
        <is>
          <t>Новиков</t>
        </is>
      </c>
      <c r="B1782" t="n">
        <v>9</v>
      </c>
      <c r="C1782" s="18">
        <f>'Календарь'!A295</f>
        <v/>
      </c>
      <c r="D1782">
        <f>MONTH(C1782)</f>
        <v/>
      </c>
      <c r="E1782">
        <f>'Календарь'!D295</f>
        <v/>
      </c>
      <c r="F1782">
        <f>INT((C1782-Нед_Начало)/7)+1</f>
        <v/>
      </c>
      <c r="G1782">
        <f>IF(E1782=0,0,INDEX('Планы менеджеров'!$B$5:$M$16,B1782,D1782)/INDEX(Мес_Раб,D1782))</f>
        <v/>
      </c>
    </row>
    <row r="1783">
      <c r="A1783" t="inlineStr">
        <is>
          <t>Новиков</t>
        </is>
      </c>
      <c r="B1783" t="n">
        <v>9</v>
      </c>
      <c r="C1783" s="18">
        <f>'Календарь'!A296</f>
        <v/>
      </c>
      <c r="D1783">
        <f>MONTH(C1783)</f>
        <v/>
      </c>
      <c r="E1783">
        <f>'Календарь'!D296</f>
        <v/>
      </c>
      <c r="F1783">
        <f>INT((C1783-Нед_Начало)/7)+1</f>
        <v/>
      </c>
      <c r="G1783">
        <f>IF(E1783=0,0,INDEX('Планы менеджеров'!$B$5:$M$16,B1783,D1783)/INDEX(Мес_Раб,D1783))</f>
        <v/>
      </c>
    </row>
    <row r="1784">
      <c r="A1784" t="inlineStr">
        <is>
          <t>Новиков</t>
        </is>
      </c>
      <c r="B1784" t="n">
        <v>9</v>
      </c>
      <c r="C1784" s="18">
        <f>'Календарь'!A297</f>
        <v/>
      </c>
      <c r="D1784">
        <f>MONTH(C1784)</f>
        <v/>
      </c>
      <c r="E1784">
        <f>'Календарь'!D297</f>
        <v/>
      </c>
      <c r="F1784">
        <f>INT((C1784-Нед_Начало)/7)+1</f>
        <v/>
      </c>
      <c r="G1784">
        <f>IF(E1784=0,0,INDEX('Планы менеджеров'!$B$5:$M$16,B1784,D1784)/INDEX(Мес_Раб,D1784))</f>
        <v/>
      </c>
    </row>
    <row r="1785">
      <c r="A1785" t="inlineStr">
        <is>
          <t>Новиков</t>
        </is>
      </c>
      <c r="B1785" t="n">
        <v>9</v>
      </c>
      <c r="C1785" s="18">
        <f>'Календарь'!A298</f>
        <v/>
      </c>
      <c r="D1785">
        <f>MONTH(C1785)</f>
        <v/>
      </c>
      <c r="E1785">
        <f>'Календарь'!D298</f>
        <v/>
      </c>
      <c r="F1785">
        <f>INT((C1785-Нед_Начало)/7)+1</f>
        <v/>
      </c>
      <c r="G1785">
        <f>IF(E1785=0,0,INDEX('Планы менеджеров'!$B$5:$M$16,B1785,D1785)/INDEX(Мес_Раб,D1785))</f>
        <v/>
      </c>
    </row>
    <row r="1786">
      <c r="A1786" t="inlineStr">
        <is>
          <t>Новиков</t>
        </is>
      </c>
      <c r="B1786" t="n">
        <v>9</v>
      </c>
      <c r="C1786" s="18">
        <f>'Календарь'!A299</f>
        <v/>
      </c>
      <c r="D1786">
        <f>MONTH(C1786)</f>
        <v/>
      </c>
      <c r="E1786">
        <f>'Календарь'!D299</f>
        <v/>
      </c>
      <c r="F1786">
        <f>INT((C1786-Нед_Начало)/7)+1</f>
        <v/>
      </c>
      <c r="G1786">
        <f>IF(E1786=0,0,INDEX('Планы менеджеров'!$B$5:$M$16,B1786,D1786)/INDEX(Мес_Раб,D1786))</f>
        <v/>
      </c>
    </row>
    <row r="1787">
      <c r="A1787" t="inlineStr">
        <is>
          <t>Новиков</t>
        </is>
      </c>
      <c r="B1787" t="n">
        <v>9</v>
      </c>
      <c r="C1787" s="18">
        <f>'Календарь'!A300</f>
        <v/>
      </c>
      <c r="D1787">
        <f>MONTH(C1787)</f>
        <v/>
      </c>
      <c r="E1787">
        <f>'Календарь'!D300</f>
        <v/>
      </c>
      <c r="F1787">
        <f>INT((C1787-Нед_Начало)/7)+1</f>
        <v/>
      </c>
      <c r="G1787">
        <f>IF(E1787=0,0,INDEX('Планы менеджеров'!$B$5:$M$16,B1787,D1787)/INDEX(Мес_Раб,D1787))</f>
        <v/>
      </c>
    </row>
    <row r="1788">
      <c r="A1788" t="inlineStr">
        <is>
          <t>Новиков</t>
        </is>
      </c>
      <c r="B1788" t="n">
        <v>9</v>
      </c>
      <c r="C1788" s="18">
        <f>'Календарь'!A301</f>
        <v/>
      </c>
      <c r="D1788">
        <f>MONTH(C1788)</f>
        <v/>
      </c>
      <c r="E1788">
        <f>'Календарь'!D301</f>
        <v/>
      </c>
      <c r="F1788">
        <f>INT((C1788-Нед_Начало)/7)+1</f>
        <v/>
      </c>
      <c r="G1788">
        <f>IF(E1788=0,0,INDEX('Планы менеджеров'!$B$5:$M$16,B1788,D1788)/INDEX(Мес_Раб,D1788))</f>
        <v/>
      </c>
    </row>
    <row r="1789">
      <c r="A1789" t="inlineStr">
        <is>
          <t>Новиков</t>
        </is>
      </c>
      <c r="B1789" t="n">
        <v>9</v>
      </c>
      <c r="C1789" s="18">
        <f>'Календарь'!A302</f>
        <v/>
      </c>
      <c r="D1789">
        <f>MONTH(C1789)</f>
        <v/>
      </c>
      <c r="E1789">
        <f>'Календарь'!D302</f>
        <v/>
      </c>
      <c r="F1789">
        <f>INT((C1789-Нед_Начало)/7)+1</f>
        <v/>
      </c>
      <c r="G1789">
        <f>IF(E1789=0,0,INDEX('Планы менеджеров'!$B$5:$M$16,B1789,D1789)/INDEX(Мес_Раб,D1789))</f>
        <v/>
      </c>
    </row>
    <row r="1790">
      <c r="A1790" t="inlineStr">
        <is>
          <t>Новиков</t>
        </is>
      </c>
      <c r="B1790" t="n">
        <v>9</v>
      </c>
      <c r="C1790" s="18">
        <f>'Календарь'!A303</f>
        <v/>
      </c>
      <c r="D1790">
        <f>MONTH(C1790)</f>
        <v/>
      </c>
      <c r="E1790">
        <f>'Календарь'!D303</f>
        <v/>
      </c>
      <c r="F1790">
        <f>INT((C1790-Нед_Начало)/7)+1</f>
        <v/>
      </c>
      <c r="G1790">
        <f>IF(E1790=0,0,INDEX('Планы менеджеров'!$B$5:$M$16,B1790,D1790)/INDEX(Мес_Раб,D1790))</f>
        <v/>
      </c>
    </row>
    <row r="1791">
      <c r="A1791" t="inlineStr">
        <is>
          <t>Новиков</t>
        </is>
      </c>
      <c r="B1791" t="n">
        <v>9</v>
      </c>
      <c r="C1791" s="18">
        <f>'Календарь'!A304</f>
        <v/>
      </c>
      <c r="D1791">
        <f>MONTH(C1791)</f>
        <v/>
      </c>
      <c r="E1791">
        <f>'Календарь'!D304</f>
        <v/>
      </c>
      <c r="F1791">
        <f>INT((C1791-Нед_Начало)/7)+1</f>
        <v/>
      </c>
      <c r="G1791">
        <f>IF(E1791=0,0,INDEX('Планы менеджеров'!$B$5:$M$16,B1791,D1791)/INDEX(Мес_Раб,D1791))</f>
        <v/>
      </c>
    </row>
    <row r="1792">
      <c r="A1792" t="inlineStr">
        <is>
          <t>Новиков</t>
        </is>
      </c>
      <c r="B1792" t="n">
        <v>9</v>
      </c>
      <c r="C1792" s="18">
        <f>'Календарь'!A305</f>
        <v/>
      </c>
      <c r="D1792">
        <f>MONTH(C1792)</f>
        <v/>
      </c>
      <c r="E1792">
        <f>'Календарь'!D305</f>
        <v/>
      </c>
      <c r="F1792">
        <f>INT((C1792-Нед_Начало)/7)+1</f>
        <v/>
      </c>
      <c r="G1792">
        <f>IF(E1792=0,0,INDEX('Планы менеджеров'!$B$5:$M$16,B1792,D1792)/INDEX(Мес_Раб,D1792))</f>
        <v/>
      </c>
    </row>
    <row r="1793">
      <c r="A1793" t="inlineStr">
        <is>
          <t>Новиков</t>
        </is>
      </c>
      <c r="B1793" t="n">
        <v>9</v>
      </c>
      <c r="C1793" s="18">
        <f>'Календарь'!A306</f>
        <v/>
      </c>
      <c r="D1793">
        <f>MONTH(C1793)</f>
        <v/>
      </c>
      <c r="E1793">
        <f>'Календарь'!D306</f>
        <v/>
      </c>
      <c r="F1793">
        <f>INT((C1793-Нед_Начало)/7)+1</f>
        <v/>
      </c>
      <c r="G1793">
        <f>IF(E1793=0,0,INDEX('Планы менеджеров'!$B$5:$M$16,B1793,D1793)/INDEX(Мес_Раб,D1793))</f>
        <v/>
      </c>
    </row>
    <row r="1794">
      <c r="A1794" t="inlineStr">
        <is>
          <t>Новиков</t>
        </is>
      </c>
      <c r="B1794" t="n">
        <v>9</v>
      </c>
      <c r="C1794" s="18">
        <f>'Календарь'!A307</f>
        <v/>
      </c>
      <c r="D1794">
        <f>MONTH(C1794)</f>
        <v/>
      </c>
      <c r="E1794">
        <f>'Календарь'!D307</f>
        <v/>
      </c>
      <c r="F1794">
        <f>INT((C1794-Нед_Начало)/7)+1</f>
        <v/>
      </c>
      <c r="G1794">
        <f>IF(E1794=0,0,INDEX('Планы менеджеров'!$B$5:$M$16,B1794,D1794)/INDEX(Мес_Раб,D1794))</f>
        <v/>
      </c>
    </row>
    <row r="1795">
      <c r="A1795" t="inlineStr">
        <is>
          <t>Новиков</t>
        </is>
      </c>
      <c r="B1795" t="n">
        <v>9</v>
      </c>
      <c r="C1795" s="18">
        <f>'Календарь'!A308</f>
        <v/>
      </c>
      <c r="D1795">
        <f>MONTH(C1795)</f>
        <v/>
      </c>
      <c r="E1795">
        <f>'Календарь'!D308</f>
        <v/>
      </c>
      <c r="F1795">
        <f>INT((C1795-Нед_Начало)/7)+1</f>
        <v/>
      </c>
      <c r="G1795">
        <f>IF(E1795=0,0,INDEX('Планы менеджеров'!$B$5:$M$16,B1795,D1795)/INDEX(Мес_Раб,D1795))</f>
        <v/>
      </c>
    </row>
    <row r="1796">
      <c r="A1796" t="inlineStr">
        <is>
          <t>Новиков</t>
        </is>
      </c>
      <c r="B1796" t="n">
        <v>9</v>
      </c>
      <c r="C1796" s="18">
        <f>'Календарь'!A309</f>
        <v/>
      </c>
      <c r="D1796">
        <f>MONTH(C1796)</f>
        <v/>
      </c>
      <c r="E1796">
        <f>'Календарь'!D309</f>
        <v/>
      </c>
      <c r="F1796">
        <f>INT((C1796-Нед_Начало)/7)+1</f>
        <v/>
      </c>
      <c r="G1796">
        <f>IF(E1796=0,0,INDEX('Планы менеджеров'!$B$5:$M$16,B1796,D1796)/INDEX(Мес_Раб,D1796))</f>
        <v/>
      </c>
    </row>
    <row r="1797">
      <c r="A1797" t="inlineStr">
        <is>
          <t>Новиков</t>
        </is>
      </c>
      <c r="B1797" t="n">
        <v>9</v>
      </c>
      <c r="C1797" s="18">
        <f>'Календарь'!A310</f>
        <v/>
      </c>
      <c r="D1797">
        <f>MONTH(C1797)</f>
        <v/>
      </c>
      <c r="E1797">
        <f>'Календарь'!D310</f>
        <v/>
      </c>
      <c r="F1797">
        <f>INT((C1797-Нед_Начало)/7)+1</f>
        <v/>
      </c>
      <c r="G1797">
        <f>IF(E1797=0,0,INDEX('Планы менеджеров'!$B$5:$M$16,B1797,D1797)/INDEX(Мес_Раб,D1797))</f>
        <v/>
      </c>
    </row>
    <row r="1798">
      <c r="A1798" t="inlineStr">
        <is>
          <t>Новиков</t>
        </is>
      </c>
      <c r="B1798" t="n">
        <v>9</v>
      </c>
      <c r="C1798" s="18">
        <f>'Календарь'!A311</f>
        <v/>
      </c>
      <c r="D1798">
        <f>MONTH(C1798)</f>
        <v/>
      </c>
      <c r="E1798">
        <f>'Календарь'!D311</f>
        <v/>
      </c>
      <c r="F1798">
        <f>INT((C1798-Нед_Начало)/7)+1</f>
        <v/>
      </c>
      <c r="G1798">
        <f>IF(E1798=0,0,INDEX('Планы менеджеров'!$B$5:$M$16,B1798,D1798)/INDEX(Мес_Раб,D1798))</f>
        <v/>
      </c>
    </row>
    <row r="1799">
      <c r="A1799" t="inlineStr">
        <is>
          <t>Новиков</t>
        </is>
      </c>
      <c r="B1799" t="n">
        <v>9</v>
      </c>
      <c r="C1799" s="18">
        <f>'Календарь'!A312</f>
        <v/>
      </c>
      <c r="D1799">
        <f>MONTH(C1799)</f>
        <v/>
      </c>
      <c r="E1799">
        <f>'Календарь'!D312</f>
        <v/>
      </c>
      <c r="F1799">
        <f>INT((C1799-Нед_Начало)/7)+1</f>
        <v/>
      </c>
      <c r="G1799">
        <f>IF(E1799=0,0,INDEX('Планы менеджеров'!$B$5:$M$16,B1799,D1799)/INDEX(Мес_Раб,D1799))</f>
        <v/>
      </c>
    </row>
    <row r="1800">
      <c r="A1800" t="inlineStr">
        <is>
          <t>Новиков</t>
        </is>
      </c>
      <c r="B1800" t="n">
        <v>9</v>
      </c>
      <c r="C1800" s="18">
        <f>'Календарь'!A313</f>
        <v/>
      </c>
      <c r="D1800">
        <f>MONTH(C1800)</f>
        <v/>
      </c>
      <c r="E1800">
        <f>'Календарь'!D313</f>
        <v/>
      </c>
      <c r="F1800">
        <f>INT((C1800-Нед_Начало)/7)+1</f>
        <v/>
      </c>
      <c r="G1800">
        <f>IF(E1800=0,0,INDEX('Планы менеджеров'!$B$5:$M$16,B1800,D1800)/INDEX(Мес_Раб,D1800))</f>
        <v/>
      </c>
    </row>
    <row r="1801">
      <c r="A1801" t="inlineStr">
        <is>
          <t>Новиков</t>
        </is>
      </c>
      <c r="B1801" t="n">
        <v>9</v>
      </c>
      <c r="C1801" s="18">
        <f>'Календарь'!A314</f>
        <v/>
      </c>
      <c r="D1801">
        <f>MONTH(C1801)</f>
        <v/>
      </c>
      <c r="E1801">
        <f>'Календарь'!D314</f>
        <v/>
      </c>
      <c r="F1801">
        <f>INT((C1801-Нед_Начало)/7)+1</f>
        <v/>
      </c>
      <c r="G1801">
        <f>IF(E1801=0,0,INDEX('Планы менеджеров'!$B$5:$M$16,B1801,D1801)/INDEX(Мес_Раб,D1801))</f>
        <v/>
      </c>
    </row>
    <row r="1802">
      <c r="A1802" t="inlineStr">
        <is>
          <t>Новиков</t>
        </is>
      </c>
      <c r="B1802" t="n">
        <v>9</v>
      </c>
      <c r="C1802" s="18">
        <f>'Календарь'!A315</f>
        <v/>
      </c>
      <c r="D1802">
        <f>MONTH(C1802)</f>
        <v/>
      </c>
      <c r="E1802">
        <f>'Календарь'!D315</f>
        <v/>
      </c>
      <c r="F1802">
        <f>INT((C1802-Нед_Начало)/7)+1</f>
        <v/>
      </c>
      <c r="G1802">
        <f>IF(E1802=0,0,INDEX('Планы менеджеров'!$B$5:$M$16,B1802,D1802)/INDEX(Мес_Раб,D1802))</f>
        <v/>
      </c>
    </row>
    <row r="1803">
      <c r="A1803" t="inlineStr">
        <is>
          <t>Новиков</t>
        </is>
      </c>
      <c r="B1803" t="n">
        <v>9</v>
      </c>
      <c r="C1803" s="18">
        <f>'Календарь'!A316</f>
        <v/>
      </c>
      <c r="D1803">
        <f>MONTH(C1803)</f>
        <v/>
      </c>
      <c r="E1803">
        <f>'Календарь'!D316</f>
        <v/>
      </c>
      <c r="F1803">
        <f>INT((C1803-Нед_Начало)/7)+1</f>
        <v/>
      </c>
      <c r="G1803">
        <f>IF(E1803=0,0,INDEX('Планы менеджеров'!$B$5:$M$16,B1803,D1803)/INDEX(Мес_Раб,D1803))</f>
        <v/>
      </c>
    </row>
    <row r="1804">
      <c r="A1804" t="inlineStr">
        <is>
          <t>Новиков</t>
        </is>
      </c>
      <c r="B1804" t="n">
        <v>9</v>
      </c>
      <c r="C1804" s="18">
        <f>'Календарь'!A317</f>
        <v/>
      </c>
      <c r="D1804">
        <f>MONTH(C1804)</f>
        <v/>
      </c>
      <c r="E1804">
        <f>'Календарь'!D317</f>
        <v/>
      </c>
      <c r="F1804">
        <f>INT((C1804-Нед_Начало)/7)+1</f>
        <v/>
      </c>
      <c r="G1804">
        <f>IF(E1804=0,0,INDEX('Планы менеджеров'!$B$5:$M$16,B1804,D1804)/INDEX(Мес_Раб,D1804))</f>
        <v/>
      </c>
    </row>
    <row r="1805">
      <c r="A1805" t="inlineStr">
        <is>
          <t>Новиков</t>
        </is>
      </c>
      <c r="B1805" t="n">
        <v>9</v>
      </c>
      <c r="C1805" s="18">
        <f>'Календарь'!A318</f>
        <v/>
      </c>
      <c r="D1805">
        <f>MONTH(C1805)</f>
        <v/>
      </c>
      <c r="E1805">
        <f>'Календарь'!D318</f>
        <v/>
      </c>
      <c r="F1805">
        <f>INT((C1805-Нед_Начало)/7)+1</f>
        <v/>
      </c>
      <c r="G1805">
        <f>IF(E1805=0,0,INDEX('Планы менеджеров'!$B$5:$M$16,B1805,D1805)/INDEX(Мес_Раб,D1805))</f>
        <v/>
      </c>
    </row>
    <row r="1806">
      <c r="A1806" t="inlineStr">
        <is>
          <t>Новиков</t>
        </is>
      </c>
      <c r="B1806" t="n">
        <v>9</v>
      </c>
      <c r="C1806" s="18">
        <f>'Календарь'!A319</f>
        <v/>
      </c>
      <c r="D1806">
        <f>MONTH(C1806)</f>
        <v/>
      </c>
      <c r="E1806">
        <f>'Календарь'!D319</f>
        <v/>
      </c>
      <c r="F1806">
        <f>INT((C1806-Нед_Начало)/7)+1</f>
        <v/>
      </c>
      <c r="G1806">
        <f>IF(E1806=0,0,INDEX('Планы менеджеров'!$B$5:$M$16,B1806,D1806)/INDEX(Мес_Раб,D1806))</f>
        <v/>
      </c>
    </row>
    <row r="1807">
      <c r="A1807" t="inlineStr">
        <is>
          <t>Новиков</t>
        </is>
      </c>
      <c r="B1807" t="n">
        <v>9</v>
      </c>
      <c r="C1807" s="18">
        <f>'Календарь'!A320</f>
        <v/>
      </c>
      <c r="D1807">
        <f>MONTH(C1807)</f>
        <v/>
      </c>
      <c r="E1807">
        <f>'Календарь'!D320</f>
        <v/>
      </c>
      <c r="F1807">
        <f>INT((C1807-Нед_Начало)/7)+1</f>
        <v/>
      </c>
      <c r="G1807">
        <f>IF(E1807=0,0,INDEX('Планы менеджеров'!$B$5:$M$16,B1807,D1807)/INDEX(Мес_Раб,D1807))</f>
        <v/>
      </c>
    </row>
    <row r="1808">
      <c r="A1808" t="inlineStr">
        <is>
          <t>Новиков</t>
        </is>
      </c>
      <c r="B1808" t="n">
        <v>9</v>
      </c>
      <c r="C1808" s="18">
        <f>'Календарь'!A321</f>
        <v/>
      </c>
      <c r="D1808">
        <f>MONTH(C1808)</f>
        <v/>
      </c>
      <c r="E1808">
        <f>'Календарь'!D321</f>
        <v/>
      </c>
      <c r="F1808">
        <f>INT((C1808-Нед_Начало)/7)+1</f>
        <v/>
      </c>
      <c r="G1808">
        <f>IF(E1808=0,0,INDEX('Планы менеджеров'!$B$5:$M$16,B1808,D1808)/INDEX(Мес_Раб,D1808))</f>
        <v/>
      </c>
    </row>
    <row r="1809">
      <c r="A1809" t="inlineStr">
        <is>
          <t>Новиков</t>
        </is>
      </c>
      <c r="B1809" t="n">
        <v>9</v>
      </c>
      <c r="C1809" s="18">
        <f>'Календарь'!A322</f>
        <v/>
      </c>
      <c r="D1809">
        <f>MONTH(C1809)</f>
        <v/>
      </c>
      <c r="E1809">
        <f>'Календарь'!D322</f>
        <v/>
      </c>
      <c r="F1809">
        <f>INT((C1809-Нед_Начало)/7)+1</f>
        <v/>
      </c>
      <c r="G1809">
        <f>IF(E1809=0,0,INDEX('Планы менеджеров'!$B$5:$M$16,B1809,D1809)/INDEX(Мес_Раб,D1809))</f>
        <v/>
      </c>
    </row>
    <row r="1810">
      <c r="A1810" t="inlineStr">
        <is>
          <t>Новиков</t>
        </is>
      </c>
      <c r="B1810" t="n">
        <v>9</v>
      </c>
      <c r="C1810" s="18">
        <f>'Календарь'!A323</f>
        <v/>
      </c>
      <c r="D1810">
        <f>MONTH(C1810)</f>
        <v/>
      </c>
      <c r="E1810">
        <f>'Календарь'!D323</f>
        <v/>
      </c>
      <c r="F1810">
        <f>INT((C1810-Нед_Начало)/7)+1</f>
        <v/>
      </c>
      <c r="G1810">
        <f>IF(E1810=0,0,INDEX('Планы менеджеров'!$B$5:$M$16,B1810,D1810)/INDEX(Мес_Раб,D1810))</f>
        <v/>
      </c>
    </row>
    <row r="1811">
      <c r="A1811" t="inlineStr">
        <is>
          <t>Новиков</t>
        </is>
      </c>
      <c r="B1811" t="n">
        <v>9</v>
      </c>
      <c r="C1811" s="18">
        <f>'Календарь'!A324</f>
        <v/>
      </c>
      <c r="D1811">
        <f>MONTH(C1811)</f>
        <v/>
      </c>
      <c r="E1811">
        <f>'Календарь'!D324</f>
        <v/>
      </c>
      <c r="F1811">
        <f>INT((C1811-Нед_Начало)/7)+1</f>
        <v/>
      </c>
      <c r="G1811">
        <f>IF(E1811=0,0,INDEX('Планы менеджеров'!$B$5:$M$16,B1811,D1811)/INDEX(Мес_Раб,D1811))</f>
        <v/>
      </c>
    </row>
    <row r="1812">
      <c r="A1812" t="inlineStr">
        <is>
          <t>Новиков</t>
        </is>
      </c>
      <c r="B1812" t="n">
        <v>9</v>
      </c>
      <c r="C1812" s="18">
        <f>'Календарь'!A325</f>
        <v/>
      </c>
      <c r="D1812">
        <f>MONTH(C1812)</f>
        <v/>
      </c>
      <c r="E1812">
        <f>'Календарь'!D325</f>
        <v/>
      </c>
      <c r="F1812">
        <f>INT((C1812-Нед_Начало)/7)+1</f>
        <v/>
      </c>
      <c r="G1812">
        <f>IF(E1812=0,0,INDEX('Планы менеджеров'!$B$5:$M$16,B1812,D1812)/INDEX(Мес_Раб,D1812))</f>
        <v/>
      </c>
    </row>
    <row r="1813">
      <c r="A1813" t="inlineStr">
        <is>
          <t>Новиков</t>
        </is>
      </c>
      <c r="B1813" t="n">
        <v>9</v>
      </c>
      <c r="C1813" s="18">
        <f>'Календарь'!A326</f>
        <v/>
      </c>
      <c r="D1813">
        <f>MONTH(C1813)</f>
        <v/>
      </c>
      <c r="E1813">
        <f>'Календарь'!D326</f>
        <v/>
      </c>
      <c r="F1813">
        <f>INT((C1813-Нед_Начало)/7)+1</f>
        <v/>
      </c>
      <c r="G1813">
        <f>IF(E1813=0,0,INDEX('Планы менеджеров'!$B$5:$M$16,B1813,D1813)/INDEX(Мес_Раб,D1813))</f>
        <v/>
      </c>
    </row>
    <row r="1814">
      <c r="A1814" t="inlineStr">
        <is>
          <t>Новиков</t>
        </is>
      </c>
      <c r="B1814" t="n">
        <v>9</v>
      </c>
      <c r="C1814" s="18">
        <f>'Календарь'!A327</f>
        <v/>
      </c>
      <c r="D1814">
        <f>MONTH(C1814)</f>
        <v/>
      </c>
      <c r="E1814">
        <f>'Календарь'!D327</f>
        <v/>
      </c>
      <c r="F1814">
        <f>INT((C1814-Нед_Начало)/7)+1</f>
        <v/>
      </c>
      <c r="G1814">
        <f>IF(E1814=0,0,INDEX('Планы менеджеров'!$B$5:$M$16,B1814,D1814)/INDEX(Мес_Раб,D1814))</f>
        <v/>
      </c>
    </row>
    <row r="1815">
      <c r="A1815" t="inlineStr">
        <is>
          <t>Новиков</t>
        </is>
      </c>
      <c r="B1815" t="n">
        <v>9</v>
      </c>
      <c r="C1815" s="18">
        <f>'Календарь'!A328</f>
        <v/>
      </c>
      <c r="D1815">
        <f>MONTH(C1815)</f>
        <v/>
      </c>
      <c r="E1815">
        <f>'Календарь'!D328</f>
        <v/>
      </c>
      <c r="F1815">
        <f>INT((C1815-Нед_Начало)/7)+1</f>
        <v/>
      </c>
      <c r="G1815">
        <f>IF(E1815=0,0,INDEX('Планы менеджеров'!$B$5:$M$16,B1815,D1815)/INDEX(Мес_Раб,D1815))</f>
        <v/>
      </c>
    </row>
    <row r="1816">
      <c r="A1816" t="inlineStr">
        <is>
          <t>Новиков</t>
        </is>
      </c>
      <c r="B1816" t="n">
        <v>9</v>
      </c>
      <c r="C1816" s="18">
        <f>'Календарь'!A329</f>
        <v/>
      </c>
      <c r="D1816">
        <f>MONTH(C1816)</f>
        <v/>
      </c>
      <c r="E1816">
        <f>'Календарь'!D329</f>
        <v/>
      </c>
      <c r="F1816">
        <f>INT((C1816-Нед_Начало)/7)+1</f>
        <v/>
      </c>
      <c r="G1816">
        <f>IF(E1816=0,0,INDEX('Планы менеджеров'!$B$5:$M$16,B1816,D1816)/INDEX(Мес_Раб,D1816))</f>
        <v/>
      </c>
    </row>
    <row r="1817">
      <c r="A1817" t="inlineStr">
        <is>
          <t>Новиков</t>
        </is>
      </c>
      <c r="B1817" t="n">
        <v>9</v>
      </c>
      <c r="C1817" s="18">
        <f>'Календарь'!A330</f>
        <v/>
      </c>
      <c r="D1817">
        <f>MONTH(C1817)</f>
        <v/>
      </c>
      <c r="E1817">
        <f>'Календарь'!D330</f>
        <v/>
      </c>
      <c r="F1817">
        <f>INT((C1817-Нед_Начало)/7)+1</f>
        <v/>
      </c>
      <c r="G1817">
        <f>IF(E1817=0,0,INDEX('Планы менеджеров'!$B$5:$M$16,B1817,D1817)/INDEX(Мес_Раб,D1817))</f>
        <v/>
      </c>
    </row>
    <row r="1818">
      <c r="A1818" t="inlineStr">
        <is>
          <t>Новиков</t>
        </is>
      </c>
      <c r="B1818" t="n">
        <v>9</v>
      </c>
      <c r="C1818" s="18">
        <f>'Календарь'!A331</f>
        <v/>
      </c>
      <c r="D1818">
        <f>MONTH(C1818)</f>
        <v/>
      </c>
      <c r="E1818">
        <f>'Календарь'!D331</f>
        <v/>
      </c>
      <c r="F1818">
        <f>INT((C1818-Нед_Начало)/7)+1</f>
        <v/>
      </c>
      <c r="G1818">
        <f>IF(E1818=0,0,INDEX('Планы менеджеров'!$B$5:$M$16,B1818,D1818)/INDEX(Мес_Раб,D1818))</f>
        <v/>
      </c>
    </row>
    <row r="1819">
      <c r="A1819" t="inlineStr">
        <is>
          <t>Новиков</t>
        </is>
      </c>
      <c r="B1819" t="n">
        <v>9</v>
      </c>
      <c r="C1819" s="18">
        <f>'Календарь'!A332</f>
        <v/>
      </c>
      <c r="D1819">
        <f>MONTH(C1819)</f>
        <v/>
      </c>
      <c r="E1819">
        <f>'Календарь'!D332</f>
        <v/>
      </c>
      <c r="F1819">
        <f>INT((C1819-Нед_Начало)/7)+1</f>
        <v/>
      </c>
      <c r="G1819">
        <f>IF(E1819=0,0,INDEX('Планы менеджеров'!$B$5:$M$16,B1819,D1819)/INDEX(Мес_Раб,D1819))</f>
        <v/>
      </c>
    </row>
    <row r="1820">
      <c r="A1820" t="inlineStr">
        <is>
          <t>Новиков</t>
        </is>
      </c>
      <c r="B1820" t="n">
        <v>9</v>
      </c>
      <c r="C1820" s="18">
        <f>'Календарь'!A333</f>
        <v/>
      </c>
      <c r="D1820">
        <f>MONTH(C1820)</f>
        <v/>
      </c>
      <c r="E1820">
        <f>'Календарь'!D333</f>
        <v/>
      </c>
      <c r="F1820">
        <f>INT((C1820-Нед_Начало)/7)+1</f>
        <v/>
      </c>
      <c r="G1820">
        <f>IF(E1820=0,0,INDEX('Планы менеджеров'!$B$5:$M$16,B1820,D1820)/INDEX(Мес_Раб,D1820))</f>
        <v/>
      </c>
    </row>
    <row r="1821">
      <c r="A1821" t="inlineStr">
        <is>
          <t>Новиков</t>
        </is>
      </c>
      <c r="B1821" t="n">
        <v>9</v>
      </c>
      <c r="C1821" s="18">
        <f>'Календарь'!A334</f>
        <v/>
      </c>
      <c r="D1821">
        <f>MONTH(C1821)</f>
        <v/>
      </c>
      <c r="E1821">
        <f>'Календарь'!D334</f>
        <v/>
      </c>
      <c r="F1821">
        <f>INT((C1821-Нед_Начало)/7)+1</f>
        <v/>
      </c>
      <c r="G1821">
        <f>IF(E1821=0,0,INDEX('Планы менеджеров'!$B$5:$M$16,B1821,D1821)/INDEX(Мес_Раб,D1821))</f>
        <v/>
      </c>
    </row>
    <row r="1822">
      <c r="A1822" t="inlineStr">
        <is>
          <t>Новиков</t>
        </is>
      </c>
      <c r="B1822" t="n">
        <v>9</v>
      </c>
      <c r="C1822" s="18">
        <f>'Календарь'!A335</f>
        <v/>
      </c>
      <c r="D1822">
        <f>MONTH(C1822)</f>
        <v/>
      </c>
      <c r="E1822">
        <f>'Календарь'!D335</f>
        <v/>
      </c>
      <c r="F1822">
        <f>INT((C1822-Нед_Начало)/7)+1</f>
        <v/>
      </c>
      <c r="G1822">
        <f>IF(E1822=0,0,INDEX('Планы менеджеров'!$B$5:$M$16,B1822,D1822)/INDEX(Мес_Раб,D1822))</f>
        <v/>
      </c>
    </row>
    <row r="1823">
      <c r="A1823" t="inlineStr">
        <is>
          <t>Новиков</t>
        </is>
      </c>
      <c r="B1823" t="n">
        <v>9</v>
      </c>
      <c r="C1823" s="18">
        <f>'Календарь'!A336</f>
        <v/>
      </c>
      <c r="D1823">
        <f>MONTH(C1823)</f>
        <v/>
      </c>
      <c r="E1823">
        <f>'Календарь'!D336</f>
        <v/>
      </c>
      <c r="F1823">
        <f>INT((C1823-Нед_Начало)/7)+1</f>
        <v/>
      </c>
      <c r="G1823">
        <f>IF(E1823=0,0,INDEX('Планы менеджеров'!$B$5:$M$16,B1823,D1823)/INDEX(Мес_Раб,D1823))</f>
        <v/>
      </c>
    </row>
    <row r="1824">
      <c r="A1824" t="inlineStr">
        <is>
          <t>Новиков</t>
        </is>
      </c>
      <c r="B1824" t="n">
        <v>9</v>
      </c>
      <c r="C1824" s="18">
        <f>'Календарь'!A337</f>
        <v/>
      </c>
      <c r="D1824">
        <f>MONTH(C1824)</f>
        <v/>
      </c>
      <c r="E1824">
        <f>'Календарь'!D337</f>
        <v/>
      </c>
      <c r="F1824">
        <f>INT((C1824-Нед_Начало)/7)+1</f>
        <v/>
      </c>
      <c r="G1824">
        <f>IF(E1824=0,0,INDEX('Планы менеджеров'!$B$5:$M$16,B1824,D1824)/INDEX(Мес_Раб,D1824))</f>
        <v/>
      </c>
    </row>
    <row r="1825">
      <c r="A1825" t="inlineStr">
        <is>
          <t>Новиков</t>
        </is>
      </c>
      <c r="B1825" t="n">
        <v>9</v>
      </c>
      <c r="C1825" s="18">
        <f>'Календарь'!A338</f>
        <v/>
      </c>
      <c r="D1825">
        <f>MONTH(C1825)</f>
        <v/>
      </c>
      <c r="E1825">
        <f>'Календарь'!D338</f>
        <v/>
      </c>
      <c r="F1825">
        <f>INT((C1825-Нед_Начало)/7)+1</f>
        <v/>
      </c>
      <c r="G1825">
        <f>IF(E1825=0,0,INDEX('Планы менеджеров'!$B$5:$M$16,B1825,D1825)/INDEX(Мес_Раб,D1825))</f>
        <v/>
      </c>
    </row>
    <row r="1826">
      <c r="A1826" t="inlineStr">
        <is>
          <t>Новиков</t>
        </is>
      </c>
      <c r="B1826" t="n">
        <v>9</v>
      </c>
      <c r="C1826" s="18">
        <f>'Календарь'!A339</f>
        <v/>
      </c>
      <c r="D1826">
        <f>MONTH(C1826)</f>
        <v/>
      </c>
      <c r="E1826">
        <f>'Календарь'!D339</f>
        <v/>
      </c>
      <c r="F1826">
        <f>INT((C1826-Нед_Начало)/7)+1</f>
        <v/>
      </c>
      <c r="G1826">
        <f>IF(E1826=0,0,INDEX('Планы менеджеров'!$B$5:$M$16,B1826,D1826)/INDEX(Мес_Раб,D1826))</f>
        <v/>
      </c>
    </row>
    <row r="1827">
      <c r="A1827" t="inlineStr">
        <is>
          <t>Новиков</t>
        </is>
      </c>
      <c r="B1827" t="n">
        <v>9</v>
      </c>
      <c r="C1827" s="18">
        <f>'Календарь'!A340</f>
        <v/>
      </c>
      <c r="D1827">
        <f>MONTH(C1827)</f>
        <v/>
      </c>
      <c r="E1827">
        <f>'Календарь'!D340</f>
        <v/>
      </c>
      <c r="F1827">
        <f>INT((C1827-Нед_Начало)/7)+1</f>
        <v/>
      </c>
      <c r="G1827">
        <f>IF(E1827=0,0,INDEX('Планы менеджеров'!$B$5:$M$16,B1827,D1827)/INDEX(Мес_Раб,D1827))</f>
        <v/>
      </c>
    </row>
    <row r="1828">
      <c r="A1828" t="inlineStr">
        <is>
          <t>Новиков</t>
        </is>
      </c>
      <c r="B1828" t="n">
        <v>9</v>
      </c>
      <c r="C1828" s="18">
        <f>'Календарь'!A341</f>
        <v/>
      </c>
      <c r="D1828">
        <f>MONTH(C1828)</f>
        <v/>
      </c>
      <c r="E1828">
        <f>'Календарь'!D341</f>
        <v/>
      </c>
      <c r="F1828">
        <f>INT((C1828-Нед_Начало)/7)+1</f>
        <v/>
      </c>
      <c r="G1828">
        <f>IF(E1828=0,0,INDEX('Планы менеджеров'!$B$5:$M$16,B1828,D1828)/INDEX(Мес_Раб,D1828))</f>
        <v/>
      </c>
    </row>
    <row r="1829">
      <c r="A1829" t="inlineStr">
        <is>
          <t>Новиков</t>
        </is>
      </c>
      <c r="B1829" t="n">
        <v>9</v>
      </c>
      <c r="C1829" s="18">
        <f>'Календарь'!A342</f>
        <v/>
      </c>
      <c r="D1829">
        <f>MONTH(C1829)</f>
        <v/>
      </c>
      <c r="E1829">
        <f>'Календарь'!D342</f>
        <v/>
      </c>
      <c r="F1829">
        <f>INT((C1829-Нед_Начало)/7)+1</f>
        <v/>
      </c>
      <c r="G1829">
        <f>IF(E1829=0,0,INDEX('Планы менеджеров'!$B$5:$M$16,B1829,D1829)/INDEX(Мес_Раб,D1829))</f>
        <v/>
      </c>
    </row>
    <row r="1830">
      <c r="A1830" t="inlineStr">
        <is>
          <t>Новиков</t>
        </is>
      </c>
      <c r="B1830" t="n">
        <v>9</v>
      </c>
      <c r="C1830" s="18">
        <f>'Календарь'!A343</f>
        <v/>
      </c>
      <c r="D1830">
        <f>MONTH(C1830)</f>
        <v/>
      </c>
      <c r="E1830">
        <f>'Календарь'!D343</f>
        <v/>
      </c>
      <c r="F1830">
        <f>INT((C1830-Нед_Начало)/7)+1</f>
        <v/>
      </c>
      <c r="G1830">
        <f>IF(E1830=0,0,INDEX('Планы менеджеров'!$B$5:$M$16,B1830,D1830)/INDEX(Мес_Раб,D1830))</f>
        <v/>
      </c>
    </row>
    <row r="1831">
      <c r="A1831" t="inlineStr">
        <is>
          <t>Новиков</t>
        </is>
      </c>
      <c r="B1831" t="n">
        <v>9</v>
      </c>
      <c r="C1831" s="18">
        <f>'Календарь'!A344</f>
        <v/>
      </c>
      <c r="D1831">
        <f>MONTH(C1831)</f>
        <v/>
      </c>
      <c r="E1831">
        <f>'Календарь'!D344</f>
        <v/>
      </c>
      <c r="F1831">
        <f>INT((C1831-Нед_Начало)/7)+1</f>
        <v/>
      </c>
      <c r="G1831">
        <f>IF(E1831=0,0,INDEX('Планы менеджеров'!$B$5:$M$16,B1831,D1831)/INDEX(Мес_Раб,D1831))</f>
        <v/>
      </c>
    </row>
    <row r="1832">
      <c r="A1832" t="inlineStr">
        <is>
          <t>Новиков</t>
        </is>
      </c>
      <c r="B1832" t="n">
        <v>9</v>
      </c>
      <c r="C1832" s="18">
        <f>'Календарь'!A345</f>
        <v/>
      </c>
      <c r="D1832">
        <f>MONTH(C1832)</f>
        <v/>
      </c>
      <c r="E1832">
        <f>'Календарь'!D345</f>
        <v/>
      </c>
      <c r="F1832">
        <f>INT((C1832-Нед_Начало)/7)+1</f>
        <v/>
      </c>
      <c r="G1832">
        <f>IF(E1832=0,0,INDEX('Планы менеджеров'!$B$5:$M$16,B1832,D1832)/INDEX(Мес_Раб,D1832))</f>
        <v/>
      </c>
    </row>
    <row r="1833">
      <c r="A1833" t="inlineStr">
        <is>
          <t>Новиков</t>
        </is>
      </c>
      <c r="B1833" t="n">
        <v>9</v>
      </c>
      <c r="C1833" s="18">
        <f>'Календарь'!A346</f>
        <v/>
      </c>
      <c r="D1833">
        <f>MONTH(C1833)</f>
        <v/>
      </c>
      <c r="E1833">
        <f>'Календарь'!D346</f>
        <v/>
      </c>
      <c r="F1833">
        <f>INT((C1833-Нед_Начало)/7)+1</f>
        <v/>
      </c>
      <c r="G1833">
        <f>IF(E1833=0,0,INDEX('Планы менеджеров'!$B$5:$M$16,B1833,D1833)/INDEX(Мес_Раб,D1833))</f>
        <v/>
      </c>
    </row>
    <row r="1834">
      <c r="A1834" t="inlineStr">
        <is>
          <t>Новиков</t>
        </is>
      </c>
      <c r="B1834" t="n">
        <v>9</v>
      </c>
      <c r="C1834" s="18">
        <f>'Календарь'!A347</f>
        <v/>
      </c>
      <c r="D1834">
        <f>MONTH(C1834)</f>
        <v/>
      </c>
      <c r="E1834">
        <f>'Календарь'!D347</f>
        <v/>
      </c>
      <c r="F1834">
        <f>INT((C1834-Нед_Начало)/7)+1</f>
        <v/>
      </c>
      <c r="G1834">
        <f>IF(E1834=0,0,INDEX('Планы менеджеров'!$B$5:$M$16,B1834,D1834)/INDEX(Мес_Раб,D1834))</f>
        <v/>
      </c>
    </row>
    <row r="1835">
      <c r="A1835" t="inlineStr">
        <is>
          <t>Новиков</t>
        </is>
      </c>
      <c r="B1835" t="n">
        <v>9</v>
      </c>
      <c r="C1835" s="18">
        <f>'Календарь'!A348</f>
        <v/>
      </c>
      <c r="D1835">
        <f>MONTH(C1835)</f>
        <v/>
      </c>
      <c r="E1835">
        <f>'Календарь'!D348</f>
        <v/>
      </c>
      <c r="F1835">
        <f>INT((C1835-Нед_Начало)/7)+1</f>
        <v/>
      </c>
      <c r="G1835">
        <f>IF(E1835=0,0,INDEX('Планы менеджеров'!$B$5:$M$16,B1835,D1835)/INDEX(Мес_Раб,D1835))</f>
        <v/>
      </c>
    </row>
    <row r="1836">
      <c r="A1836" t="inlineStr">
        <is>
          <t>Новиков</t>
        </is>
      </c>
      <c r="B1836" t="n">
        <v>9</v>
      </c>
      <c r="C1836" s="18">
        <f>'Календарь'!A349</f>
        <v/>
      </c>
      <c r="D1836">
        <f>MONTH(C1836)</f>
        <v/>
      </c>
      <c r="E1836">
        <f>'Календарь'!D349</f>
        <v/>
      </c>
      <c r="F1836">
        <f>INT((C1836-Нед_Начало)/7)+1</f>
        <v/>
      </c>
      <c r="G1836">
        <f>IF(E1836=0,0,INDEX('Планы менеджеров'!$B$5:$M$16,B1836,D1836)/INDEX(Мес_Раб,D1836))</f>
        <v/>
      </c>
    </row>
    <row r="1837">
      <c r="A1837" t="inlineStr">
        <is>
          <t>Новиков</t>
        </is>
      </c>
      <c r="B1837" t="n">
        <v>9</v>
      </c>
      <c r="C1837" s="18">
        <f>'Календарь'!A350</f>
        <v/>
      </c>
      <c r="D1837">
        <f>MONTH(C1837)</f>
        <v/>
      </c>
      <c r="E1837">
        <f>'Календарь'!D350</f>
        <v/>
      </c>
      <c r="F1837">
        <f>INT((C1837-Нед_Начало)/7)+1</f>
        <v/>
      </c>
      <c r="G1837">
        <f>IF(E1837=0,0,INDEX('Планы менеджеров'!$B$5:$M$16,B1837,D1837)/INDEX(Мес_Раб,D1837))</f>
        <v/>
      </c>
    </row>
    <row r="1838">
      <c r="A1838" t="inlineStr">
        <is>
          <t>Новиков</t>
        </is>
      </c>
      <c r="B1838" t="n">
        <v>9</v>
      </c>
      <c r="C1838" s="18">
        <f>'Календарь'!A351</f>
        <v/>
      </c>
      <c r="D1838">
        <f>MONTH(C1838)</f>
        <v/>
      </c>
      <c r="E1838">
        <f>'Календарь'!D351</f>
        <v/>
      </c>
      <c r="F1838">
        <f>INT((C1838-Нед_Начало)/7)+1</f>
        <v/>
      </c>
      <c r="G1838">
        <f>IF(E1838=0,0,INDEX('Планы менеджеров'!$B$5:$M$16,B1838,D1838)/INDEX(Мес_Раб,D1838))</f>
        <v/>
      </c>
    </row>
    <row r="1839">
      <c r="A1839" t="inlineStr">
        <is>
          <t>Новиков</t>
        </is>
      </c>
      <c r="B1839" t="n">
        <v>9</v>
      </c>
      <c r="C1839" s="18">
        <f>'Календарь'!A352</f>
        <v/>
      </c>
      <c r="D1839">
        <f>MONTH(C1839)</f>
        <v/>
      </c>
      <c r="E1839">
        <f>'Календарь'!D352</f>
        <v/>
      </c>
      <c r="F1839">
        <f>INT((C1839-Нед_Начало)/7)+1</f>
        <v/>
      </c>
      <c r="G1839">
        <f>IF(E1839=0,0,INDEX('Планы менеджеров'!$B$5:$M$16,B1839,D1839)/INDEX(Мес_Раб,D1839))</f>
        <v/>
      </c>
    </row>
    <row r="1840">
      <c r="A1840" t="inlineStr">
        <is>
          <t>Новиков</t>
        </is>
      </c>
      <c r="B1840" t="n">
        <v>9</v>
      </c>
      <c r="C1840" s="18">
        <f>'Календарь'!A353</f>
        <v/>
      </c>
      <c r="D1840">
        <f>MONTH(C1840)</f>
        <v/>
      </c>
      <c r="E1840">
        <f>'Календарь'!D353</f>
        <v/>
      </c>
      <c r="F1840">
        <f>INT((C1840-Нед_Начало)/7)+1</f>
        <v/>
      </c>
      <c r="G1840">
        <f>IF(E1840=0,0,INDEX('Планы менеджеров'!$B$5:$M$16,B1840,D1840)/INDEX(Мес_Раб,D1840))</f>
        <v/>
      </c>
    </row>
    <row r="1841">
      <c r="A1841" t="inlineStr">
        <is>
          <t>Новиков</t>
        </is>
      </c>
      <c r="B1841" t="n">
        <v>9</v>
      </c>
      <c r="C1841" s="18">
        <f>'Календарь'!A354</f>
        <v/>
      </c>
      <c r="D1841">
        <f>MONTH(C1841)</f>
        <v/>
      </c>
      <c r="E1841">
        <f>'Календарь'!D354</f>
        <v/>
      </c>
      <c r="F1841">
        <f>INT((C1841-Нед_Начало)/7)+1</f>
        <v/>
      </c>
      <c r="G1841">
        <f>IF(E1841=0,0,INDEX('Планы менеджеров'!$B$5:$M$16,B1841,D1841)/INDEX(Мес_Раб,D1841))</f>
        <v/>
      </c>
    </row>
    <row r="1842">
      <c r="A1842" t="inlineStr">
        <is>
          <t>Новиков</t>
        </is>
      </c>
      <c r="B1842" t="n">
        <v>9</v>
      </c>
      <c r="C1842" s="18">
        <f>'Календарь'!A355</f>
        <v/>
      </c>
      <c r="D1842">
        <f>MONTH(C1842)</f>
        <v/>
      </c>
      <c r="E1842">
        <f>'Календарь'!D355</f>
        <v/>
      </c>
      <c r="F1842">
        <f>INT((C1842-Нед_Начало)/7)+1</f>
        <v/>
      </c>
      <c r="G1842">
        <f>IF(E1842=0,0,INDEX('Планы менеджеров'!$B$5:$M$16,B1842,D1842)/INDEX(Мес_Раб,D1842))</f>
        <v/>
      </c>
    </row>
    <row r="1843">
      <c r="A1843" t="inlineStr">
        <is>
          <t>Новиков</t>
        </is>
      </c>
      <c r="B1843" t="n">
        <v>9</v>
      </c>
      <c r="C1843" s="18">
        <f>'Календарь'!A356</f>
        <v/>
      </c>
      <c r="D1843">
        <f>MONTH(C1843)</f>
        <v/>
      </c>
      <c r="E1843">
        <f>'Календарь'!D356</f>
        <v/>
      </c>
      <c r="F1843">
        <f>INT((C1843-Нед_Начало)/7)+1</f>
        <v/>
      </c>
      <c r="G1843">
        <f>IF(E1843=0,0,INDEX('Планы менеджеров'!$B$5:$M$16,B1843,D1843)/INDEX(Мес_Раб,D1843))</f>
        <v/>
      </c>
    </row>
    <row r="1844">
      <c r="A1844" t="inlineStr">
        <is>
          <t>Новиков</t>
        </is>
      </c>
      <c r="B1844" t="n">
        <v>9</v>
      </c>
      <c r="C1844" s="18">
        <f>'Календарь'!A357</f>
        <v/>
      </c>
      <c r="D1844">
        <f>MONTH(C1844)</f>
        <v/>
      </c>
      <c r="E1844">
        <f>'Календарь'!D357</f>
        <v/>
      </c>
      <c r="F1844">
        <f>INT((C1844-Нед_Начало)/7)+1</f>
        <v/>
      </c>
      <c r="G1844">
        <f>IF(E1844=0,0,INDEX('Планы менеджеров'!$B$5:$M$16,B1844,D1844)/INDEX(Мес_Раб,D1844))</f>
        <v/>
      </c>
    </row>
    <row r="1845">
      <c r="A1845" t="inlineStr">
        <is>
          <t>Новиков</t>
        </is>
      </c>
      <c r="B1845" t="n">
        <v>9</v>
      </c>
      <c r="C1845" s="18">
        <f>'Календарь'!A358</f>
        <v/>
      </c>
      <c r="D1845">
        <f>MONTH(C1845)</f>
        <v/>
      </c>
      <c r="E1845">
        <f>'Календарь'!D358</f>
        <v/>
      </c>
      <c r="F1845">
        <f>INT((C1845-Нед_Начало)/7)+1</f>
        <v/>
      </c>
      <c r="G1845">
        <f>IF(E1845=0,0,INDEX('Планы менеджеров'!$B$5:$M$16,B1845,D1845)/INDEX(Мес_Раб,D1845))</f>
        <v/>
      </c>
    </row>
    <row r="1846">
      <c r="A1846" t="inlineStr">
        <is>
          <t>Новиков</t>
        </is>
      </c>
      <c r="B1846" t="n">
        <v>9</v>
      </c>
      <c r="C1846" s="18">
        <f>'Календарь'!A359</f>
        <v/>
      </c>
      <c r="D1846">
        <f>MONTH(C1846)</f>
        <v/>
      </c>
      <c r="E1846">
        <f>'Календарь'!D359</f>
        <v/>
      </c>
      <c r="F1846">
        <f>INT((C1846-Нед_Начало)/7)+1</f>
        <v/>
      </c>
      <c r="G1846">
        <f>IF(E1846=0,0,INDEX('Планы менеджеров'!$B$5:$M$16,B1846,D1846)/INDEX(Мес_Раб,D1846))</f>
        <v/>
      </c>
    </row>
    <row r="1847">
      <c r="A1847" t="inlineStr">
        <is>
          <t>Новиков</t>
        </is>
      </c>
      <c r="B1847" t="n">
        <v>9</v>
      </c>
      <c r="C1847" s="18">
        <f>'Календарь'!A360</f>
        <v/>
      </c>
      <c r="D1847">
        <f>MONTH(C1847)</f>
        <v/>
      </c>
      <c r="E1847">
        <f>'Календарь'!D360</f>
        <v/>
      </c>
      <c r="F1847">
        <f>INT((C1847-Нед_Начало)/7)+1</f>
        <v/>
      </c>
      <c r="G1847">
        <f>IF(E1847=0,0,INDEX('Планы менеджеров'!$B$5:$M$16,B1847,D1847)/INDEX(Мес_Раб,D1847))</f>
        <v/>
      </c>
    </row>
    <row r="1848">
      <c r="A1848" t="inlineStr">
        <is>
          <t>Новиков</t>
        </is>
      </c>
      <c r="B1848" t="n">
        <v>9</v>
      </c>
      <c r="C1848" s="18">
        <f>'Календарь'!A361</f>
        <v/>
      </c>
      <c r="D1848">
        <f>MONTH(C1848)</f>
        <v/>
      </c>
      <c r="E1848">
        <f>'Календарь'!D361</f>
        <v/>
      </c>
      <c r="F1848">
        <f>INT((C1848-Нед_Начало)/7)+1</f>
        <v/>
      </c>
      <c r="G1848">
        <f>IF(E1848=0,0,INDEX('Планы менеджеров'!$B$5:$M$16,B1848,D1848)/INDEX(Мес_Раб,D1848))</f>
        <v/>
      </c>
    </row>
    <row r="1849">
      <c r="A1849" t="inlineStr">
        <is>
          <t>Новиков</t>
        </is>
      </c>
      <c r="B1849" t="n">
        <v>9</v>
      </c>
      <c r="C1849" s="18">
        <f>'Календарь'!A362</f>
        <v/>
      </c>
      <c r="D1849">
        <f>MONTH(C1849)</f>
        <v/>
      </c>
      <c r="E1849">
        <f>'Календарь'!D362</f>
        <v/>
      </c>
      <c r="F1849">
        <f>INT((C1849-Нед_Начало)/7)+1</f>
        <v/>
      </c>
      <c r="G1849">
        <f>IF(E1849=0,0,INDEX('Планы менеджеров'!$B$5:$M$16,B1849,D1849)/INDEX(Мес_Раб,D1849))</f>
        <v/>
      </c>
    </row>
    <row r="1850">
      <c r="A1850" t="inlineStr">
        <is>
          <t>Новиков</t>
        </is>
      </c>
      <c r="B1850" t="n">
        <v>9</v>
      </c>
      <c r="C1850" s="18">
        <f>'Календарь'!A363</f>
        <v/>
      </c>
      <c r="D1850">
        <f>MONTH(C1850)</f>
        <v/>
      </c>
      <c r="E1850">
        <f>'Календарь'!D363</f>
        <v/>
      </c>
      <c r="F1850">
        <f>INT((C1850-Нед_Начало)/7)+1</f>
        <v/>
      </c>
      <c r="G1850">
        <f>IF(E1850=0,0,INDEX('Планы менеджеров'!$B$5:$M$16,B1850,D1850)/INDEX(Мес_Раб,D1850))</f>
        <v/>
      </c>
    </row>
    <row r="1851">
      <c r="A1851" t="inlineStr">
        <is>
          <t>Новиков</t>
        </is>
      </c>
      <c r="B1851" t="n">
        <v>9</v>
      </c>
      <c r="C1851" s="18">
        <f>'Календарь'!A364</f>
        <v/>
      </c>
      <c r="D1851">
        <f>MONTH(C1851)</f>
        <v/>
      </c>
      <c r="E1851">
        <f>'Календарь'!D364</f>
        <v/>
      </c>
      <c r="F1851">
        <f>INT((C1851-Нед_Начало)/7)+1</f>
        <v/>
      </c>
      <c r="G1851">
        <f>IF(E1851=0,0,INDEX('Планы менеджеров'!$B$5:$M$16,B1851,D1851)/INDEX(Мес_Раб,D1851))</f>
        <v/>
      </c>
    </row>
    <row r="1852">
      <c r="A1852" t="inlineStr">
        <is>
          <t>Новиков</t>
        </is>
      </c>
      <c r="B1852" t="n">
        <v>9</v>
      </c>
      <c r="C1852" s="18">
        <f>'Календарь'!A365</f>
        <v/>
      </c>
      <c r="D1852">
        <f>MONTH(C1852)</f>
        <v/>
      </c>
      <c r="E1852">
        <f>'Календарь'!D365</f>
        <v/>
      </c>
      <c r="F1852">
        <f>INT((C1852-Нед_Начало)/7)+1</f>
        <v/>
      </c>
      <c r="G1852">
        <f>IF(E1852=0,0,INDEX('Планы менеджеров'!$B$5:$M$16,B1852,D1852)/INDEX(Мес_Раб,D1852))</f>
        <v/>
      </c>
    </row>
    <row r="1853">
      <c r="A1853" t="inlineStr">
        <is>
          <t>Новиков</t>
        </is>
      </c>
      <c r="B1853" t="n">
        <v>9</v>
      </c>
      <c r="C1853" s="18">
        <f>'Календарь'!A366</f>
        <v/>
      </c>
      <c r="D1853">
        <f>MONTH(C1853)</f>
        <v/>
      </c>
      <c r="E1853">
        <f>'Календарь'!D366</f>
        <v/>
      </c>
      <c r="F1853">
        <f>INT((C1853-Нед_Начало)/7)+1</f>
        <v/>
      </c>
      <c r="G1853">
        <f>IF(E1853=0,0,INDEX('Планы менеджеров'!$B$5:$M$16,B1853,D1853)/INDEX(Мес_Раб,D1853))</f>
        <v/>
      </c>
    </row>
    <row r="1854">
      <c r="A1854" t="inlineStr">
        <is>
          <t>Новиков</t>
        </is>
      </c>
      <c r="B1854" t="n">
        <v>9</v>
      </c>
      <c r="C1854" s="18">
        <f>'Календарь'!A367</f>
        <v/>
      </c>
      <c r="D1854">
        <f>MONTH(C1854)</f>
        <v/>
      </c>
      <c r="E1854">
        <f>'Календарь'!D367</f>
        <v/>
      </c>
      <c r="F1854">
        <f>INT((C1854-Нед_Начало)/7)+1</f>
        <v/>
      </c>
      <c r="G1854">
        <f>IF(E1854=0,0,INDEX('Планы менеджеров'!$B$5:$M$16,B1854,D1854)/INDEX(Мес_Раб,D1854))</f>
        <v/>
      </c>
    </row>
    <row r="1855">
      <c r="A1855" t="inlineStr">
        <is>
          <t>Новиков</t>
        </is>
      </c>
      <c r="B1855" t="n">
        <v>9</v>
      </c>
      <c r="C1855" s="18">
        <f>'Календарь'!A368</f>
        <v/>
      </c>
      <c r="D1855">
        <f>MONTH(C1855)</f>
        <v/>
      </c>
      <c r="E1855">
        <f>'Календарь'!D368</f>
        <v/>
      </c>
      <c r="F1855">
        <f>INT((C1855-Нед_Начало)/7)+1</f>
        <v/>
      </c>
      <c r="G1855">
        <f>IF(E1855=0,0,INDEX('Планы менеджеров'!$B$5:$M$16,B1855,D1855)/INDEX(Мес_Раб,D1855))</f>
        <v/>
      </c>
    </row>
    <row r="1856">
      <c r="A1856" t="inlineStr">
        <is>
          <t>Новиков</t>
        </is>
      </c>
      <c r="B1856" t="n">
        <v>9</v>
      </c>
      <c r="C1856" s="18">
        <f>'Календарь'!A369</f>
        <v/>
      </c>
      <c r="D1856">
        <f>MONTH(C1856)</f>
        <v/>
      </c>
      <c r="E1856">
        <f>'Календарь'!D369</f>
        <v/>
      </c>
      <c r="F1856">
        <f>INT((C1856-Нед_Начало)/7)+1</f>
        <v/>
      </c>
      <c r="G1856">
        <f>IF(E1856=0,0,INDEX('Планы менеджеров'!$B$5:$M$16,B1856,D1856)/INDEX(Мес_Раб,D1856))</f>
        <v/>
      </c>
    </row>
    <row r="1857">
      <c r="A1857" t="inlineStr">
        <is>
          <t>Новиков</t>
        </is>
      </c>
      <c r="B1857" t="n">
        <v>9</v>
      </c>
      <c r="C1857" s="18">
        <f>'Календарь'!A370</f>
        <v/>
      </c>
      <c r="D1857">
        <f>MONTH(C1857)</f>
        <v/>
      </c>
      <c r="E1857">
        <f>'Календарь'!D370</f>
        <v/>
      </c>
      <c r="F1857">
        <f>INT((C1857-Нед_Начало)/7)+1</f>
        <v/>
      </c>
      <c r="G1857">
        <f>IF(E1857=0,0,INDEX('Планы менеджеров'!$B$5:$M$16,B1857,D1857)/INDEX(Мес_Раб,D1857))</f>
        <v/>
      </c>
    </row>
    <row r="1858">
      <c r="A1858" t="inlineStr">
        <is>
          <t>Новиков</t>
        </is>
      </c>
      <c r="B1858" t="n">
        <v>9</v>
      </c>
      <c r="C1858" s="18">
        <f>'Календарь'!A371</f>
        <v/>
      </c>
      <c r="D1858">
        <f>MONTH(C1858)</f>
        <v/>
      </c>
      <c r="E1858">
        <f>'Календарь'!D371</f>
        <v/>
      </c>
      <c r="F1858">
        <f>INT((C1858-Нед_Начало)/7)+1</f>
        <v/>
      </c>
      <c r="G1858">
        <f>IF(E1858=0,0,INDEX('Планы менеджеров'!$B$5:$M$16,B1858,D1858)/INDEX(Мес_Раб,D1858))</f>
        <v/>
      </c>
    </row>
    <row r="1859">
      <c r="A1859" t="inlineStr">
        <is>
          <t>Новиков</t>
        </is>
      </c>
      <c r="B1859" t="n">
        <v>9</v>
      </c>
      <c r="C1859" s="18">
        <f>'Календарь'!A372</f>
        <v/>
      </c>
      <c r="D1859">
        <f>MONTH(C1859)</f>
        <v/>
      </c>
      <c r="E1859">
        <f>'Календарь'!D372</f>
        <v/>
      </c>
      <c r="F1859">
        <f>INT((C1859-Нед_Начало)/7)+1</f>
        <v/>
      </c>
      <c r="G1859">
        <f>IF(E1859=0,0,INDEX('Планы менеджеров'!$B$5:$M$16,B1859,D1859)/INDEX(Мес_Раб,D1859))</f>
        <v/>
      </c>
    </row>
    <row r="1860">
      <c r="A1860" t="inlineStr">
        <is>
          <t>Морозова</t>
        </is>
      </c>
      <c r="B1860" t="n">
        <v>10</v>
      </c>
      <c r="C1860" s="18">
        <f>'Календарь'!A2</f>
        <v/>
      </c>
      <c r="D1860">
        <f>MONTH(C1860)</f>
        <v/>
      </c>
      <c r="E1860">
        <f>'Календарь'!D2</f>
        <v/>
      </c>
      <c r="F1860">
        <f>INT((C1860-Нед_Начало)/7)+1</f>
        <v/>
      </c>
      <c r="G1860">
        <f>IF(E1860=0,0,INDEX('Планы менеджеров'!$B$5:$M$16,B1860,D1860)/INDEX(Мес_Раб,D1860))</f>
        <v/>
      </c>
    </row>
    <row r="1861">
      <c r="A1861" t="inlineStr">
        <is>
          <t>Морозова</t>
        </is>
      </c>
      <c r="B1861" t="n">
        <v>10</v>
      </c>
      <c r="C1861" s="18">
        <f>'Календарь'!A3</f>
        <v/>
      </c>
      <c r="D1861">
        <f>MONTH(C1861)</f>
        <v/>
      </c>
      <c r="E1861">
        <f>'Календарь'!D3</f>
        <v/>
      </c>
      <c r="F1861">
        <f>INT((C1861-Нед_Начало)/7)+1</f>
        <v/>
      </c>
      <c r="G1861">
        <f>IF(E1861=0,0,INDEX('Планы менеджеров'!$B$5:$M$16,B1861,D1861)/INDEX(Мес_Раб,D1861))</f>
        <v/>
      </c>
    </row>
    <row r="1862">
      <c r="A1862" t="inlineStr">
        <is>
          <t>Морозова</t>
        </is>
      </c>
      <c r="B1862" t="n">
        <v>10</v>
      </c>
      <c r="C1862" s="18">
        <f>'Календарь'!A4</f>
        <v/>
      </c>
      <c r="D1862">
        <f>MONTH(C1862)</f>
        <v/>
      </c>
      <c r="E1862">
        <f>'Календарь'!D4</f>
        <v/>
      </c>
      <c r="F1862">
        <f>INT((C1862-Нед_Начало)/7)+1</f>
        <v/>
      </c>
      <c r="G1862">
        <f>IF(E1862=0,0,INDEX('Планы менеджеров'!$B$5:$M$16,B1862,D1862)/INDEX(Мес_Раб,D1862))</f>
        <v/>
      </c>
    </row>
    <row r="1863">
      <c r="A1863" t="inlineStr">
        <is>
          <t>Морозова</t>
        </is>
      </c>
      <c r="B1863" t="n">
        <v>10</v>
      </c>
      <c r="C1863" s="18">
        <f>'Календарь'!A5</f>
        <v/>
      </c>
      <c r="D1863">
        <f>MONTH(C1863)</f>
        <v/>
      </c>
      <c r="E1863">
        <f>'Календарь'!D5</f>
        <v/>
      </c>
      <c r="F1863">
        <f>INT((C1863-Нед_Начало)/7)+1</f>
        <v/>
      </c>
      <c r="G1863">
        <f>IF(E1863=0,0,INDEX('Планы менеджеров'!$B$5:$M$16,B1863,D1863)/INDEX(Мес_Раб,D1863))</f>
        <v/>
      </c>
    </row>
    <row r="1864">
      <c r="A1864" t="inlineStr">
        <is>
          <t>Морозова</t>
        </is>
      </c>
      <c r="B1864" t="n">
        <v>10</v>
      </c>
      <c r="C1864" s="18">
        <f>'Календарь'!A6</f>
        <v/>
      </c>
      <c r="D1864">
        <f>MONTH(C1864)</f>
        <v/>
      </c>
      <c r="E1864">
        <f>'Календарь'!D6</f>
        <v/>
      </c>
      <c r="F1864">
        <f>INT((C1864-Нед_Начало)/7)+1</f>
        <v/>
      </c>
      <c r="G1864">
        <f>IF(E1864=0,0,INDEX('Планы менеджеров'!$B$5:$M$16,B1864,D1864)/INDEX(Мес_Раб,D1864))</f>
        <v/>
      </c>
    </row>
    <row r="1865">
      <c r="A1865" t="inlineStr">
        <is>
          <t>Морозова</t>
        </is>
      </c>
      <c r="B1865" t="n">
        <v>10</v>
      </c>
      <c r="C1865" s="18">
        <f>'Календарь'!A7</f>
        <v/>
      </c>
      <c r="D1865">
        <f>MONTH(C1865)</f>
        <v/>
      </c>
      <c r="E1865">
        <f>'Календарь'!D7</f>
        <v/>
      </c>
      <c r="F1865">
        <f>INT((C1865-Нед_Начало)/7)+1</f>
        <v/>
      </c>
      <c r="G1865">
        <f>IF(E1865=0,0,INDEX('Планы менеджеров'!$B$5:$M$16,B1865,D1865)/INDEX(Мес_Раб,D1865))</f>
        <v/>
      </c>
    </row>
    <row r="1866">
      <c r="A1866" t="inlineStr">
        <is>
          <t>Морозова</t>
        </is>
      </c>
      <c r="B1866" t="n">
        <v>10</v>
      </c>
      <c r="C1866" s="18">
        <f>'Календарь'!A8</f>
        <v/>
      </c>
      <c r="D1866">
        <f>MONTH(C1866)</f>
        <v/>
      </c>
      <c r="E1866">
        <f>'Календарь'!D8</f>
        <v/>
      </c>
      <c r="F1866">
        <f>INT((C1866-Нед_Начало)/7)+1</f>
        <v/>
      </c>
      <c r="G1866">
        <f>IF(E1866=0,0,INDEX('Планы менеджеров'!$B$5:$M$16,B1866,D1866)/INDEX(Мес_Раб,D1866))</f>
        <v/>
      </c>
    </row>
    <row r="1867">
      <c r="A1867" t="inlineStr">
        <is>
          <t>Морозова</t>
        </is>
      </c>
      <c r="B1867" t="n">
        <v>10</v>
      </c>
      <c r="C1867" s="18">
        <f>'Календарь'!A9</f>
        <v/>
      </c>
      <c r="D1867">
        <f>MONTH(C1867)</f>
        <v/>
      </c>
      <c r="E1867">
        <f>'Календарь'!D9</f>
        <v/>
      </c>
      <c r="F1867">
        <f>INT((C1867-Нед_Начало)/7)+1</f>
        <v/>
      </c>
      <c r="G1867">
        <f>IF(E1867=0,0,INDEX('Планы менеджеров'!$B$5:$M$16,B1867,D1867)/INDEX(Мес_Раб,D1867))</f>
        <v/>
      </c>
    </row>
    <row r="1868">
      <c r="A1868" t="inlineStr">
        <is>
          <t>Морозова</t>
        </is>
      </c>
      <c r="B1868" t="n">
        <v>10</v>
      </c>
      <c r="C1868" s="18">
        <f>'Календарь'!A10</f>
        <v/>
      </c>
      <c r="D1868">
        <f>MONTH(C1868)</f>
        <v/>
      </c>
      <c r="E1868">
        <f>'Календарь'!D10</f>
        <v/>
      </c>
      <c r="F1868">
        <f>INT((C1868-Нед_Начало)/7)+1</f>
        <v/>
      </c>
      <c r="G1868">
        <f>IF(E1868=0,0,INDEX('Планы менеджеров'!$B$5:$M$16,B1868,D1868)/INDEX(Мес_Раб,D1868))</f>
        <v/>
      </c>
    </row>
    <row r="1869">
      <c r="A1869" t="inlineStr">
        <is>
          <t>Морозова</t>
        </is>
      </c>
      <c r="B1869" t="n">
        <v>10</v>
      </c>
      <c r="C1869" s="18">
        <f>'Календарь'!A11</f>
        <v/>
      </c>
      <c r="D1869">
        <f>MONTH(C1869)</f>
        <v/>
      </c>
      <c r="E1869">
        <f>'Календарь'!D11</f>
        <v/>
      </c>
      <c r="F1869">
        <f>INT((C1869-Нед_Начало)/7)+1</f>
        <v/>
      </c>
      <c r="G1869">
        <f>IF(E1869=0,0,INDEX('Планы менеджеров'!$B$5:$M$16,B1869,D1869)/INDEX(Мес_Раб,D1869))</f>
        <v/>
      </c>
    </row>
    <row r="1870">
      <c r="A1870" t="inlineStr">
        <is>
          <t>Морозова</t>
        </is>
      </c>
      <c r="B1870" t="n">
        <v>10</v>
      </c>
      <c r="C1870" s="18">
        <f>'Календарь'!A12</f>
        <v/>
      </c>
      <c r="D1870">
        <f>MONTH(C1870)</f>
        <v/>
      </c>
      <c r="E1870">
        <f>'Календарь'!D12</f>
        <v/>
      </c>
      <c r="F1870">
        <f>INT((C1870-Нед_Начало)/7)+1</f>
        <v/>
      </c>
      <c r="G1870">
        <f>IF(E1870=0,0,INDEX('Планы менеджеров'!$B$5:$M$16,B1870,D1870)/INDEX(Мес_Раб,D1870))</f>
        <v/>
      </c>
    </row>
    <row r="1871">
      <c r="A1871" t="inlineStr">
        <is>
          <t>Морозова</t>
        </is>
      </c>
      <c r="B1871" t="n">
        <v>10</v>
      </c>
      <c r="C1871" s="18">
        <f>'Календарь'!A13</f>
        <v/>
      </c>
      <c r="D1871">
        <f>MONTH(C1871)</f>
        <v/>
      </c>
      <c r="E1871">
        <f>'Календарь'!D13</f>
        <v/>
      </c>
      <c r="F1871">
        <f>INT((C1871-Нед_Начало)/7)+1</f>
        <v/>
      </c>
      <c r="G1871">
        <f>IF(E1871=0,0,INDEX('Планы менеджеров'!$B$5:$M$16,B1871,D1871)/INDEX(Мес_Раб,D1871))</f>
        <v/>
      </c>
    </row>
    <row r="1872">
      <c r="A1872" t="inlineStr">
        <is>
          <t>Морозова</t>
        </is>
      </c>
      <c r="B1872" t="n">
        <v>10</v>
      </c>
      <c r="C1872" s="18">
        <f>'Календарь'!A14</f>
        <v/>
      </c>
      <c r="D1872">
        <f>MONTH(C1872)</f>
        <v/>
      </c>
      <c r="E1872">
        <f>'Календарь'!D14</f>
        <v/>
      </c>
      <c r="F1872">
        <f>INT((C1872-Нед_Начало)/7)+1</f>
        <v/>
      </c>
      <c r="G1872">
        <f>IF(E1872=0,0,INDEX('Планы менеджеров'!$B$5:$M$16,B1872,D1872)/INDEX(Мес_Раб,D1872))</f>
        <v/>
      </c>
    </row>
    <row r="1873">
      <c r="A1873" t="inlineStr">
        <is>
          <t>Морозова</t>
        </is>
      </c>
      <c r="B1873" t="n">
        <v>10</v>
      </c>
      <c r="C1873" s="18">
        <f>'Календарь'!A15</f>
        <v/>
      </c>
      <c r="D1873">
        <f>MONTH(C1873)</f>
        <v/>
      </c>
      <c r="E1873">
        <f>'Календарь'!D15</f>
        <v/>
      </c>
      <c r="F1873">
        <f>INT((C1873-Нед_Начало)/7)+1</f>
        <v/>
      </c>
      <c r="G1873">
        <f>IF(E1873=0,0,INDEX('Планы менеджеров'!$B$5:$M$16,B1873,D1873)/INDEX(Мес_Раб,D1873))</f>
        <v/>
      </c>
    </row>
    <row r="1874">
      <c r="A1874" t="inlineStr">
        <is>
          <t>Морозова</t>
        </is>
      </c>
      <c r="B1874" t="n">
        <v>10</v>
      </c>
      <c r="C1874" s="18">
        <f>'Календарь'!A16</f>
        <v/>
      </c>
      <c r="D1874">
        <f>MONTH(C1874)</f>
        <v/>
      </c>
      <c r="E1874">
        <f>'Календарь'!D16</f>
        <v/>
      </c>
      <c r="F1874">
        <f>INT((C1874-Нед_Начало)/7)+1</f>
        <v/>
      </c>
      <c r="G1874">
        <f>IF(E1874=0,0,INDEX('Планы менеджеров'!$B$5:$M$16,B1874,D1874)/INDEX(Мес_Раб,D1874))</f>
        <v/>
      </c>
    </row>
    <row r="1875">
      <c r="A1875" t="inlineStr">
        <is>
          <t>Морозова</t>
        </is>
      </c>
      <c r="B1875" t="n">
        <v>10</v>
      </c>
      <c r="C1875" s="18">
        <f>'Календарь'!A17</f>
        <v/>
      </c>
      <c r="D1875">
        <f>MONTH(C1875)</f>
        <v/>
      </c>
      <c r="E1875">
        <f>'Календарь'!D17</f>
        <v/>
      </c>
      <c r="F1875">
        <f>INT((C1875-Нед_Начало)/7)+1</f>
        <v/>
      </c>
      <c r="G1875">
        <f>IF(E1875=0,0,INDEX('Планы менеджеров'!$B$5:$M$16,B1875,D1875)/INDEX(Мес_Раб,D1875))</f>
        <v/>
      </c>
    </row>
    <row r="1876">
      <c r="A1876" t="inlineStr">
        <is>
          <t>Морозова</t>
        </is>
      </c>
      <c r="B1876" t="n">
        <v>10</v>
      </c>
      <c r="C1876" s="18">
        <f>'Календарь'!A18</f>
        <v/>
      </c>
      <c r="D1876">
        <f>MONTH(C1876)</f>
        <v/>
      </c>
      <c r="E1876">
        <f>'Календарь'!D18</f>
        <v/>
      </c>
      <c r="F1876">
        <f>INT((C1876-Нед_Начало)/7)+1</f>
        <v/>
      </c>
      <c r="G1876">
        <f>IF(E1876=0,0,INDEX('Планы менеджеров'!$B$5:$M$16,B1876,D1876)/INDEX(Мес_Раб,D1876))</f>
        <v/>
      </c>
    </row>
    <row r="1877">
      <c r="A1877" t="inlineStr">
        <is>
          <t>Морозова</t>
        </is>
      </c>
      <c r="B1877" t="n">
        <v>10</v>
      </c>
      <c r="C1877" s="18">
        <f>'Календарь'!A19</f>
        <v/>
      </c>
      <c r="D1877">
        <f>MONTH(C1877)</f>
        <v/>
      </c>
      <c r="E1877">
        <f>'Календарь'!D19</f>
        <v/>
      </c>
      <c r="F1877">
        <f>INT((C1877-Нед_Начало)/7)+1</f>
        <v/>
      </c>
      <c r="G1877">
        <f>IF(E1877=0,0,INDEX('Планы менеджеров'!$B$5:$M$16,B1877,D1877)/INDEX(Мес_Раб,D1877))</f>
        <v/>
      </c>
    </row>
    <row r="1878">
      <c r="A1878" t="inlineStr">
        <is>
          <t>Морозова</t>
        </is>
      </c>
      <c r="B1878" t="n">
        <v>10</v>
      </c>
      <c r="C1878" s="18">
        <f>'Календарь'!A20</f>
        <v/>
      </c>
      <c r="D1878">
        <f>MONTH(C1878)</f>
        <v/>
      </c>
      <c r="E1878">
        <f>'Календарь'!D20</f>
        <v/>
      </c>
      <c r="F1878">
        <f>INT((C1878-Нед_Начало)/7)+1</f>
        <v/>
      </c>
      <c r="G1878">
        <f>IF(E1878=0,0,INDEX('Планы менеджеров'!$B$5:$M$16,B1878,D1878)/INDEX(Мес_Раб,D1878))</f>
        <v/>
      </c>
    </row>
    <row r="1879">
      <c r="A1879" t="inlineStr">
        <is>
          <t>Морозова</t>
        </is>
      </c>
      <c r="B1879" t="n">
        <v>10</v>
      </c>
      <c r="C1879" s="18">
        <f>'Календарь'!A21</f>
        <v/>
      </c>
      <c r="D1879">
        <f>MONTH(C1879)</f>
        <v/>
      </c>
      <c r="E1879">
        <f>'Календарь'!D21</f>
        <v/>
      </c>
      <c r="F1879">
        <f>INT((C1879-Нед_Начало)/7)+1</f>
        <v/>
      </c>
      <c r="G1879">
        <f>IF(E1879=0,0,INDEX('Планы менеджеров'!$B$5:$M$16,B1879,D1879)/INDEX(Мес_Раб,D1879))</f>
        <v/>
      </c>
    </row>
    <row r="1880">
      <c r="A1880" t="inlineStr">
        <is>
          <t>Морозова</t>
        </is>
      </c>
      <c r="B1880" t="n">
        <v>10</v>
      </c>
      <c r="C1880" s="18">
        <f>'Календарь'!A22</f>
        <v/>
      </c>
      <c r="D1880">
        <f>MONTH(C1880)</f>
        <v/>
      </c>
      <c r="E1880">
        <f>'Календарь'!D22</f>
        <v/>
      </c>
      <c r="F1880">
        <f>INT((C1880-Нед_Начало)/7)+1</f>
        <v/>
      </c>
      <c r="G1880">
        <f>IF(E1880=0,0,INDEX('Планы менеджеров'!$B$5:$M$16,B1880,D1880)/INDEX(Мес_Раб,D1880))</f>
        <v/>
      </c>
    </row>
    <row r="1881">
      <c r="A1881" t="inlineStr">
        <is>
          <t>Морозова</t>
        </is>
      </c>
      <c r="B1881" t="n">
        <v>10</v>
      </c>
      <c r="C1881" s="18">
        <f>'Календарь'!A23</f>
        <v/>
      </c>
      <c r="D1881">
        <f>MONTH(C1881)</f>
        <v/>
      </c>
      <c r="E1881">
        <f>'Календарь'!D23</f>
        <v/>
      </c>
      <c r="F1881">
        <f>INT((C1881-Нед_Начало)/7)+1</f>
        <v/>
      </c>
      <c r="G1881">
        <f>IF(E1881=0,0,INDEX('Планы менеджеров'!$B$5:$M$16,B1881,D1881)/INDEX(Мес_Раб,D1881))</f>
        <v/>
      </c>
    </row>
    <row r="1882">
      <c r="A1882" t="inlineStr">
        <is>
          <t>Морозова</t>
        </is>
      </c>
      <c r="B1882" t="n">
        <v>10</v>
      </c>
      <c r="C1882" s="18">
        <f>'Календарь'!A24</f>
        <v/>
      </c>
      <c r="D1882">
        <f>MONTH(C1882)</f>
        <v/>
      </c>
      <c r="E1882">
        <f>'Календарь'!D24</f>
        <v/>
      </c>
      <c r="F1882">
        <f>INT((C1882-Нед_Начало)/7)+1</f>
        <v/>
      </c>
      <c r="G1882">
        <f>IF(E1882=0,0,INDEX('Планы менеджеров'!$B$5:$M$16,B1882,D1882)/INDEX(Мес_Раб,D1882))</f>
        <v/>
      </c>
    </row>
    <row r="1883">
      <c r="A1883" t="inlineStr">
        <is>
          <t>Морозова</t>
        </is>
      </c>
      <c r="B1883" t="n">
        <v>10</v>
      </c>
      <c r="C1883" s="18">
        <f>'Календарь'!A25</f>
        <v/>
      </c>
      <c r="D1883">
        <f>MONTH(C1883)</f>
        <v/>
      </c>
      <c r="E1883">
        <f>'Календарь'!D25</f>
        <v/>
      </c>
      <c r="F1883">
        <f>INT((C1883-Нед_Начало)/7)+1</f>
        <v/>
      </c>
      <c r="G1883">
        <f>IF(E1883=0,0,INDEX('Планы менеджеров'!$B$5:$M$16,B1883,D1883)/INDEX(Мес_Раб,D1883))</f>
        <v/>
      </c>
    </row>
    <row r="1884">
      <c r="A1884" t="inlineStr">
        <is>
          <t>Морозова</t>
        </is>
      </c>
      <c r="B1884" t="n">
        <v>10</v>
      </c>
      <c r="C1884" s="18">
        <f>'Календарь'!A26</f>
        <v/>
      </c>
      <c r="D1884">
        <f>MONTH(C1884)</f>
        <v/>
      </c>
      <c r="E1884">
        <f>'Календарь'!D26</f>
        <v/>
      </c>
      <c r="F1884">
        <f>INT((C1884-Нед_Начало)/7)+1</f>
        <v/>
      </c>
      <c r="G1884">
        <f>IF(E1884=0,0,INDEX('Планы менеджеров'!$B$5:$M$16,B1884,D1884)/INDEX(Мес_Раб,D1884))</f>
        <v/>
      </c>
    </row>
    <row r="1885">
      <c r="A1885" t="inlineStr">
        <is>
          <t>Морозова</t>
        </is>
      </c>
      <c r="B1885" t="n">
        <v>10</v>
      </c>
      <c r="C1885" s="18">
        <f>'Календарь'!A27</f>
        <v/>
      </c>
      <c r="D1885">
        <f>MONTH(C1885)</f>
        <v/>
      </c>
      <c r="E1885">
        <f>'Календарь'!D27</f>
        <v/>
      </c>
      <c r="F1885">
        <f>INT((C1885-Нед_Начало)/7)+1</f>
        <v/>
      </c>
      <c r="G1885">
        <f>IF(E1885=0,0,INDEX('Планы менеджеров'!$B$5:$M$16,B1885,D1885)/INDEX(Мес_Раб,D1885))</f>
        <v/>
      </c>
    </row>
    <row r="1886">
      <c r="A1886" t="inlineStr">
        <is>
          <t>Морозова</t>
        </is>
      </c>
      <c r="B1886" t="n">
        <v>10</v>
      </c>
      <c r="C1886" s="18">
        <f>'Календарь'!A28</f>
        <v/>
      </c>
      <c r="D1886">
        <f>MONTH(C1886)</f>
        <v/>
      </c>
      <c r="E1886">
        <f>'Календарь'!D28</f>
        <v/>
      </c>
      <c r="F1886">
        <f>INT((C1886-Нед_Начало)/7)+1</f>
        <v/>
      </c>
      <c r="G1886">
        <f>IF(E1886=0,0,INDEX('Планы менеджеров'!$B$5:$M$16,B1886,D1886)/INDEX(Мес_Раб,D1886))</f>
        <v/>
      </c>
    </row>
    <row r="1887">
      <c r="A1887" t="inlineStr">
        <is>
          <t>Морозова</t>
        </is>
      </c>
      <c r="B1887" t="n">
        <v>10</v>
      </c>
      <c r="C1887" s="18">
        <f>'Календарь'!A29</f>
        <v/>
      </c>
      <c r="D1887">
        <f>MONTH(C1887)</f>
        <v/>
      </c>
      <c r="E1887">
        <f>'Календарь'!D29</f>
        <v/>
      </c>
      <c r="F1887">
        <f>INT((C1887-Нед_Начало)/7)+1</f>
        <v/>
      </c>
      <c r="G1887">
        <f>IF(E1887=0,0,INDEX('Планы менеджеров'!$B$5:$M$16,B1887,D1887)/INDEX(Мес_Раб,D1887))</f>
        <v/>
      </c>
    </row>
    <row r="1888">
      <c r="A1888" t="inlineStr">
        <is>
          <t>Морозова</t>
        </is>
      </c>
      <c r="B1888" t="n">
        <v>10</v>
      </c>
      <c r="C1888" s="18">
        <f>'Календарь'!A30</f>
        <v/>
      </c>
      <c r="D1888">
        <f>MONTH(C1888)</f>
        <v/>
      </c>
      <c r="E1888">
        <f>'Календарь'!D30</f>
        <v/>
      </c>
      <c r="F1888">
        <f>INT((C1888-Нед_Начало)/7)+1</f>
        <v/>
      </c>
      <c r="G1888">
        <f>IF(E1888=0,0,INDEX('Планы менеджеров'!$B$5:$M$16,B1888,D1888)/INDEX(Мес_Раб,D1888))</f>
        <v/>
      </c>
    </row>
    <row r="1889">
      <c r="A1889" t="inlineStr">
        <is>
          <t>Морозова</t>
        </is>
      </c>
      <c r="B1889" t="n">
        <v>10</v>
      </c>
      <c r="C1889" s="18">
        <f>'Календарь'!A31</f>
        <v/>
      </c>
      <c r="D1889">
        <f>MONTH(C1889)</f>
        <v/>
      </c>
      <c r="E1889">
        <f>'Календарь'!D31</f>
        <v/>
      </c>
      <c r="F1889">
        <f>INT((C1889-Нед_Начало)/7)+1</f>
        <v/>
      </c>
      <c r="G1889">
        <f>IF(E1889=0,0,INDEX('Планы менеджеров'!$B$5:$M$16,B1889,D1889)/INDEX(Мес_Раб,D1889))</f>
        <v/>
      </c>
    </row>
    <row r="1890">
      <c r="A1890" t="inlineStr">
        <is>
          <t>Морозова</t>
        </is>
      </c>
      <c r="B1890" t="n">
        <v>10</v>
      </c>
      <c r="C1890" s="18">
        <f>'Календарь'!A32</f>
        <v/>
      </c>
      <c r="D1890">
        <f>MONTH(C1890)</f>
        <v/>
      </c>
      <c r="E1890">
        <f>'Календарь'!D32</f>
        <v/>
      </c>
      <c r="F1890">
        <f>INT((C1890-Нед_Начало)/7)+1</f>
        <v/>
      </c>
      <c r="G1890">
        <f>IF(E1890=0,0,INDEX('Планы менеджеров'!$B$5:$M$16,B1890,D1890)/INDEX(Мес_Раб,D1890))</f>
        <v/>
      </c>
    </row>
    <row r="1891">
      <c r="A1891" t="inlineStr">
        <is>
          <t>Морозова</t>
        </is>
      </c>
      <c r="B1891" t="n">
        <v>10</v>
      </c>
      <c r="C1891" s="18">
        <f>'Календарь'!A33</f>
        <v/>
      </c>
      <c r="D1891">
        <f>MONTH(C1891)</f>
        <v/>
      </c>
      <c r="E1891">
        <f>'Календарь'!D33</f>
        <v/>
      </c>
      <c r="F1891">
        <f>INT((C1891-Нед_Начало)/7)+1</f>
        <v/>
      </c>
      <c r="G1891">
        <f>IF(E1891=0,0,INDEX('Планы менеджеров'!$B$5:$M$16,B1891,D1891)/INDEX(Мес_Раб,D1891))</f>
        <v/>
      </c>
    </row>
    <row r="1892">
      <c r="A1892" t="inlineStr">
        <is>
          <t>Морозова</t>
        </is>
      </c>
      <c r="B1892" t="n">
        <v>10</v>
      </c>
      <c r="C1892" s="18">
        <f>'Календарь'!A34</f>
        <v/>
      </c>
      <c r="D1892">
        <f>MONTH(C1892)</f>
        <v/>
      </c>
      <c r="E1892">
        <f>'Календарь'!D34</f>
        <v/>
      </c>
      <c r="F1892">
        <f>INT((C1892-Нед_Начало)/7)+1</f>
        <v/>
      </c>
      <c r="G1892">
        <f>IF(E1892=0,0,INDEX('Планы менеджеров'!$B$5:$M$16,B1892,D1892)/INDEX(Мес_Раб,D1892))</f>
        <v/>
      </c>
    </row>
    <row r="1893">
      <c r="A1893" t="inlineStr">
        <is>
          <t>Морозова</t>
        </is>
      </c>
      <c r="B1893" t="n">
        <v>10</v>
      </c>
      <c r="C1893" s="18">
        <f>'Календарь'!A35</f>
        <v/>
      </c>
      <c r="D1893">
        <f>MONTH(C1893)</f>
        <v/>
      </c>
      <c r="E1893">
        <f>'Календарь'!D35</f>
        <v/>
      </c>
      <c r="F1893">
        <f>INT((C1893-Нед_Начало)/7)+1</f>
        <v/>
      </c>
      <c r="G1893">
        <f>IF(E1893=0,0,INDEX('Планы менеджеров'!$B$5:$M$16,B1893,D1893)/INDEX(Мес_Раб,D1893))</f>
        <v/>
      </c>
    </row>
    <row r="1894">
      <c r="A1894" t="inlineStr">
        <is>
          <t>Морозова</t>
        </is>
      </c>
      <c r="B1894" t="n">
        <v>10</v>
      </c>
      <c r="C1894" s="18">
        <f>'Календарь'!A36</f>
        <v/>
      </c>
      <c r="D1894">
        <f>MONTH(C1894)</f>
        <v/>
      </c>
      <c r="E1894">
        <f>'Календарь'!D36</f>
        <v/>
      </c>
      <c r="F1894">
        <f>INT((C1894-Нед_Начало)/7)+1</f>
        <v/>
      </c>
      <c r="G1894">
        <f>IF(E1894=0,0,INDEX('Планы менеджеров'!$B$5:$M$16,B1894,D1894)/INDEX(Мес_Раб,D1894))</f>
        <v/>
      </c>
    </row>
    <row r="1895">
      <c r="A1895" t="inlineStr">
        <is>
          <t>Морозова</t>
        </is>
      </c>
      <c r="B1895" t="n">
        <v>10</v>
      </c>
      <c r="C1895" s="18">
        <f>'Календарь'!A37</f>
        <v/>
      </c>
      <c r="D1895">
        <f>MONTH(C1895)</f>
        <v/>
      </c>
      <c r="E1895">
        <f>'Календарь'!D37</f>
        <v/>
      </c>
      <c r="F1895">
        <f>INT((C1895-Нед_Начало)/7)+1</f>
        <v/>
      </c>
      <c r="G1895">
        <f>IF(E1895=0,0,INDEX('Планы менеджеров'!$B$5:$M$16,B1895,D1895)/INDEX(Мес_Раб,D1895))</f>
        <v/>
      </c>
    </row>
    <row r="1896">
      <c r="A1896" t="inlineStr">
        <is>
          <t>Морозова</t>
        </is>
      </c>
      <c r="B1896" t="n">
        <v>10</v>
      </c>
      <c r="C1896" s="18">
        <f>'Календарь'!A38</f>
        <v/>
      </c>
      <c r="D1896">
        <f>MONTH(C1896)</f>
        <v/>
      </c>
      <c r="E1896">
        <f>'Календарь'!D38</f>
        <v/>
      </c>
      <c r="F1896">
        <f>INT((C1896-Нед_Начало)/7)+1</f>
        <v/>
      </c>
      <c r="G1896">
        <f>IF(E1896=0,0,INDEX('Планы менеджеров'!$B$5:$M$16,B1896,D1896)/INDEX(Мес_Раб,D1896))</f>
        <v/>
      </c>
    </row>
    <row r="1897">
      <c r="A1897" t="inlineStr">
        <is>
          <t>Морозова</t>
        </is>
      </c>
      <c r="B1897" t="n">
        <v>10</v>
      </c>
      <c r="C1897" s="18">
        <f>'Календарь'!A39</f>
        <v/>
      </c>
      <c r="D1897">
        <f>MONTH(C1897)</f>
        <v/>
      </c>
      <c r="E1897">
        <f>'Календарь'!D39</f>
        <v/>
      </c>
      <c r="F1897">
        <f>INT((C1897-Нед_Начало)/7)+1</f>
        <v/>
      </c>
      <c r="G1897">
        <f>IF(E1897=0,0,INDEX('Планы менеджеров'!$B$5:$M$16,B1897,D1897)/INDEX(Мес_Раб,D1897))</f>
        <v/>
      </c>
    </row>
    <row r="1898">
      <c r="A1898" t="inlineStr">
        <is>
          <t>Морозова</t>
        </is>
      </c>
      <c r="B1898" t="n">
        <v>10</v>
      </c>
      <c r="C1898" s="18">
        <f>'Календарь'!A40</f>
        <v/>
      </c>
      <c r="D1898">
        <f>MONTH(C1898)</f>
        <v/>
      </c>
      <c r="E1898">
        <f>'Календарь'!D40</f>
        <v/>
      </c>
      <c r="F1898">
        <f>INT((C1898-Нед_Начало)/7)+1</f>
        <v/>
      </c>
      <c r="G1898">
        <f>IF(E1898=0,0,INDEX('Планы менеджеров'!$B$5:$M$16,B1898,D1898)/INDEX(Мес_Раб,D1898))</f>
        <v/>
      </c>
    </row>
    <row r="1899">
      <c r="A1899" t="inlineStr">
        <is>
          <t>Морозова</t>
        </is>
      </c>
      <c r="B1899" t="n">
        <v>10</v>
      </c>
      <c r="C1899" s="18">
        <f>'Календарь'!A41</f>
        <v/>
      </c>
      <c r="D1899">
        <f>MONTH(C1899)</f>
        <v/>
      </c>
      <c r="E1899">
        <f>'Календарь'!D41</f>
        <v/>
      </c>
      <c r="F1899">
        <f>INT((C1899-Нед_Начало)/7)+1</f>
        <v/>
      </c>
      <c r="G1899">
        <f>IF(E1899=0,0,INDEX('Планы менеджеров'!$B$5:$M$16,B1899,D1899)/INDEX(Мес_Раб,D1899))</f>
        <v/>
      </c>
    </row>
    <row r="1900">
      <c r="A1900" t="inlineStr">
        <is>
          <t>Морозова</t>
        </is>
      </c>
      <c r="B1900" t="n">
        <v>10</v>
      </c>
      <c r="C1900" s="18">
        <f>'Календарь'!A42</f>
        <v/>
      </c>
      <c r="D1900">
        <f>MONTH(C1900)</f>
        <v/>
      </c>
      <c r="E1900">
        <f>'Календарь'!D42</f>
        <v/>
      </c>
      <c r="F1900">
        <f>INT((C1900-Нед_Начало)/7)+1</f>
        <v/>
      </c>
      <c r="G1900">
        <f>IF(E1900=0,0,INDEX('Планы менеджеров'!$B$5:$M$16,B1900,D1900)/INDEX(Мес_Раб,D1900))</f>
        <v/>
      </c>
    </row>
    <row r="1901">
      <c r="A1901" t="inlineStr">
        <is>
          <t>Морозова</t>
        </is>
      </c>
      <c r="B1901" t="n">
        <v>10</v>
      </c>
      <c r="C1901" s="18">
        <f>'Календарь'!A43</f>
        <v/>
      </c>
      <c r="D1901">
        <f>MONTH(C1901)</f>
        <v/>
      </c>
      <c r="E1901">
        <f>'Календарь'!D43</f>
        <v/>
      </c>
      <c r="F1901">
        <f>INT((C1901-Нед_Начало)/7)+1</f>
        <v/>
      </c>
      <c r="G1901">
        <f>IF(E1901=0,0,INDEX('Планы менеджеров'!$B$5:$M$16,B1901,D1901)/INDEX(Мес_Раб,D1901))</f>
        <v/>
      </c>
    </row>
    <row r="1902">
      <c r="A1902" t="inlineStr">
        <is>
          <t>Морозова</t>
        </is>
      </c>
      <c r="B1902" t="n">
        <v>10</v>
      </c>
      <c r="C1902" s="18">
        <f>'Календарь'!A44</f>
        <v/>
      </c>
      <c r="D1902">
        <f>MONTH(C1902)</f>
        <v/>
      </c>
      <c r="E1902">
        <f>'Календарь'!D44</f>
        <v/>
      </c>
      <c r="F1902">
        <f>INT((C1902-Нед_Начало)/7)+1</f>
        <v/>
      </c>
      <c r="G1902">
        <f>IF(E1902=0,0,INDEX('Планы менеджеров'!$B$5:$M$16,B1902,D1902)/INDEX(Мес_Раб,D1902))</f>
        <v/>
      </c>
    </row>
    <row r="1903">
      <c r="A1903" t="inlineStr">
        <is>
          <t>Морозова</t>
        </is>
      </c>
      <c r="B1903" t="n">
        <v>10</v>
      </c>
      <c r="C1903" s="18">
        <f>'Календарь'!A45</f>
        <v/>
      </c>
      <c r="D1903">
        <f>MONTH(C1903)</f>
        <v/>
      </c>
      <c r="E1903">
        <f>'Календарь'!D45</f>
        <v/>
      </c>
      <c r="F1903">
        <f>INT((C1903-Нед_Начало)/7)+1</f>
        <v/>
      </c>
      <c r="G1903">
        <f>IF(E1903=0,0,INDEX('Планы менеджеров'!$B$5:$M$16,B1903,D1903)/INDEX(Мес_Раб,D1903))</f>
        <v/>
      </c>
    </row>
    <row r="1904">
      <c r="A1904" t="inlineStr">
        <is>
          <t>Морозова</t>
        </is>
      </c>
      <c r="B1904" t="n">
        <v>10</v>
      </c>
      <c r="C1904" s="18">
        <f>'Календарь'!A46</f>
        <v/>
      </c>
      <c r="D1904">
        <f>MONTH(C1904)</f>
        <v/>
      </c>
      <c r="E1904">
        <f>'Календарь'!D46</f>
        <v/>
      </c>
      <c r="F1904">
        <f>INT((C1904-Нед_Начало)/7)+1</f>
        <v/>
      </c>
      <c r="G1904">
        <f>IF(E1904=0,0,INDEX('Планы менеджеров'!$B$5:$M$16,B1904,D1904)/INDEX(Мес_Раб,D1904))</f>
        <v/>
      </c>
    </row>
    <row r="1905">
      <c r="A1905" t="inlineStr">
        <is>
          <t>Морозова</t>
        </is>
      </c>
      <c r="B1905" t="n">
        <v>10</v>
      </c>
      <c r="C1905" s="18">
        <f>'Календарь'!A47</f>
        <v/>
      </c>
      <c r="D1905">
        <f>MONTH(C1905)</f>
        <v/>
      </c>
      <c r="E1905">
        <f>'Календарь'!D47</f>
        <v/>
      </c>
      <c r="F1905">
        <f>INT((C1905-Нед_Начало)/7)+1</f>
        <v/>
      </c>
      <c r="G1905">
        <f>IF(E1905=0,0,INDEX('Планы менеджеров'!$B$5:$M$16,B1905,D1905)/INDEX(Мес_Раб,D1905))</f>
        <v/>
      </c>
    </row>
    <row r="1906">
      <c r="A1906" t="inlineStr">
        <is>
          <t>Морозова</t>
        </is>
      </c>
      <c r="B1906" t="n">
        <v>10</v>
      </c>
      <c r="C1906" s="18">
        <f>'Календарь'!A48</f>
        <v/>
      </c>
      <c r="D1906">
        <f>MONTH(C1906)</f>
        <v/>
      </c>
      <c r="E1906">
        <f>'Календарь'!D48</f>
        <v/>
      </c>
      <c r="F1906">
        <f>INT((C1906-Нед_Начало)/7)+1</f>
        <v/>
      </c>
      <c r="G1906">
        <f>IF(E1906=0,0,INDEX('Планы менеджеров'!$B$5:$M$16,B1906,D1906)/INDEX(Мес_Раб,D1906))</f>
        <v/>
      </c>
    </row>
    <row r="1907">
      <c r="A1907" t="inlineStr">
        <is>
          <t>Морозова</t>
        </is>
      </c>
      <c r="B1907" t="n">
        <v>10</v>
      </c>
      <c r="C1907" s="18">
        <f>'Календарь'!A49</f>
        <v/>
      </c>
      <c r="D1907">
        <f>MONTH(C1907)</f>
        <v/>
      </c>
      <c r="E1907">
        <f>'Календарь'!D49</f>
        <v/>
      </c>
      <c r="F1907">
        <f>INT((C1907-Нед_Начало)/7)+1</f>
        <v/>
      </c>
      <c r="G1907">
        <f>IF(E1907=0,0,INDEX('Планы менеджеров'!$B$5:$M$16,B1907,D1907)/INDEX(Мес_Раб,D1907))</f>
        <v/>
      </c>
    </row>
    <row r="1908">
      <c r="A1908" t="inlineStr">
        <is>
          <t>Морозова</t>
        </is>
      </c>
      <c r="B1908" t="n">
        <v>10</v>
      </c>
      <c r="C1908" s="18">
        <f>'Календарь'!A50</f>
        <v/>
      </c>
      <c r="D1908">
        <f>MONTH(C1908)</f>
        <v/>
      </c>
      <c r="E1908">
        <f>'Календарь'!D50</f>
        <v/>
      </c>
      <c r="F1908">
        <f>INT((C1908-Нед_Начало)/7)+1</f>
        <v/>
      </c>
      <c r="G1908">
        <f>IF(E1908=0,0,INDEX('Планы менеджеров'!$B$5:$M$16,B1908,D1908)/INDEX(Мес_Раб,D1908))</f>
        <v/>
      </c>
    </row>
    <row r="1909">
      <c r="A1909" t="inlineStr">
        <is>
          <t>Морозова</t>
        </is>
      </c>
      <c r="B1909" t="n">
        <v>10</v>
      </c>
      <c r="C1909" s="18">
        <f>'Календарь'!A51</f>
        <v/>
      </c>
      <c r="D1909">
        <f>MONTH(C1909)</f>
        <v/>
      </c>
      <c r="E1909">
        <f>'Календарь'!D51</f>
        <v/>
      </c>
      <c r="F1909">
        <f>INT((C1909-Нед_Начало)/7)+1</f>
        <v/>
      </c>
      <c r="G1909">
        <f>IF(E1909=0,0,INDEX('Планы менеджеров'!$B$5:$M$16,B1909,D1909)/INDEX(Мес_Раб,D1909))</f>
        <v/>
      </c>
    </row>
    <row r="1910">
      <c r="A1910" t="inlineStr">
        <is>
          <t>Морозова</t>
        </is>
      </c>
      <c r="B1910" t="n">
        <v>10</v>
      </c>
      <c r="C1910" s="18">
        <f>'Календарь'!A52</f>
        <v/>
      </c>
      <c r="D1910">
        <f>MONTH(C1910)</f>
        <v/>
      </c>
      <c r="E1910">
        <f>'Календарь'!D52</f>
        <v/>
      </c>
      <c r="F1910">
        <f>INT((C1910-Нед_Начало)/7)+1</f>
        <v/>
      </c>
      <c r="G1910">
        <f>IF(E1910=0,0,INDEX('Планы менеджеров'!$B$5:$M$16,B1910,D1910)/INDEX(Мес_Раб,D1910))</f>
        <v/>
      </c>
    </row>
    <row r="1911">
      <c r="A1911" t="inlineStr">
        <is>
          <t>Морозова</t>
        </is>
      </c>
      <c r="B1911" t="n">
        <v>10</v>
      </c>
      <c r="C1911" s="18">
        <f>'Календарь'!A53</f>
        <v/>
      </c>
      <c r="D1911">
        <f>MONTH(C1911)</f>
        <v/>
      </c>
      <c r="E1911">
        <f>'Календарь'!D53</f>
        <v/>
      </c>
      <c r="F1911">
        <f>INT((C1911-Нед_Начало)/7)+1</f>
        <v/>
      </c>
      <c r="G1911">
        <f>IF(E1911=0,0,INDEX('Планы менеджеров'!$B$5:$M$16,B1911,D1911)/INDEX(Мес_Раб,D1911))</f>
        <v/>
      </c>
    </row>
    <row r="1912">
      <c r="A1912" t="inlineStr">
        <is>
          <t>Морозова</t>
        </is>
      </c>
      <c r="B1912" t="n">
        <v>10</v>
      </c>
      <c r="C1912" s="18">
        <f>'Календарь'!A54</f>
        <v/>
      </c>
      <c r="D1912">
        <f>MONTH(C1912)</f>
        <v/>
      </c>
      <c r="E1912">
        <f>'Календарь'!D54</f>
        <v/>
      </c>
      <c r="F1912">
        <f>INT((C1912-Нед_Начало)/7)+1</f>
        <v/>
      </c>
      <c r="G1912">
        <f>IF(E1912=0,0,INDEX('Планы менеджеров'!$B$5:$M$16,B1912,D1912)/INDEX(Мес_Раб,D1912))</f>
        <v/>
      </c>
    </row>
    <row r="1913">
      <c r="A1913" t="inlineStr">
        <is>
          <t>Морозова</t>
        </is>
      </c>
      <c r="B1913" t="n">
        <v>10</v>
      </c>
      <c r="C1913" s="18">
        <f>'Календарь'!A55</f>
        <v/>
      </c>
      <c r="D1913">
        <f>MONTH(C1913)</f>
        <v/>
      </c>
      <c r="E1913">
        <f>'Календарь'!D55</f>
        <v/>
      </c>
      <c r="F1913">
        <f>INT((C1913-Нед_Начало)/7)+1</f>
        <v/>
      </c>
      <c r="G1913">
        <f>IF(E1913=0,0,INDEX('Планы менеджеров'!$B$5:$M$16,B1913,D1913)/INDEX(Мес_Раб,D1913))</f>
        <v/>
      </c>
    </row>
    <row r="1914">
      <c r="A1914" t="inlineStr">
        <is>
          <t>Морозова</t>
        </is>
      </c>
      <c r="B1914" t="n">
        <v>10</v>
      </c>
      <c r="C1914" s="18">
        <f>'Календарь'!A56</f>
        <v/>
      </c>
      <c r="D1914">
        <f>MONTH(C1914)</f>
        <v/>
      </c>
      <c r="E1914">
        <f>'Календарь'!D56</f>
        <v/>
      </c>
      <c r="F1914">
        <f>INT((C1914-Нед_Начало)/7)+1</f>
        <v/>
      </c>
      <c r="G1914">
        <f>IF(E1914=0,0,INDEX('Планы менеджеров'!$B$5:$M$16,B1914,D1914)/INDEX(Мес_Раб,D1914))</f>
        <v/>
      </c>
    </row>
    <row r="1915">
      <c r="A1915" t="inlineStr">
        <is>
          <t>Морозова</t>
        </is>
      </c>
      <c r="B1915" t="n">
        <v>10</v>
      </c>
      <c r="C1915" s="18">
        <f>'Календарь'!A57</f>
        <v/>
      </c>
      <c r="D1915">
        <f>MONTH(C1915)</f>
        <v/>
      </c>
      <c r="E1915">
        <f>'Календарь'!D57</f>
        <v/>
      </c>
      <c r="F1915">
        <f>INT((C1915-Нед_Начало)/7)+1</f>
        <v/>
      </c>
      <c r="G1915">
        <f>IF(E1915=0,0,INDEX('Планы менеджеров'!$B$5:$M$16,B1915,D1915)/INDEX(Мес_Раб,D1915))</f>
        <v/>
      </c>
    </row>
    <row r="1916">
      <c r="A1916" t="inlineStr">
        <is>
          <t>Морозова</t>
        </is>
      </c>
      <c r="B1916" t="n">
        <v>10</v>
      </c>
      <c r="C1916" s="18">
        <f>'Календарь'!A58</f>
        <v/>
      </c>
      <c r="D1916">
        <f>MONTH(C1916)</f>
        <v/>
      </c>
      <c r="E1916">
        <f>'Календарь'!D58</f>
        <v/>
      </c>
      <c r="F1916">
        <f>INT((C1916-Нед_Начало)/7)+1</f>
        <v/>
      </c>
      <c r="G1916">
        <f>IF(E1916=0,0,INDEX('Планы менеджеров'!$B$5:$M$16,B1916,D1916)/INDEX(Мес_Раб,D1916))</f>
        <v/>
      </c>
    </row>
    <row r="1917">
      <c r="A1917" t="inlineStr">
        <is>
          <t>Морозова</t>
        </is>
      </c>
      <c r="B1917" t="n">
        <v>10</v>
      </c>
      <c r="C1917" s="18">
        <f>'Календарь'!A59</f>
        <v/>
      </c>
      <c r="D1917">
        <f>MONTH(C1917)</f>
        <v/>
      </c>
      <c r="E1917">
        <f>'Календарь'!D59</f>
        <v/>
      </c>
      <c r="F1917">
        <f>INT((C1917-Нед_Начало)/7)+1</f>
        <v/>
      </c>
      <c r="G1917">
        <f>IF(E1917=0,0,INDEX('Планы менеджеров'!$B$5:$M$16,B1917,D1917)/INDEX(Мес_Раб,D1917))</f>
        <v/>
      </c>
    </row>
    <row r="1918">
      <c r="A1918" t="inlineStr">
        <is>
          <t>Морозова</t>
        </is>
      </c>
      <c r="B1918" t="n">
        <v>10</v>
      </c>
      <c r="C1918" s="18">
        <f>'Календарь'!A60</f>
        <v/>
      </c>
      <c r="D1918">
        <f>MONTH(C1918)</f>
        <v/>
      </c>
      <c r="E1918">
        <f>'Календарь'!D60</f>
        <v/>
      </c>
      <c r="F1918">
        <f>INT((C1918-Нед_Начало)/7)+1</f>
        <v/>
      </c>
      <c r="G1918">
        <f>IF(E1918=0,0,INDEX('Планы менеджеров'!$B$5:$M$16,B1918,D1918)/INDEX(Мес_Раб,D1918))</f>
        <v/>
      </c>
    </row>
    <row r="1919">
      <c r="A1919" t="inlineStr">
        <is>
          <t>Морозова</t>
        </is>
      </c>
      <c r="B1919" t="n">
        <v>10</v>
      </c>
      <c r="C1919" s="18">
        <f>'Календарь'!A61</f>
        <v/>
      </c>
      <c r="D1919">
        <f>MONTH(C1919)</f>
        <v/>
      </c>
      <c r="E1919">
        <f>'Календарь'!D61</f>
        <v/>
      </c>
      <c r="F1919">
        <f>INT((C1919-Нед_Начало)/7)+1</f>
        <v/>
      </c>
      <c r="G1919">
        <f>IF(E1919=0,0,INDEX('Планы менеджеров'!$B$5:$M$16,B1919,D1919)/INDEX(Мес_Раб,D1919))</f>
        <v/>
      </c>
    </row>
    <row r="1920">
      <c r="A1920" t="inlineStr">
        <is>
          <t>Морозова</t>
        </is>
      </c>
      <c r="B1920" t="n">
        <v>10</v>
      </c>
      <c r="C1920" s="18">
        <f>'Календарь'!A62</f>
        <v/>
      </c>
      <c r="D1920">
        <f>MONTH(C1920)</f>
        <v/>
      </c>
      <c r="E1920">
        <f>'Календарь'!D62</f>
        <v/>
      </c>
      <c r="F1920">
        <f>INT((C1920-Нед_Начало)/7)+1</f>
        <v/>
      </c>
      <c r="G1920">
        <f>IF(E1920=0,0,INDEX('Планы менеджеров'!$B$5:$M$16,B1920,D1920)/INDEX(Мес_Раб,D1920))</f>
        <v/>
      </c>
    </row>
    <row r="1921">
      <c r="A1921" t="inlineStr">
        <is>
          <t>Морозова</t>
        </is>
      </c>
      <c r="B1921" t="n">
        <v>10</v>
      </c>
      <c r="C1921" s="18">
        <f>'Календарь'!A63</f>
        <v/>
      </c>
      <c r="D1921">
        <f>MONTH(C1921)</f>
        <v/>
      </c>
      <c r="E1921">
        <f>'Календарь'!D63</f>
        <v/>
      </c>
      <c r="F1921">
        <f>INT((C1921-Нед_Начало)/7)+1</f>
        <v/>
      </c>
      <c r="G1921">
        <f>IF(E1921=0,0,INDEX('Планы менеджеров'!$B$5:$M$16,B1921,D1921)/INDEX(Мес_Раб,D1921))</f>
        <v/>
      </c>
    </row>
    <row r="1922">
      <c r="A1922" t="inlineStr">
        <is>
          <t>Морозова</t>
        </is>
      </c>
      <c r="B1922" t="n">
        <v>10</v>
      </c>
      <c r="C1922" s="18">
        <f>'Календарь'!A64</f>
        <v/>
      </c>
      <c r="D1922">
        <f>MONTH(C1922)</f>
        <v/>
      </c>
      <c r="E1922">
        <f>'Календарь'!D64</f>
        <v/>
      </c>
      <c r="F1922">
        <f>INT((C1922-Нед_Начало)/7)+1</f>
        <v/>
      </c>
      <c r="G1922">
        <f>IF(E1922=0,0,INDEX('Планы менеджеров'!$B$5:$M$16,B1922,D1922)/INDEX(Мес_Раб,D1922))</f>
        <v/>
      </c>
    </row>
    <row r="1923">
      <c r="A1923" t="inlineStr">
        <is>
          <t>Морозова</t>
        </is>
      </c>
      <c r="B1923" t="n">
        <v>10</v>
      </c>
      <c r="C1923" s="18">
        <f>'Календарь'!A65</f>
        <v/>
      </c>
      <c r="D1923">
        <f>MONTH(C1923)</f>
        <v/>
      </c>
      <c r="E1923">
        <f>'Календарь'!D65</f>
        <v/>
      </c>
      <c r="F1923">
        <f>INT((C1923-Нед_Начало)/7)+1</f>
        <v/>
      </c>
      <c r="G1923">
        <f>IF(E1923=0,0,INDEX('Планы менеджеров'!$B$5:$M$16,B1923,D1923)/INDEX(Мес_Раб,D1923))</f>
        <v/>
      </c>
    </row>
    <row r="1924">
      <c r="A1924" t="inlineStr">
        <is>
          <t>Морозова</t>
        </is>
      </c>
      <c r="B1924" t="n">
        <v>10</v>
      </c>
      <c r="C1924" s="18">
        <f>'Календарь'!A66</f>
        <v/>
      </c>
      <c r="D1924">
        <f>MONTH(C1924)</f>
        <v/>
      </c>
      <c r="E1924">
        <f>'Календарь'!D66</f>
        <v/>
      </c>
      <c r="F1924">
        <f>INT((C1924-Нед_Начало)/7)+1</f>
        <v/>
      </c>
      <c r="G1924">
        <f>IF(E1924=0,0,INDEX('Планы менеджеров'!$B$5:$M$16,B1924,D1924)/INDEX(Мес_Раб,D1924))</f>
        <v/>
      </c>
    </row>
    <row r="1925">
      <c r="A1925" t="inlineStr">
        <is>
          <t>Морозова</t>
        </is>
      </c>
      <c r="B1925" t="n">
        <v>10</v>
      </c>
      <c r="C1925" s="18">
        <f>'Календарь'!A67</f>
        <v/>
      </c>
      <c r="D1925">
        <f>MONTH(C1925)</f>
        <v/>
      </c>
      <c r="E1925">
        <f>'Календарь'!D67</f>
        <v/>
      </c>
      <c r="F1925">
        <f>INT((C1925-Нед_Начало)/7)+1</f>
        <v/>
      </c>
      <c r="G1925">
        <f>IF(E1925=0,0,INDEX('Планы менеджеров'!$B$5:$M$16,B1925,D1925)/INDEX(Мес_Раб,D1925))</f>
        <v/>
      </c>
    </row>
    <row r="1926">
      <c r="A1926" t="inlineStr">
        <is>
          <t>Морозова</t>
        </is>
      </c>
      <c r="B1926" t="n">
        <v>10</v>
      </c>
      <c r="C1926" s="18">
        <f>'Календарь'!A68</f>
        <v/>
      </c>
      <c r="D1926">
        <f>MONTH(C1926)</f>
        <v/>
      </c>
      <c r="E1926">
        <f>'Календарь'!D68</f>
        <v/>
      </c>
      <c r="F1926">
        <f>INT((C1926-Нед_Начало)/7)+1</f>
        <v/>
      </c>
      <c r="G1926">
        <f>IF(E1926=0,0,INDEX('Планы менеджеров'!$B$5:$M$16,B1926,D1926)/INDEX(Мес_Раб,D1926))</f>
        <v/>
      </c>
    </row>
    <row r="1927">
      <c r="A1927" t="inlineStr">
        <is>
          <t>Морозова</t>
        </is>
      </c>
      <c r="B1927" t="n">
        <v>10</v>
      </c>
      <c r="C1927" s="18">
        <f>'Календарь'!A69</f>
        <v/>
      </c>
      <c r="D1927">
        <f>MONTH(C1927)</f>
        <v/>
      </c>
      <c r="E1927">
        <f>'Календарь'!D69</f>
        <v/>
      </c>
      <c r="F1927">
        <f>INT((C1927-Нед_Начало)/7)+1</f>
        <v/>
      </c>
      <c r="G1927">
        <f>IF(E1927=0,0,INDEX('Планы менеджеров'!$B$5:$M$16,B1927,D1927)/INDEX(Мес_Раб,D1927))</f>
        <v/>
      </c>
    </row>
    <row r="1928">
      <c r="A1928" t="inlineStr">
        <is>
          <t>Морозова</t>
        </is>
      </c>
      <c r="B1928" t="n">
        <v>10</v>
      </c>
      <c r="C1928" s="18">
        <f>'Календарь'!A70</f>
        <v/>
      </c>
      <c r="D1928">
        <f>MONTH(C1928)</f>
        <v/>
      </c>
      <c r="E1928">
        <f>'Календарь'!D70</f>
        <v/>
      </c>
      <c r="F1928">
        <f>INT((C1928-Нед_Начало)/7)+1</f>
        <v/>
      </c>
      <c r="G1928">
        <f>IF(E1928=0,0,INDEX('Планы менеджеров'!$B$5:$M$16,B1928,D1928)/INDEX(Мес_Раб,D1928))</f>
        <v/>
      </c>
    </row>
    <row r="1929">
      <c r="A1929" t="inlineStr">
        <is>
          <t>Морозова</t>
        </is>
      </c>
      <c r="B1929" t="n">
        <v>10</v>
      </c>
      <c r="C1929" s="18">
        <f>'Календарь'!A71</f>
        <v/>
      </c>
      <c r="D1929">
        <f>MONTH(C1929)</f>
        <v/>
      </c>
      <c r="E1929">
        <f>'Календарь'!D71</f>
        <v/>
      </c>
      <c r="F1929">
        <f>INT((C1929-Нед_Начало)/7)+1</f>
        <v/>
      </c>
      <c r="G1929">
        <f>IF(E1929=0,0,INDEX('Планы менеджеров'!$B$5:$M$16,B1929,D1929)/INDEX(Мес_Раб,D1929))</f>
        <v/>
      </c>
    </row>
    <row r="1930">
      <c r="A1930" t="inlineStr">
        <is>
          <t>Морозова</t>
        </is>
      </c>
      <c r="B1930" t="n">
        <v>10</v>
      </c>
      <c r="C1930" s="18">
        <f>'Календарь'!A72</f>
        <v/>
      </c>
      <c r="D1930">
        <f>MONTH(C1930)</f>
        <v/>
      </c>
      <c r="E1930">
        <f>'Календарь'!D72</f>
        <v/>
      </c>
      <c r="F1930">
        <f>INT((C1930-Нед_Начало)/7)+1</f>
        <v/>
      </c>
      <c r="G1930">
        <f>IF(E1930=0,0,INDEX('Планы менеджеров'!$B$5:$M$16,B1930,D1930)/INDEX(Мес_Раб,D1930))</f>
        <v/>
      </c>
    </row>
    <row r="1931">
      <c r="A1931" t="inlineStr">
        <is>
          <t>Морозова</t>
        </is>
      </c>
      <c r="B1931" t="n">
        <v>10</v>
      </c>
      <c r="C1931" s="18">
        <f>'Календарь'!A73</f>
        <v/>
      </c>
      <c r="D1931">
        <f>MONTH(C1931)</f>
        <v/>
      </c>
      <c r="E1931">
        <f>'Календарь'!D73</f>
        <v/>
      </c>
      <c r="F1931">
        <f>INT((C1931-Нед_Начало)/7)+1</f>
        <v/>
      </c>
      <c r="G1931">
        <f>IF(E1931=0,0,INDEX('Планы менеджеров'!$B$5:$M$16,B1931,D1931)/INDEX(Мес_Раб,D1931))</f>
        <v/>
      </c>
    </row>
    <row r="1932">
      <c r="A1932" t="inlineStr">
        <is>
          <t>Морозова</t>
        </is>
      </c>
      <c r="B1932" t="n">
        <v>10</v>
      </c>
      <c r="C1932" s="18">
        <f>'Календарь'!A74</f>
        <v/>
      </c>
      <c r="D1932">
        <f>MONTH(C1932)</f>
        <v/>
      </c>
      <c r="E1932">
        <f>'Календарь'!D74</f>
        <v/>
      </c>
      <c r="F1932">
        <f>INT((C1932-Нед_Начало)/7)+1</f>
        <v/>
      </c>
      <c r="G1932">
        <f>IF(E1932=0,0,INDEX('Планы менеджеров'!$B$5:$M$16,B1932,D1932)/INDEX(Мес_Раб,D1932))</f>
        <v/>
      </c>
    </row>
    <row r="1933">
      <c r="A1933" t="inlineStr">
        <is>
          <t>Морозова</t>
        </is>
      </c>
      <c r="B1933" t="n">
        <v>10</v>
      </c>
      <c r="C1933" s="18">
        <f>'Календарь'!A75</f>
        <v/>
      </c>
      <c r="D1933">
        <f>MONTH(C1933)</f>
        <v/>
      </c>
      <c r="E1933">
        <f>'Календарь'!D75</f>
        <v/>
      </c>
      <c r="F1933">
        <f>INT((C1933-Нед_Начало)/7)+1</f>
        <v/>
      </c>
      <c r="G1933">
        <f>IF(E1933=0,0,INDEX('Планы менеджеров'!$B$5:$M$16,B1933,D1933)/INDEX(Мес_Раб,D1933))</f>
        <v/>
      </c>
    </row>
    <row r="1934">
      <c r="A1934" t="inlineStr">
        <is>
          <t>Морозова</t>
        </is>
      </c>
      <c r="B1934" t="n">
        <v>10</v>
      </c>
      <c r="C1934" s="18">
        <f>'Календарь'!A76</f>
        <v/>
      </c>
      <c r="D1934">
        <f>MONTH(C1934)</f>
        <v/>
      </c>
      <c r="E1934">
        <f>'Календарь'!D76</f>
        <v/>
      </c>
      <c r="F1934">
        <f>INT((C1934-Нед_Начало)/7)+1</f>
        <v/>
      </c>
      <c r="G1934">
        <f>IF(E1934=0,0,INDEX('Планы менеджеров'!$B$5:$M$16,B1934,D1934)/INDEX(Мес_Раб,D1934))</f>
        <v/>
      </c>
    </row>
    <row r="1935">
      <c r="A1935" t="inlineStr">
        <is>
          <t>Морозова</t>
        </is>
      </c>
      <c r="B1935" t="n">
        <v>10</v>
      </c>
      <c r="C1935" s="18">
        <f>'Календарь'!A77</f>
        <v/>
      </c>
      <c r="D1935">
        <f>MONTH(C1935)</f>
        <v/>
      </c>
      <c r="E1935">
        <f>'Календарь'!D77</f>
        <v/>
      </c>
      <c r="F1935">
        <f>INT((C1935-Нед_Начало)/7)+1</f>
        <v/>
      </c>
      <c r="G1935">
        <f>IF(E1935=0,0,INDEX('Планы менеджеров'!$B$5:$M$16,B1935,D1935)/INDEX(Мес_Раб,D1935))</f>
        <v/>
      </c>
    </row>
    <row r="1936">
      <c r="A1936" t="inlineStr">
        <is>
          <t>Морозова</t>
        </is>
      </c>
      <c r="B1936" t="n">
        <v>10</v>
      </c>
      <c r="C1936" s="18">
        <f>'Календарь'!A78</f>
        <v/>
      </c>
      <c r="D1936">
        <f>MONTH(C1936)</f>
        <v/>
      </c>
      <c r="E1936">
        <f>'Календарь'!D78</f>
        <v/>
      </c>
      <c r="F1936">
        <f>INT((C1936-Нед_Начало)/7)+1</f>
        <v/>
      </c>
      <c r="G1936">
        <f>IF(E1936=0,0,INDEX('Планы менеджеров'!$B$5:$M$16,B1936,D1936)/INDEX(Мес_Раб,D1936))</f>
        <v/>
      </c>
    </row>
    <row r="1937">
      <c r="A1937" t="inlineStr">
        <is>
          <t>Морозова</t>
        </is>
      </c>
      <c r="B1937" t="n">
        <v>10</v>
      </c>
      <c r="C1937" s="18">
        <f>'Календарь'!A79</f>
        <v/>
      </c>
      <c r="D1937">
        <f>MONTH(C1937)</f>
        <v/>
      </c>
      <c r="E1937">
        <f>'Календарь'!D79</f>
        <v/>
      </c>
      <c r="F1937">
        <f>INT((C1937-Нед_Начало)/7)+1</f>
        <v/>
      </c>
      <c r="G1937">
        <f>IF(E1937=0,0,INDEX('Планы менеджеров'!$B$5:$M$16,B1937,D1937)/INDEX(Мес_Раб,D1937))</f>
        <v/>
      </c>
    </row>
    <row r="1938">
      <c r="A1938" t="inlineStr">
        <is>
          <t>Морозова</t>
        </is>
      </c>
      <c r="B1938" t="n">
        <v>10</v>
      </c>
      <c r="C1938" s="18">
        <f>'Календарь'!A80</f>
        <v/>
      </c>
      <c r="D1938">
        <f>MONTH(C1938)</f>
        <v/>
      </c>
      <c r="E1938">
        <f>'Календарь'!D80</f>
        <v/>
      </c>
      <c r="F1938">
        <f>INT((C1938-Нед_Начало)/7)+1</f>
        <v/>
      </c>
      <c r="G1938">
        <f>IF(E1938=0,0,INDEX('Планы менеджеров'!$B$5:$M$16,B1938,D1938)/INDEX(Мес_Раб,D1938))</f>
        <v/>
      </c>
    </row>
    <row r="1939">
      <c r="A1939" t="inlineStr">
        <is>
          <t>Морозова</t>
        </is>
      </c>
      <c r="B1939" t="n">
        <v>10</v>
      </c>
      <c r="C1939" s="18">
        <f>'Календарь'!A81</f>
        <v/>
      </c>
      <c r="D1939">
        <f>MONTH(C1939)</f>
        <v/>
      </c>
      <c r="E1939">
        <f>'Календарь'!D81</f>
        <v/>
      </c>
      <c r="F1939">
        <f>INT((C1939-Нед_Начало)/7)+1</f>
        <v/>
      </c>
      <c r="G1939">
        <f>IF(E1939=0,0,INDEX('Планы менеджеров'!$B$5:$M$16,B1939,D1939)/INDEX(Мес_Раб,D1939))</f>
        <v/>
      </c>
    </row>
    <row r="1940">
      <c r="A1940" t="inlineStr">
        <is>
          <t>Морозова</t>
        </is>
      </c>
      <c r="B1940" t="n">
        <v>10</v>
      </c>
      <c r="C1940" s="18">
        <f>'Календарь'!A82</f>
        <v/>
      </c>
      <c r="D1940">
        <f>MONTH(C1940)</f>
        <v/>
      </c>
      <c r="E1940">
        <f>'Календарь'!D82</f>
        <v/>
      </c>
      <c r="F1940">
        <f>INT((C1940-Нед_Начало)/7)+1</f>
        <v/>
      </c>
      <c r="G1940">
        <f>IF(E1940=0,0,INDEX('Планы менеджеров'!$B$5:$M$16,B1940,D1940)/INDEX(Мес_Раб,D1940))</f>
        <v/>
      </c>
    </row>
    <row r="1941">
      <c r="A1941" t="inlineStr">
        <is>
          <t>Морозова</t>
        </is>
      </c>
      <c r="B1941" t="n">
        <v>10</v>
      </c>
      <c r="C1941" s="18">
        <f>'Календарь'!A83</f>
        <v/>
      </c>
      <c r="D1941">
        <f>MONTH(C1941)</f>
        <v/>
      </c>
      <c r="E1941">
        <f>'Календарь'!D83</f>
        <v/>
      </c>
      <c r="F1941">
        <f>INT((C1941-Нед_Начало)/7)+1</f>
        <v/>
      </c>
      <c r="G1941">
        <f>IF(E1941=0,0,INDEX('Планы менеджеров'!$B$5:$M$16,B1941,D1941)/INDEX(Мес_Раб,D1941))</f>
        <v/>
      </c>
    </row>
    <row r="1942">
      <c r="A1942" t="inlineStr">
        <is>
          <t>Морозова</t>
        </is>
      </c>
      <c r="B1942" t="n">
        <v>10</v>
      </c>
      <c r="C1942" s="18">
        <f>'Календарь'!A84</f>
        <v/>
      </c>
      <c r="D1942">
        <f>MONTH(C1942)</f>
        <v/>
      </c>
      <c r="E1942">
        <f>'Календарь'!D84</f>
        <v/>
      </c>
      <c r="F1942">
        <f>INT((C1942-Нед_Начало)/7)+1</f>
        <v/>
      </c>
      <c r="G1942">
        <f>IF(E1942=0,0,INDEX('Планы менеджеров'!$B$5:$M$16,B1942,D1942)/INDEX(Мес_Раб,D1942))</f>
        <v/>
      </c>
    </row>
    <row r="1943">
      <c r="A1943" t="inlineStr">
        <is>
          <t>Морозова</t>
        </is>
      </c>
      <c r="B1943" t="n">
        <v>10</v>
      </c>
      <c r="C1943" s="18">
        <f>'Календарь'!A85</f>
        <v/>
      </c>
      <c r="D1943">
        <f>MONTH(C1943)</f>
        <v/>
      </c>
      <c r="E1943">
        <f>'Календарь'!D85</f>
        <v/>
      </c>
      <c r="F1943">
        <f>INT((C1943-Нед_Начало)/7)+1</f>
        <v/>
      </c>
      <c r="G1943">
        <f>IF(E1943=0,0,INDEX('Планы менеджеров'!$B$5:$M$16,B1943,D1943)/INDEX(Мес_Раб,D1943))</f>
        <v/>
      </c>
    </row>
    <row r="1944">
      <c r="A1944" t="inlineStr">
        <is>
          <t>Морозова</t>
        </is>
      </c>
      <c r="B1944" t="n">
        <v>10</v>
      </c>
      <c r="C1944" s="18">
        <f>'Календарь'!A86</f>
        <v/>
      </c>
      <c r="D1944">
        <f>MONTH(C1944)</f>
        <v/>
      </c>
      <c r="E1944">
        <f>'Календарь'!D86</f>
        <v/>
      </c>
      <c r="F1944">
        <f>INT((C1944-Нед_Начало)/7)+1</f>
        <v/>
      </c>
      <c r="G1944">
        <f>IF(E1944=0,0,INDEX('Планы менеджеров'!$B$5:$M$16,B1944,D1944)/INDEX(Мес_Раб,D1944))</f>
        <v/>
      </c>
    </row>
    <row r="1945">
      <c r="A1945" t="inlineStr">
        <is>
          <t>Морозова</t>
        </is>
      </c>
      <c r="B1945" t="n">
        <v>10</v>
      </c>
      <c r="C1945" s="18">
        <f>'Календарь'!A87</f>
        <v/>
      </c>
      <c r="D1945">
        <f>MONTH(C1945)</f>
        <v/>
      </c>
      <c r="E1945">
        <f>'Календарь'!D87</f>
        <v/>
      </c>
      <c r="F1945">
        <f>INT((C1945-Нед_Начало)/7)+1</f>
        <v/>
      </c>
      <c r="G1945">
        <f>IF(E1945=0,0,INDEX('Планы менеджеров'!$B$5:$M$16,B1945,D1945)/INDEX(Мес_Раб,D1945))</f>
        <v/>
      </c>
    </row>
    <row r="1946">
      <c r="A1946" t="inlineStr">
        <is>
          <t>Морозова</t>
        </is>
      </c>
      <c r="B1946" t="n">
        <v>10</v>
      </c>
      <c r="C1946" s="18">
        <f>'Календарь'!A88</f>
        <v/>
      </c>
      <c r="D1946">
        <f>MONTH(C1946)</f>
        <v/>
      </c>
      <c r="E1946">
        <f>'Календарь'!D88</f>
        <v/>
      </c>
      <c r="F1946">
        <f>INT((C1946-Нед_Начало)/7)+1</f>
        <v/>
      </c>
      <c r="G1946">
        <f>IF(E1946=0,0,INDEX('Планы менеджеров'!$B$5:$M$16,B1946,D1946)/INDEX(Мес_Раб,D1946))</f>
        <v/>
      </c>
    </row>
    <row r="1947">
      <c r="A1947" t="inlineStr">
        <is>
          <t>Морозова</t>
        </is>
      </c>
      <c r="B1947" t="n">
        <v>10</v>
      </c>
      <c r="C1947" s="18">
        <f>'Календарь'!A89</f>
        <v/>
      </c>
      <c r="D1947">
        <f>MONTH(C1947)</f>
        <v/>
      </c>
      <c r="E1947">
        <f>'Календарь'!D89</f>
        <v/>
      </c>
      <c r="F1947">
        <f>INT((C1947-Нед_Начало)/7)+1</f>
        <v/>
      </c>
      <c r="G1947">
        <f>IF(E1947=0,0,INDEX('Планы менеджеров'!$B$5:$M$16,B1947,D1947)/INDEX(Мес_Раб,D1947))</f>
        <v/>
      </c>
    </row>
    <row r="1948">
      <c r="A1948" t="inlineStr">
        <is>
          <t>Морозова</t>
        </is>
      </c>
      <c r="B1948" t="n">
        <v>10</v>
      </c>
      <c r="C1948" s="18">
        <f>'Календарь'!A90</f>
        <v/>
      </c>
      <c r="D1948">
        <f>MONTH(C1948)</f>
        <v/>
      </c>
      <c r="E1948">
        <f>'Календарь'!D90</f>
        <v/>
      </c>
      <c r="F1948">
        <f>INT((C1948-Нед_Начало)/7)+1</f>
        <v/>
      </c>
      <c r="G1948">
        <f>IF(E1948=0,0,INDEX('Планы менеджеров'!$B$5:$M$16,B1948,D1948)/INDEX(Мес_Раб,D1948))</f>
        <v/>
      </c>
    </row>
    <row r="1949">
      <c r="A1949" t="inlineStr">
        <is>
          <t>Морозова</t>
        </is>
      </c>
      <c r="B1949" t="n">
        <v>10</v>
      </c>
      <c r="C1949" s="18">
        <f>'Календарь'!A91</f>
        <v/>
      </c>
      <c r="D1949">
        <f>MONTH(C1949)</f>
        <v/>
      </c>
      <c r="E1949">
        <f>'Календарь'!D91</f>
        <v/>
      </c>
      <c r="F1949">
        <f>INT((C1949-Нед_Начало)/7)+1</f>
        <v/>
      </c>
      <c r="G1949">
        <f>IF(E1949=0,0,INDEX('Планы менеджеров'!$B$5:$M$16,B1949,D1949)/INDEX(Мес_Раб,D1949))</f>
        <v/>
      </c>
    </row>
    <row r="1950">
      <c r="A1950" t="inlineStr">
        <is>
          <t>Морозова</t>
        </is>
      </c>
      <c r="B1950" t="n">
        <v>10</v>
      </c>
      <c r="C1950" s="18">
        <f>'Календарь'!A92</f>
        <v/>
      </c>
      <c r="D1950">
        <f>MONTH(C1950)</f>
        <v/>
      </c>
      <c r="E1950">
        <f>'Календарь'!D92</f>
        <v/>
      </c>
      <c r="F1950">
        <f>INT((C1950-Нед_Начало)/7)+1</f>
        <v/>
      </c>
      <c r="G1950">
        <f>IF(E1950=0,0,INDEX('Планы менеджеров'!$B$5:$M$16,B1950,D1950)/INDEX(Мес_Раб,D1950))</f>
        <v/>
      </c>
    </row>
    <row r="1951">
      <c r="A1951" t="inlineStr">
        <is>
          <t>Морозова</t>
        </is>
      </c>
      <c r="B1951" t="n">
        <v>10</v>
      </c>
      <c r="C1951" s="18">
        <f>'Календарь'!A93</f>
        <v/>
      </c>
      <c r="D1951">
        <f>MONTH(C1951)</f>
        <v/>
      </c>
      <c r="E1951">
        <f>'Календарь'!D93</f>
        <v/>
      </c>
      <c r="F1951">
        <f>INT((C1951-Нед_Начало)/7)+1</f>
        <v/>
      </c>
      <c r="G1951">
        <f>IF(E1951=0,0,INDEX('Планы менеджеров'!$B$5:$M$16,B1951,D1951)/INDEX(Мес_Раб,D1951))</f>
        <v/>
      </c>
    </row>
    <row r="1952">
      <c r="A1952" t="inlineStr">
        <is>
          <t>Морозова</t>
        </is>
      </c>
      <c r="B1952" t="n">
        <v>10</v>
      </c>
      <c r="C1952" s="18">
        <f>'Календарь'!A94</f>
        <v/>
      </c>
      <c r="D1952">
        <f>MONTH(C1952)</f>
        <v/>
      </c>
      <c r="E1952">
        <f>'Календарь'!D94</f>
        <v/>
      </c>
      <c r="F1952">
        <f>INT((C1952-Нед_Начало)/7)+1</f>
        <v/>
      </c>
      <c r="G1952">
        <f>IF(E1952=0,0,INDEX('Планы менеджеров'!$B$5:$M$16,B1952,D1952)/INDEX(Мес_Раб,D1952))</f>
        <v/>
      </c>
    </row>
    <row r="1953">
      <c r="A1953" t="inlineStr">
        <is>
          <t>Морозова</t>
        </is>
      </c>
      <c r="B1953" t="n">
        <v>10</v>
      </c>
      <c r="C1953" s="18">
        <f>'Календарь'!A95</f>
        <v/>
      </c>
      <c r="D1953">
        <f>MONTH(C1953)</f>
        <v/>
      </c>
      <c r="E1953">
        <f>'Календарь'!D95</f>
        <v/>
      </c>
      <c r="F1953">
        <f>INT((C1953-Нед_Начало)/7)+1</f>
        <v/>
      </c>
      <c r="G1953">
        <f>IF(E1953=0,0,INDEX('Планы менеджеров'!$B$5:$M$16,B1953,D1953)/INDEX(Мес_Раб,D1953))</f>
        <v/>
      </c>
    </row>
    <row r="1954">
      <c r="A1954" t="inlineStr">
        <is>
          <t>Морозова</t>
        </is>
      </c>
      <c r="B1954" t="n">
        <v>10</v>
      </c>
      <c r="C1954" s="18">
        <f>'Календарь'!A96</f>
        <v/>
      </c>
      <c r="D1954">
        <f>MONTH(C1954)</f>
        <v/>
      </c>
      <c r="E1954">
        <f>'Календарь'!D96</f>
        <v/>
      </c>
      <c r="F1954">
        <f>INT((C1954-Нед_Начало)/7)+1</f>
        <v/>
      </c>
      <c r="G1954">
        <f>IF(E1954=0,0,INDEX('Планы менеджеров'!$B$5:$M$16,B1954,D1954)/INDEX(Мес_Раб,D1954))</f>
        <v/>
      </c>
    </row>
    <row r="1955">
      <c r="A1955" t="inlineStr">
        <is>
          <t>Морозова</t>
        </is>
      </c>
      <c r="B1955" t="n">
        <v>10</v>
      </c>
      <c r="C1955" s="18">
        <f>'Календарь'!A97</f>
        <v/>
      </c>
      <c r="D1955">
        <f>MONTH(C1955)</f>
        <v/>
      </c>
      <c r="E1955">
        <f>'Календарь'!D97</f>
        <v/>
      </c>
      <c r="F1955">
        <f>INT((C1955-Нед_Начало)/7)+1</f>
        <v/>
      </c>
      <c r="G1955">
        <f>IF(E1955=0,0,INDEX('Планы менеджеров'!$B$5:$M$16,B1955,D1955)/INDEX(Мес_Раб,D1955))</f>
        <v/>
      </c>
    </row>
    <row r="1956">
      <c r="A1956" t="inlineStr">
        <is>
          <t>Морозова</t>
        </is>
      </c>
      <c r="B1956" t="n">
        <v>10</v>
      </c>
      <c r="C1956" s="18">
        <f>'Календарь'!A98</f>
        <v/>
      </c>
      <c r="D1956">
        <f>MONTH(C1956)</f>
        <v/>
      </c>
      <c r="E1956">
        <f>'Календарь'!D98</f>
        <v/>
      </c>
      <c r="F1956">
        <f>INT((C1956-Нед_Начало)/7)+1</f>
        <v/>
      </c>
      <c r="G1956">
        <f>IF(E1956=0,0,INDEX('Планы менеджеров'!$B$5:$M$16,B1956,D1956)/INDEX(Мес_Раб,D1956))</f>
        <v/>
      </c>
    </row>
    <row r="1957">
      <c r="A1957" t="inlineStr">
        <is>
          <t>Морозова</t>
        </is>
      </c>
      <c r="B1957" t="n">
        <v>10</v>
      </c>
      <c r="C1957" s="18">
        <f>'Календарь'!A99</f>
        <v/>
      </c>
      <c r="D1957">
        <f>MONTH(C1957)</f>
        <v/>
      </c>
      <c r="E1957">
        <f>'Календарь'!D99</f>
        <v/>
      </c>
      <c r="F1957">
        <f>INT((C1957-Нед_Начало)/7)+1</f>
        <v/>
      </c>
      <c r="G1957">
        <f>IF(E1957=0,0,INDEX('Планы менеджеров'!$B$5:$M$16,B1957,D1957)/INDEX(Мес_Раб,D1957))</f>
        <v/>
      </c>
    </row>
    <row r="1958">
      <c r="A1958" t="inlineStr">
        <is>
          <t>Морозова</t>
        </is>
      </c>
      <c r="B1958" t="n">
        <v>10</v>
      </c>
      <c r="C1958" s="18">
        <f>'Календарь'!A100</f>
        <v/>
      </c>
      <c r="D1958">
        <f>MONTH(C1958)</f>
        <v/>
      </c>
      <c r="E1958">
        <f>'Календарь'!D100</f>
        <v/>
      </c>
      <c r="F1958">
        <f>INT((C1958-Нед_Начало)/7)+1</f>
        <v/>
      </c>
      <c r="G1958">
        <f>IF(E1958=0,0,INDEX('Планы менеджеров'!$B$5:$M$16,B1958,D1958)/INDEX(Мес_Раб,D1958))</f>
        <v/>
      </c>
    </row>
    <row r="1959">
      <c r="A1959" t="inlineStr">
        <is>
          <t>Морозова</t>
        </is>
      </c>
      <c r="B1959" t="n">
        <v>10</v>
      </c>
      <c r="C1959" s="18">
        <f>'Календарь'!A101</f>
        <v/>
      </c>
      <c r="D1959">
        <f>MONTH(C1959)</f>
        <v/>
      </c>
      <c r="E1959">
        <f>'Календарь'!D101</f>
        <v/>
      </c>
      <c r="F1959">
        <f>INT((C1959-Нед_Начало)/7)+1</f>
        <v/>
      </c>
      <c r="G1959">
        <f>IF(E1959=0,0,INDEX('Планы менеджеров'!$B$5:$M$16,B1959,D1959)/INDEX(Мес_Раб,D1959))</f>
        <v/>
      </c>
    </row>
    <row r="1960">
      <c r="A1960" t="inlineStr">
        <is>
          <t>Морозова</t>
        </is>
      </c>
      <c r="B1960" t="n">
        <v>10</v>
      </c>
      <c r="C1960" s="18">
        <f>'Календарь'!A102</f>
        <v/>
      </c>
      <c r="D1960">
        <f>MONTH(C1960)</f>
        <v/>
      </c>
      <c r="E1960">
        <f>'Календарь'!D102</f>
        <v/>
      </c>
      <c r="F1960">
        <f>INT((C1960-Нед_Начало)/7)+1</f>
        <v/>
      </c>
      <c r="G1960">
        <f>IF(E1960=0,0,INDEX('Планы менеджеров'!$B$5:$M$16,B1960,D1960)/INDEX(Мес_Раб,D1960))</f>
        <v/>
      </c>
    </row>
    <row r="1961">
      <c r="A1961" t="inlineStr">
        <is>
          <t>Морозова</t>
        </is>
      </c>
      <c r="B1961" t="n">
        <v>10</v>
      </c>
      <c r="C1961" s="18">
        <f>'Календарь'!A103</f>
        <v/>
      </c>
      <c r="D1961">
        <f>MONTH(C1961)</f>
        <v/>
      </c>
      <c r="E1961">
        <f>'Календарь'!D103</f>
        <v/>
      </c>
      <c r="F1961">
        <f>INT((C1961-Нед_Начало)/7)+1</f>
        <v/>
      </c>
      <c r="G1961">
        <f>IF(E1961=0,0,INDEX('Планы менеджеров'!$B$5:$M$16,B1961,D1961)/INDEX(Мес_Раб,D1961))</f>
        <v/>
      </c>
    </row>
    <row r="1962">
      <c r="A1962" t="inlineStr">
        <is>
          <t>Морозова</t>
        </is>
      </c>
      <c r="B1962" t="n">
        <v>10</v>
      </c>
      <c r="C1962" s="18">
        <f>'Календарь'!A104</f>
        <v/>
      </c>
      <c r="D1962">
        <f>MONTH(C1962)</f>
        <v/>
      </c>
      <c r="E1962">
        <f>'Календарь'!D104</f>
        <v/>
      </c>
      <c r="F1962">
        <f>INT((C1962-Нед_Начало)/7)+1</f>
        <v/>
      </c>
      <c r="G1962">
        <f>IF(E1962=0,0,INDEX('Планы менеджеров'!$B$5:$M$16,B1962,D1962)/INDEX(Мес_Раб,D1962))</f>
        <v/>
      </c>
    </row>
    <row r="1963">
      <c r="A1963" t="inlineStr">
        <is>
          <t>Морозова</t>
        </is>
      </c>
      <c r="B1963" t="n">
        <v>10</v>
      </c>
      <c r="C1963" s="18">
        <f>'Календарь'!A105</f>
        <v/>
      </c>
      <c r="D1963">
        <f>MONTH(C1963)</f>
        <v/>
      </c>
      <c r="E1963">
        <f>'Календарь'!D105</f>
        <v/>
      </c>
      <c r="F1963">
        <f>INT((C1963-Нед_Начало)/7)+1</f>
        <v/>
      </c>
      <c r="G1963">
        <f>IF(E1963=0,0,INDEX('Планы менеджеров'!$B$5:$M$16,B1963,D1963)/INDEX(Мес_Раб,D1963))</f>
        <v/>
      </c>
    </row>
    <row r="1964">
      <c r="A1964" t="inlineStr">
        <is>
          <t>Морозова</t>
        </is>
      </c>
      <c r="B1964" t="n">
        <v>10</v>
      </c>
      <c r="C1964" s="18">
        <f>'Календарь'!A106</f>
        <v/>
      </c>
      <c r="D1964">
        <f>MONTH(C1964)</f>
        <v/>
      </c>
      <c r="E1964">
        <f>'Календарь'!D106</f>
        <v/>
      </c>
      <c r="F1964">
        <f>INT((C1964-Нед_Начало)/7)+1</f>
        <v/>
      </c>
      <c r="G1964">
        <f>IF(E1964=0,0,INDEX('Планы менеджеров'!$B$5:$M$16,B1964,D1964)/INDEX(Мес_Раб,D1964))</f>
        <v/>
      </c>
    </row>
    <row r="1965">
      <c r="A1965" t="inlineStr">
        <is>
          <t>Морозова</t>
        </is>
      </c>
      <c r="B1965" t="n">
        <v>10</v>
      </c>
      <c r="C1965" s="18">
        <f>'Календарь'!A107</f>
        <v/>
      </c>
      <c r="D1965">
        <f>MONTH(C1965)</f>
        <v/>
      </c>
      <c r="E1965">
        <f>'Календарь'!D107</f>
        <v/>
      </c>
      <c r="F1965">
        <f>INT((C1965-Нед_Начало)/7)+1</f>
        <v/>
      </c>
      <c r="G1965">
        <f>IF(E1965=0,0,INDEX('Планы менеджеров'!$B$5:$M$16,B1965,D1965)/INDEX(Мес_Раб,D1965))</f>
        <v/>
      </c>
    </row>
    <row r="1966">
      <c r="A1966" t="inlineStr">
        <is>
          <t>Морозова</t>
        </is>
      </c>
      <c r="B1966" t="n">
        <v>10</v>
      </c>
      <c r="C1966" s="18">
        <f>'Календарь'!A108</f>
        <v/>
      </c>
      <c r="D1966">
        <f>MONTH(C1966)</f>
        <v/>
      </c>
      <c r="E1966">
        <f>'Календарь'!D108</f>
        <v/>
      </c>
      <c r="F1966">
        <f>INT((C1966-Нед_Начало)/7)+1</f>
        <v/>
      </c>
      <c r="G1966">
        <f>IF(E1966=0,0,INDEX('Планы менеджеров'!$B$5:$M$16,B1966,D1966)/INDEX(Мес_Раб,D1966))</f>
        <v/>
      </c>
    </row>
    <row r="1967">
      <c r="A1967" t="inlineStr">
        <is>
          <t>Морозова</t>
        </is>
      </c>
      <c r="B1967" t="n">
        <v>10</v>
      </c>
      <c r="C1967" s="18">
        <f>'Календарь'!A109</f>
        <v/>
      </c>
      <c r="D1967">
        <f>MONTH(C1967)</f>
        <v/>
      </c>
      <c r="E1967">
        <f>'Календарь'!D109</f>
        <v/>
      </c>
      <c r="F1967">
        <f>INT((C1967-Нед_Начало)/7)+1</f>
        <v/>
      </c>
      <c r="G1967">
        <f>IF(E1967=0,0,INDEX('Планы менеджеров'!$B$5:$M$16,B1967,D1967)/INDEX(Мес_Раб,D1967))</f>
        <v/>
      </c>
    </row>
    <row r="1968">
      <c r="A1968" t="inlineStr">
        <is>
          <t>Морозова</t>
        </is>
      </c>
      <c r="B1968" t="n">
        <v>10</v>
      </c>
      <c r="C1968" s="18">
        <f>'Календарь'!A110</f>
        <v/>
      </c>
      <c r="D1968">
        <f>MONTH(C1968)</f>
        <v/>
      </c>
      <c r="E1968">
        <f>'Календарь'!D110</f>
        <v/>
      </c>
      <c r="F1968">
        <f>INT((C1968-Нед_Начало)/7)+1</f>
        <v/>
      </c>
      <c r="G1968">
        <f>IF(E1968=0,0,INDEX('Планы менеджеров'!$B$5:$M$16,B1968,D1968)/INDEX(Мес_Раб,D1968))</f>
        <v/>
      </c>
    </row>
    <row r="1969">
      <c r="A1969" t="inlineStr">
        <is>
          <t>Морозова</t>
        </is>
      </c>
      <c r="B1969" t="n">
        <v>10</v>
      </c>
      <c r="C1969" s="18">
        <f>'Календарь'!A111</f>
        <v/>
      </c>
      <c r="D1969">
        <f>MONTH(C1969)</f>
        <v/>
      </c>
      <c r="E1969">
        <f>'Календарь'!D111</f>
        <v/>
      </c>
      <c r="F1969">
        <f>INT((C1969-Нед_Начало)/7)+1</f>
        <v/>
      </c>
      <c r="G1969">
        <f>IF(E1969=0,0,INDEX('Планы менеджеров'!$B$5:$M$16,B1969,D1969)/INDEX(Мес_Раб,D1969))</f>
        <v/>
      </c>
    </row>
    <row r="1970">
      <c r="A1970" t="inlineStr">
        <is>
          <t>Морозова</t>
        </is>
      </c>
      <c r="B1970" t="n">
        <v>10</v>
      </c>
      <c r="C1970" s="18">
        <f>'Календарь'!A112</f>
        <v/>
      </c>
      <c r="D1970">
        <f>MONTH(C1970)</f>
        <v/>
      </c>
      <c r="E1970">
        <f>'Календарь'!D112</f>
        <v/>
      </c>
      <c r="F1970">
        <f>INT((C1970-Нед_Начало)/7)+1</f>
        <v/>
      </c>
      <c r="G1970">
        <f>IF(E1970=0,0,INDEX('Планы менеджеров'!$B$5:$M$16,B1970,D1970)/INDEX(Мес_Раб,D1970))</f>
        <v/>
      </c>
    </row>
    <row r="1971">
      <c r="A1971" t="inlineStr">
        <is>
          <t>Морозова</t>
        </is>
      </c>
      <c r="B1971" t="n">
        <v>10</v>
      </c>
      <c r="C1971" s="18">
        <f>'Календарь'!A113</f>
        <v/>
      </c>
      <c r="D1971">
        <f>MONTH(C1971)</f>
        <v/>
      </c>
      <c r="E1971">
        <f>'Календарь'!D113</f>
        <v/>
      </c>
      <c r="F1971">
        <f>INT((C1971-Нед_Начало)/7)+1</f>
        <v/>
      </c>
      <c r="G1971">
        <f>IF(E1971=0,0,INDEX('Планы менеджеров'!$B$5:$M$16,B1971,D1971)/INDEX(Мес_Раб,D1971))</f>
        <v/>
      </c>
    </row>
    <row r="1972">
      <c r="A1972" t="inlineStr">
        <is>
          <t>Морозова</t>
        </is>
      </c>
      <c r="B1972" t="n">
        <v>10</v>
      </c>
      <c r="C1972" s="18">
        <f>'Календарь'!A114</f>
        <v/>
      </c>
      <c r="D1972">
        <f>MONTH(C1972)</f>
        <v/>
      </c>
      <c r="E1972">
        <f>'Календарь'!D114</f>
        <v/>
      </c>
      <c r="F1972">
        <f>INT((C1972-Нед_Начало)/7)+1</f>
        <v/>
      </c>
      <c r="G1972">
        <f>IF(E1972=0,0,INDEX('Планы менеджеров'!$B$5:$M$16,B1972,D1972)/INDEX(Мес_Раб,D1972))</f>
        <v/>
      </c>
    </row>
    <row r="1973">
      <c r="A1973" t="inlineStr">
        <is>
          <t>Морозова</t>
        </is>
      </c>
      <c r="B1973" t="n">
        <v>10</v>
      </c>
      <c r="C1973" s="18">
        <f>'Календарь'!A115</f>
        <v/>
      </c>
      <c r="D1973">
        <f>MONTH(C1973)</f>
        <v/>
      </c>
      <c r="E1973">
        <f>'Календарь'!D115</f>
        <v/>
      </c>
      <c r="F1973">
        <f>INT((C1973-Нед_Начало)/7)+1</f>
        <v/>
      </c>
      <c r="G1973">
        <f>IF(E1973=0,0,INDEX('Планы менеджеров'!$B$5:$M$16,B1973,D1973)/INDEX(Мес_Раб,D1973))</f>
        <v/>
      </c>
    </row>
    <row r="1974">
      <c r="A1974" t="inlineStr">
        <is>
          <t>Морозова</t>
        </is>
      </c>
      <c r="B1974" t="n">
        <v>10</v>
      </c>
      <c r="C1974" s="18">
        <f>'Календарь'!A116</f>
        <v/>
      </c>
      <c r="D1974">
        <f>MONTH(C1974)</f>
        <v/>
      </c>
      <c r="E1974">
        <f>'Календарь'!D116</f>
        <v/>
      </c>
      <c r="F1974">
        <f>INT((C1974-Нед_Начало)/7)+1</f>
        <v/>
      </c>
      <c r="G1974">
        <f>IF(E1974=0,0,INDEX('Планы менеджеров'!$B$5:$M$16,B1974,D1974)/INDEX(Мес_Раб,D1974))</f>
        <v/>
      </c>
    </row>
    <row r="1975">
      <c r="A1975" t="inlineStr">
        <is>
          <t>Морозова</t>
        </is>
      </c>
      <c r="B1975" t="n">
        <v>10</v>
      </c>
      <c r="C1975" s="18">
        <f>'Календарь'!A117</f>
        <v/>
      </c>
      <c r="D1975">
        <f>MONTH(C1975)</f>
        <v/>
      </c>
      <c r="E1975">
        <f>'Календарь'!D117</f>
        <v/>
      </c>
      <c r="F1975">
        <f>INT((C1975-Нед_Начало)/7)+1</f>
        <v/>
      </c>
      <c r="G1975">
        <f>IF(E1975=0,0,INDEX('Планы менеджеров'!$B$5:$M$16,B1975,D1975)/INDEX(Мес_Раб,D1975))</f>
        <v/>
      </c>
    </row>
    <row r="1976">
      <c r="A1976" t="inlineStr">
        <is>
          <t>Морозова</t>
        </is>
      </c>
      <c r="B1976" t="n">
        <v>10</v>
      </c>
      <c r="C1976" s="18">
        <f>'Календарь'!A118</f>
        <v/>
      </c>
      <c r="D1976">
        <f>MONTH(C1976)</f>
        <v/>
      </c>
      <c r="E1976">
        <f>'Календарь'!D118</f>
        <v/>
      </c>
      <c r="F1976">
        <f>INT((C1976-Нед_Начало)/7)+1</f>
        <v/>
      </c>
      <c r="G1976">
        <f>IF(E1976=0,0,INDEX('Планы менеджеров'!$B$5:$M$16,B1976,D1976)/INDEX(Мес_Раб,D1976))</f>
        <v/>
      </c>
    </row>
    <row r="1977">
      <c r="A1977" t="inlineStr">
        <is>
          <t>Морозова</t>
        </is>
      </c>
      <c r="B1977" t="n">
        <v>10</v>
      </c>
      <c r="C1977" s="18">
        <f>'Календарь'!A119</f>
        <v/>
      </c>
      <c r="D1977">
        <f>MONTH(C1977)</f>
        <v/>
      </c>
      <c r="E1977">
        <f>'Календарь'!D119</f>
        <v/>
      </c>
      <c r="F1977">
        <f>INT((C1977-Нед_Начало)/7)+1</f>
        <v/>
      </c>
      <c r="G1977">
        <f>IF(E1977=0,0,INDEX('Планы менеджеров'!$B$5:$M$16,B1977,D1977)/INDEX(Мес_Раб,D1977))</f>
        <v/>
      </c>
    </row>
    <row r="1978">
      <c r="A1978" t="inlineStr">
        <is>
          <t>Морозова</t>
        </is>
      </c>
      <c r="B1978" t="n">
        <v>10</v>
      </c>
      <c r="C1978" s="18">
        <f>'Календарь'!A120</f>
        <v/>
      </c>
      <c r="D1978">
        <f>MONTH(C1978)</f>
        <v/>
      </c>
      <c r="E1978">
        <f>'Календарь'!D120</f>
        <v/>
      </c>
      <c r="F1978">
        <f>INT((C1978-Нед_Начало)/7)+1</f>
        <v/>
      </c>
      <c r="G1978">
        <f>IF(E1978=0,0,INDEX('Планы менеджеров'!$B$5:$M$16,B1978,D1978)/INDEX(Мес_Раб,D1978))</f>
        <v/>
      </c>
    </row>
    <row r="1979">
      <c r="A1979" t="inlineStr">
        <is>
          <t>Морозова</t>
        </is>
      </c>
      <c r="B1979" t="n">
        <v>10</v>
      </c>
      <c r="C1979" s="18">
        <f>'Календарь'!A121</f>
        <v/>
      </c>
      <c r="D1979">
        <f>MONTH(C1979)</f>
        <v/>
      </c>
      <c r="E1979">
        <f>'Календарь'!D121</f>
        <v/>
      </c>
      <c r="F1979">
        <f>INT((C1979-Нед_Начало)/7)+1</f>
        <v/>
      </c>
      <c r="G1979">
        <f>IF(E1979=0,0,INDEX('Планы менеджеров'!$B$5:$M$16,B1979,D1979)/INDEX(Мес_Раб,D1979))</f>
        <v/>
      </c>
    </row>
    <row r="1980">
      <c r="A1980" t="inlineStr">
        <is>
          <t>Морозова</t>
        </is>
      </c>
      <c r="B1980" t="n">
        <v>10</v>
      </c>
      <c r="C1980" s="18">
        <f>'Календарь'!A122</f>
        <v/>
      </c>
      <c r="D1980">
        <f>MONTH(C1980)</f>
        <v/>
      </c>
      <c r="E1980">
        <f>'Календарь'!D122</f>
        <v/>
      </c>
      <c r="F1980">
        <f>INT((C1980-Нед_Начало)/7)+1</f>
        <v/>
      </c>
      <c r="G1980">
        <f>IF(E1980=0,0,INDEX('Планы менеджеров'!$B$5:$M$16,B1980,D1980)/INDEX(Мес_Раб,D1980))</f>
        <v/>
      </c>
    </row>
    <row r="1981">
      <c r="A1981" t="inlineStr">
        <is>
          <t>Морозова</t>
        </is>
      </c>
      <c r="B1981" t="n">
        <v>10</v>
      </c>
      <c r="C1981" s="18">
        <f>'Календарь'!A123</f>
        <v/>
      </c>
      <c r="D1981">
        <f>MONTH(C1981)</f>
        <v/>
      </c>
      <c r="E1981">
        <f>'Календарь'!D123</f>
        <v/>
      </c>
      <c r="F1981">
        <f>INT((C1981-Нед_Начало)/7)+1</f>
        <v/>
      </c>
      <c r="G1981">
        <f>IF(E1981=0,0,INDEX('Планы менеджеров'!$B$5:$M$16,B1981,D1981)/INDEX(Мес_Раб,D1981))</f>
        <v/>
      </c>
    </row>
    <row r="1982">
      <c r="A1982" t="inlineStr">
        <is>
          <t>Морозова</t>
        </is>
      </c>
      <c r="B1982" t="n">
        <v>10</v>
      </c>
      <c r="C1982" s="18">
        <f>'Календарь'!A124</f>
        <v/>
      </c>
      <c r="D1982">
        <f>MONTH(C1982)</f>
        <v/>
      </c>
      <c r="E1982">
        <f>'Календарь'!D124</f>
        <v/>
      </c>
      <c r="F1982">
        <f>INT((C1982-Нед_Начало)/7)+1</f>
        <v/>
      </c>
      <c r="G1982">
        <f>IF(E1982=0,0,INDEX('Планы менеджеров'!$B$5:$M$16,B1982,D1982)/INDEX(Мес_Раб,D1982))</f>
        <v/>
      </c>
    </row>
    <row r="1983">
      <c r="A1983" t="inlineStr">
        <is>
          <t>Морозова</t>
        </is>
      </c>
      <c r="B1983" t="n">
        <v>10</v>
      </c>
      <c r="C1983" s="18">
        <f>'Календарь'!A125</f>
        <v/>
      </c>
      <c r="D1983">
        <f>MONTH(C1983)</f>
        <v/>
      </c>
      <c r="E1983">
        <f>'Календарь'!D125</f>
        <v/>
      </c>
      <c r="F1983">
        <f>INT((C1983-Нед_Начало)/7)+1</f>
        <v/>
      </c>
      <c r="G1983">
        <f>IF(E1983=0,0,INDEX('Планы менеджеров'!$B$5:$M$16,B1983,D1983)/INDEX(Мес_Раб,D1983))</f>
        <v/>
      </c>
    </row>
    <row r="1984">
      <c r="A1984" t="inlineStr">
        <is>
          <t>Морозова</t>
        </is>
      </c>
      <c r="B1984" t="n">
        <v>10</v>
      </c>
      <c r="C1984" s="18">
        <f>'Календарь'!A126</f>
        <v/>
      </c>
      <c r="D1984">
        <f>MONTH(C1984)</f>
        <v/>
      </c>
      <c r="E1984">
        <f>'Календарь'!D126</f>
        <v/>
      </c>
      <c r="F1984">
        <f>INT((C1984-Нед_Начало)/7)+1</f>
        <v/>
      </c>
      <c r="G1984">
        <f>IF(E1984=0,0,INDEX('Планы менеджеров'!$B$5:$M$16,B1984,D1984)/INDEX(Мес_Раб,D1984))</f>
        <v/>
      </c>
    </row>
    <row r="1985">
      <c r="A1985" t="inlineStr">
        <is>
          <t>Морозова</t>
        </is>
      </c>
      <c r="B1985" t="n">
        <v>10</v>
      </c>
      <c r="C1985" s="18">
        <f>'Календарь'!A127</f>
        <v/>
      </c>
      <c r="D1985">
        <f>MONTH(C1985)</f>
        <v/>
      </c>
      <c r="E1985">
        <f>'Календарь'!D127</f>
        <v/>
      </c>
      <c r="F1985">
        <f>INT((C1985-Нед_Начало)/7)+1</f>
        <v/>
      </c>
      <c r="G1985">
        <f>IF(E1985=0,0,INDEX('Планы менеджеров'!$B$5:$M$16,B1985,D1985)/INDEX(Мес_Раб,D1985))</f>
        <v/>
      </c>
    </row>
    <row r="1986">
      <c r="A1986" t="inlineStr">
        <is>
          <t>Морозова</t>
        </is>
      </c>
      <c r="B1986" t="n">
        <v>10</v>
      </c>
      <c r="C1986" s="18">
        <f>'Календарь'!A128</f>
        <v/>
      </c>
      <c r="D1986">
        <f>MONTH(C1986)</f>
        <v/>
      </c>
      <c r="E1986">
        <f>'Календарь'!D128</f>
        <v/>
      </c>
      <c r="F1986">
        <f>INT((C1986-Нед_Начало)/7)+1</f>
        <v/>
      </c>
      <c r="G1986">
        <f>IF(E1986=0,0,INDEX('Планы менеджеров'!$B$5:$M$16,B1986,D1986)/INDEX(Мес_Раб,D1986))</f>
        <v/>
      </c>
    </row>
    <row r="1987">
      <c r="A1987" t="inlineStr">
        <is>
          <t>Морозова</t>
        </is>
      </c>
      <c r="B1987" t="n">
        <v>10</v>
      </c>
      <c r="C1987" s="18">
        <f>'Календарь'!A129</f>
        <v/>
      </c>
      <c r="D1987">
        <f>MONTH(C1987)</f>
        <v/>
      </c>
      <c r="E1987">
        <f>'Календарь'!D129</f>
        <v/>
      </c>
      <c r="F1987">
        <f>INT((C1987-Нед_Начало)/7)+1</f>
        <v/>
      </c>
      <c r="G1987">
        <f>IF(E1987=0,0,INDEX('Планы менеджеров'!$B$5:$M$16,B1987,D1987)/INDEX(Мес_Раб,D1987))</f>
        <v/>
      </c>
    </row>
    <row r="1988">
      <c r="A1988" t="inlineStr">
        <is>
          <t>Морозова</t>
        </is>
      </c>
      <c r="B1988" t="n">
        <v>10</v>
      </c>
      <c r="C1988" s="18">
        <f>'Календарь'!A130</f>
        <v/>
      </c>
      <c r="D1988">
        <f>MONTH(C1988)</f>
        <v/>
      </c>
      <c r="E1988">
        <f>'Календарь'!D130</f>
        <v/>
      </c>
      <c r="F1988">
        <f>INT((C1988-Нед_Начало)/7)+1</f>
        <v/>
      </c>
      <c r="G1988">
        <f>IF(E1988=0,0,INDEX('Планы менеджеров'!$B$5:$M$16,B1988,D1988)/INDEX(Мес_Раб,D1988))</f>
        <v/>
      </c>
    </row>
    <row r="1989">
      <c r="A1989" t="inlineStr">
        <is>
          <t>Морозова</t>
        </is>
      </c>
      <c r="B1989" t="n">
        <v>10</v>
      </c>
      <c r="C1989" s="18">
        <f>'Календарь'!A131</f>
        <v/>
      </c>
      <c r="D1989">
        <f>MONTH(C1989)</f>
        <v/>
      </c>
      <c r="E1989">
        <f>'Календарь'!D131</f>
        <v/>
      </c>
      <c r="F1989">
        <f>INT((C1989-Нед_Начало)/7)+1</f>
        <v/>
      </c>
      <c r="G1989">
        <f>IF(E1989=0,0,INDEX('Планы менеджеров'!$B$5:$M$16,B1989,D1989)/INDEX(Мес_Раб,D1989))</f>
        <v/>
      </c>
    </row>
    <row r="1990">
      <c r="A1990" t="inlineStr">
        <is>
          <t>Морозова</t>
        </is>
      </c>
      <c r="B1990" t="n">
        <v>10</v>
      </c>
      <c r="C1990" s="18">
        <f>'Календарь'!A132</f>
        <v/>
      </c>
      <c r="D1990">
        <f>MONTH(C1990)</f>
        <v/>
      </c>
      <c r="E1990">
        <f>'Календарь'!D132</f>
        <v/>
      </c>
      <c r="F1990">
        <f>INT((C1990-Нед_Начало)/7)+1</f>
        <v/>
      </c>
      <c r="G1990">
        <f>IF(E1990=0,0,INDEX('Планы менеджеров'!$B$5:$M$16,B1990,D1990)/INDEX(Мес_Раб,D1990))</f>
        <v/>
      </c>
    </row>
    <row r="1991">
      <c r="A1991" t="inlineStr">
        <is>
          <t>Морозова</t>
        </is>
      </c>
      <c r="B1991" t="n">
        <v>10</v>
      </c>
      <c r="C1991" s="18">
        <f>'Календарь'!A133</f>
        <v/>
      </c>
      <c r="D1991">
        <f>MONTH(C1991)</f>
        <v/>
      </c>
      <c r="E1991">
        <f>'Календарь'!D133</f>
        <v/>
      </c>
      <c r="F1991">
        <f>INT((C1991-Нед_Начало)/7)+1</f>
        <v/>
      </c>
      <c r="G1991">
        <f>IF(E1991=0,0,INDEX('Планы менеджеров'!$B$5:$M$16,B1991,D1991)/INDEX(Мес_Раб,D1991))</f>
        <v/>
      </c>
    </row>
    <row r="1992">
      <c r="A1992" t="inlineStr">
        <is>
          <t>Морозова</t>
        </is>
      </c>
      <c r="B1992" t="n">
        <v>10</v>
      </c>
      <c r="C1992" s="18">
        <f>'Календарь'!A134</f>
        <v/>
      </c>
      <c r="D1992">
        <f>MONTH(C1992)</f>
        <v/>
      </c>
      <c r="E1992">
        <f>'Календарь'!D134</f>
        <v/>
      </c>
      <c r="F1992">
        <f>INT((C1992-Нед_Начало)/7)+1</f>
        <v/>
      </c>
      <c r="G1992">
        <f>IF(E1992=0,0,INDEX('Планы менеджеров'!$B$5:$M$16,B1992,D1992)/INDEX(Мес_Раб,D1992))</f>
        <v/>
      </c>
    </row>
    <row r="1993">
      <c r="A1993" t="inlineStr">
        <is>
          <t>Морозова</t>
        </is>
      </c>
      <c r="B1993" t="n">
        <v>10</v>
      </c>
      <c r="C1993" s="18">
        <f>'Календарь'!A135</f>
        <v/>
      </c>
      <c r="D1993">
        <f>MONTH(C1993)</f>
        <v/>
      </c>
      <c r="E1993">
        <f>'Календарь'!D135</f>
        <v/>
      </c>
      <c r="F1993">
        <f>INT((C1993-Нед_Начало)/7)+1</f>
        <v/>
      </c>
      <c r="G1993">
        <f>IF(E1993=0,0,INDEX('Планы менеджеров'!$B$5:$M$16,B1993,D1993)/INDEX(Мес_Раб,D1993))</f>
        <v/>
      </c>
    </row>
    <row r="1994">
      <c r="A1994" t="inlineStr">
        <is>
          <t>Морозова</t>
        </is>
      </c>
      <c r="B1994" t="n">
        <v>10</v>
      </c>
      <c r="C1994" s="18">
        <f>'Календарь'!A136</f>
        <v/>
      </c>
      <c r="D1994">
        <f>MONTH(C1994)</f>
        <v/>
      </c>
      <c r="E1994">
        <f>'Календарь'!D136</f>
        <v/>
      </c>
      <c r="F1994">
        <f>INT((C1994-Нед_Начало)/7)+1</f>
        <v/>
      </c>
      <c r="G1994">
        <f>IF(E1994=0,0,INDEX('Планы менеджеров'!$B$5:$M$16,B1994,D1994)/INDEX(Мес_Раб,D1994))</f>
        <v/>
      </c>
    </row>
    <row r="1995">
      <c r="A1995" t="inlineStr">
        <is>
          <t>Морозова</t>
        </is>
      </c>
      <c r="B1995" t="n">
        <v>10</v>
      </c>
      <c r="C1995" s="18">
        <f>'Календарь'!A137</f>
        <v/>
      </c>
      <c r="D1995">
        <f>MONTH(C1995)</f>
        <v/>
      </c>
      <c r="E1995">
        <f>'Календарь'!D137</f>
        <v/>
      </c>
      <c r="F1995">
        <f>INT((C1995-Нед_Начало)/7)+1</f>
        <v/>
      </c>
      <c r="G1995">
        <f>IF(E1995=0,0,INDEX('Планы менеджеров'!$B$5:$M$16,B1995,D1995)/INDEX(Мес_Раб,D1995))</f>
        <v/>
      </c>
    </row>
    <row r="1996">
      <c r="A1996" t="inlineStr">
        <is>
          <t>Морозова</t>
        </is>
      </c>
      <c r="B1996" t="n">
        <v>10</v>
      </c>
      <c r="C1996" s="18">
        <f>'Календарь'!A138</f>
        <v/>
      </c>
      <c r="D1996">
        <f>MONTH(C1996)</f>
        <v/>
      </c>
      <c r="E1996">
        <f>'Календарь'!D138</f>
        <v/>
      </c>
      <c r="F1996">
        <f>INT((C1996-Нед_Начало)/7)+1</f>
        <v/>
      </c>
      <c r="G1996">
        <f>IF(E1996=0,0,INDEX('Планы менеджеров'!$B$5:$M$16,B1996,D1996)/INDEX(Мес_Раб,D1996))</f>
        <v/>
      </c>
    </row>
    <row r="1997">
      <c r="A1997" t="inlineStr">
        <is>
          <t>Морозова</t>
        </is>
      </c>
      <c r="B1997" t="n">
        <v>10</v>
      </c>
      <c r="C1997" s="18">
        <f>'Календарь'!A139</f>
        <v/>
      </c>
      <c r="D1997">
        <f>MONTH(C1997)</f>
        <v/>
      </c>
      <c r="E1997">
        <f>'Календарь'!D139</f>
        <v/>
      </c>
      <c r="F1997">
        <f>INT((C1997-Нед_Начало)/7)+1</f>
        <v/>
      </c>
      <c r="G1997">
        <f>IF(E1997=0,0,INDEX('Планы менеджеров'!$B$5:$M$16,B1997,D1997)/INDEX(Мес_Раб,D1997))</f>
        <v/>
      </c>
    </row>
    <row r="1998">
      <c r="A1998" t="inlineStr">
        <is>
          <t>Морозова</t>
        </is>
      </c>
      <c r="B1998" t="n">
        <v>10</v>
      </c>
      <c r="C1998" s="18">
        <f>'Календарь'!A140</f>
        <v/>
      </c>
      <c r="D1998">
        <f>MONTH(C1998)</f>
        <v/>
      </c>
      <c r="E1998">
        <f>'Календарь'!D140</f>
        <v/>
      </c>
      <c r="F1998">
        <f>INT((C1998-Нед_Начало)/7)+1</f>
        <v/>
      </c>
      <c r="G1998">
        <f>IF(E1998=0,0,INDEX('Планы менеджеров'!$B$5:$M$16,B1998,D1998)/INDEX(Мес_Раб,D1998))</f>
        <v/>
      </c>
    </row>
    <row r="1999">
      <c r="A1999" t="inlineStr">
        <is>
          <t>Морозова</t>
        </is>
      </c>
      <c r="B1999" t="n">
        <v>10</v>
      </c>
      <c r="C1999" s="18">
        <f>'Календарь'!A141</f>
        <v/>
      </c>
      <c r="D1999">
        <f>MONTH(C1999)</f>
        <v/>
      </c>
      <c r="E1999">
        <f>'Календарь'!D141</f>
        <v/>
      </c>
      <c r="F1999">
        <f>INT((C1999-Нед_Начало)/7)+1</f>
        <v/>
      </c>
      <c r="G1999">
        <f>IF(E1999=0,0,INDEX('Планы менеджеров'!$B$5:$M$16,B1999,D1999)/INDEX(Мес_Раб,D1999))</f>
        <v/>
      </c>
    </row>
    <row r="2000">
      <c r="A2000" t="inlineStr">
        <is>
          <t>Морозова</t>
        </is>
      </c>
      <c r="B2000" t="n">
        <v>10</v>
      </c>
      <c r="C2000" s="18">
        <f>'Календарь'!A142</f>
        <v/>
      </c>
      <c r="D2000">
        <f>MONTH(C2000)</f>
        <v/>
      </c>
      <c r="E2000">
        <f>'Календарь'!D142</f>
        <v/>
      </c>
      <c r="F2000">
        <f>INT((C2000-Нед_Начало)/7)+1</f>
        <v/>
      </c>
      <c r="G2000">
        <f>IF(E2000=0,0,INDEX('Планы менеджеров'!$B$5:$M$16,B2000,D2000)/INDEX(Мес_Раб,D2000))</f>
        <v/>
      </c>
    </row>
    <row r="2001">
      <c r="A2001" t="inlineStr">
        <is>
          <t>Морозова</t>
        </is>
      </c>
      <c r="B2001" t="n">
        <v>10</v>
      </c>
      <c r="C2001" s="18">
        <f>'Календарь'!A143</f>
        <v/>
      </c>
      <c r="D2001">
        <f>MONTH(C2001)</f>
        <v/>
      </c>
      <c r="E2001">
        <f>'Календарь'!D143</f>
        <v/>
      </c>
      <c r="F2001">
        <f>INT((C2001-Нед_Начало)/7)+1</f>
        <v/>
      </c>
      <c r="G2001">
        <f>IF(E2001=0,0,INDEX('Планы менеджеров'!$B$5:$M$16,B2001,D2001)/INDEX(Мес_Раб,D2001))</f>
        <v/>
      </c>
    </row>
    <row r="2002">
      <c r="A2002" t="inlineStr">
        <is>
          <t>Морозова</t>
        </is>
      </c>
      <c r="B2002" t="n">
        <v>10</v>
      </c>
      <c r="C2002" s="18">
        <f>'Календарь'!A144</f>
        <v/>
      </c>
      <c r="D2002">
        <f>MONTH(C2002)</f>
        <v/>
      </c>
      <c r="E2002">
        <f>'Календарь'!D144</f>
        <v/>
      </c>
      <c r="F2002">
        <f>INT((C2002-Нед_Начало)/7)+1</f>
        <v/>
      </c>
      <c r="G2002">
        <f>IF(E2002=0,0,INDEX('Планы менеджеров'!$B$5:$M$16,B2002,D2002)/INDEX(Мес_Раб,D2002))</f>
        <v/>
      </c>
    </row>
    <row r="2003">
      <c r="A2003" t="inlineStr">
        <is>
          <t>Морозова</t>
        </is>
      </c>
      <c r="B2003" t="n">
        <v>10</v>
      </c>
      <c r="C2003" s="18">
        <f>'Календарь'!A145</f>
        <v/>
      </c>
      <c r="D2003">
        <f>MONTH(C2003)</f>
        <v/>
      </c>
      <c r="E2003">
        <f>'Календарь'!D145</f>
        <v/>
      </c>
      <c r="F2003">
        <f>INT((C2003-Нед_Начало)/7)+1</f>
        <v/>
      </c>
      <c r="G2003">
        <f>IF(E2003=0,0,INDEX('Планы менеджеров'!$B$5:$M$16,B2003,D2003)/INDEX(Мес_Раб,D2003))</f>
        <v/>
      </c>
    </row>
    <row r="2004">
      <c r="A2004" t="inlineStr">
        <is>
          <t>Морозова</t>
        </is>
      </c>
      <c r="B2004" t="n">
        <v>10</v>
      </c>
      <c r="C2004" s="18">
        <f>'Календарь'!A146</f>
        <v/>
      </c>
      <c r="D2004">
        <f>MONTH(C2004)</f>
        <v/>
      </c>
      <c r="E2004">
        <f>'Календарь'!D146</f>
        <v/>
      </c>
      <c r="F2004">
        <f>INT((C2004-Нед_Начало)/7)+1</f>
        <v/>
      </c>
      <c r="G2004">
        <f>IF(E2004=0,0,INDEX('Планы менеджеров'!$B$5:$M$16,B2004,D2004)/INDEX(Мес_Раб,D2004))</f>
        <v/>
      </c>
    </row>
    <row r="2005">
      <c r="A2005" t="inlineStr">
        <is>
          <t>Морозова</t>
        </is>
      </c>
      <c r="B2005" t="n">
        <v>10</v>
      </c>
      <c r="C2005" s="18">
        <f>'Календарь'!A147</f>
        <v/>
      </c>
      <c r="D2005">
        <f>MONTH(C2005)</f>
        <v/>
      </c>
      <c r="E2005">
        <f>'Календарь'!D147</f>
        <v/>
      </c>
      <c r="F2005">
        <f>INT((C2005-Нед_Начало)/7)+1</f>
        <v/>
      </c>
      <c r="G2005">
        <f>IF(E2005=0,0,INDEX('Планы менеджеров'!$B$5:$M$16,B2005,D2005)/INDEX(Мес_Раб,D2005))</f>
        <v/>
      </c>
    </row>
    <row r="2006">
      <c r="A2006" t="inlineStr">
        <is>
          <t>Морозова</t>
        </is>
      </c>
      <c r="B2006" t="n">
        <v>10</v>
      </c>
      <c r="C2006" s="18">
        <f>'Календарь'!A148</f>
        <v/>
      </c>
      <c r="D2006">
        <f>MONTH(C2006)</f>
        <v/>
      </c>
      <c r="E2006">
        <f>'Календарь'!D148</f>
        <v/>
      </c>
      <c r="F2006">
        <f>INT((C2006-Нед_Начало)/7)+1</f>
        <v/>
      </c>
      <c r="G2006">
        <f>IF(E2006=0,0,INDEX('Планы менеджеров'!$B$5:$M$16,B2006,D2006)/INDEX(Мес_Раб,D2006))</f>
        <v/>
      </c>
    </row>
    <row r="2007">
      <c r="A2007" t="inlineStr">
        <is>
          <t>Морозова</t>
        </is>
      </c>
      <c r="B2007" t="n">
        <v>10</v>
      </c>
      <c r="C2007" s="18">
        <f>'Календарь'!A149</f>
        <v/>
      </c>
      <c r="D2007">
        <f>MONTH(C2007)</f>
        <v/>
      </c>
      <c r="E2007">
        <f>'Календарь'!D149</f>
        <v/>
      </c>
      <c r="F2007">
        <f>INT((C2007-Нед_Начало)/7)+1</f>
        <v/>
      </c>
      <c r="G2007">
        <f>IF(E2007=0,0,INDEX('Планы менеджеров'!$B$5:$M$16,B2007,D2007)/INDEX(Мес_Раб,D2007))</f>
        <v/>
      </c>
    </row>
    <row r="2008">
      <c r="A2008" t="inlineStr">
        <is>
          <t>Морозова</t>
        </is>
      </c>
      <c r="B2008" t="n">
        <v>10</v>
      </c>
      <c r="C2008" s="18">
        <f>'Календарь'!A150</f>
        <v/>
      </c>
      <c r="D2008">
        <f>MONTH(C2008)</f>
        <v/>
      </c>
      <c r="E2008">
        <f>'Календарь'!D150</f>
        <v/>
      </c>
      <c r="F2008">
        <f>INT((C2008-Нед_Начало)/7)+1</f>
        <v/>
      </c>
      <c r="G2008">
        <f>IF(E2008=0,0,INDEX('Планы менеджеров'!$B$5:$M$16,B2008,D2008)/INDEX(Мес_Раб,D2008))</f>
        <v/>
      </c>
    </row>
    <row r="2009">
      <c r="A2009" t="inlineStr">
        <is>
          <t>Морозова</t>
        </is>
      </c>
      <c r="B2009" t="n">
        <v>10</v>
      </c>
      <c r="C2009" s="18">
        <f>'Календарь'!A151</f>
        <v/>
      </c>
      <c r="D2009">
        <f>MONTH(C2009)</f>
        <v/>
      </c>
      <c r="E2009">
        <f>'Календарь'!D151</f>
        <v/>
      </c>
      <c r="F2009">
        <f>INT((C2009-Нед_Начало)/7)+1</f>
        <v/>
      </c>
      <c r="G2009">
        <f>IF(E2009=0,0,INDEX('Планы менеджеров'!$B$5:$M$16,B2009,D2009)/INDEX(Мес_Раб,D2009))</f>
        <v/>
      </c>
    </row>
    <row r="2010">
      <c r="A2010" t="inlineStr">
        <is>
          <t>Морозова</t>
        </is>
      </c>
      <c r="B2010" t="n">
        <v>10</v>
      </c>
      <c r="C2010" s="18">
        <f>'Календарь'!A152</f>
        <v/>
      </c>
      <c r="D2010">
        <f>MONTH(C2010)</f>
        <v/>
      </c>
      <c r="E2010">
        <f>'Календарь'!D152</f>
        <v/>
      </c>
      <c r="F2010">
        <f>INT((C2010-Нед_Начало)/7)+1</f>
        <v/>
      </c>
      <c r="G2010">
        <f>IF(E2010=0,0,INDEX('Планы менеджеров'!$B$5:$M$16,B2010,D2010)/INDEX(Мес_Раб,D2010))</f>
        <v/>
      </c>
    </row>
    <row r="2011">
      <c r="A2011" t="inlineStr">
        <is>
          <t>Морозова</t>
        </is>
      </c>
      <c r="B2011" t="n">
        <v>10</v>
      </c>
      <c r="C2011" s="18">
        <f>'Календарь'!A153</f>
        <v/>
      </c>
      <c r="D2011">
        <f>MONTH(C2011)</f>
        <v/>
      </c>
      <c r="E2011">
        <f>'Календарь'!D153</f>
        <v/>
      </c>
      <c r="F2011">
        <f>INT((C2011-Нед_Начало)/7)+1</f>
        <v/>
      </c>
      <c r="G2011">
        <f>IF(E2011=0,0,INDEX('Планы менеджеров'!$B$5:$M$16,B2011,D2011)/INDEX(Мес_Раб,D2011))</f>
        <v/>
      </c>
    </row>
    <row r="2012">
      <c r="A2012" t="inlineStr">
        <is>
          <t>Морозова</t>
        </is>
      </c>
      <c r="B2012" t="n">
        <v>10</v>
      </c>
      <c r="C2012" s="18">
        <f>'Календарь'!A154</f>
        <v/>
      </c>
      <c r="D2012">
        <f>MONTH(C2012)</f>
        <v/>
      </c>
      <c r="E2012">
        <f>'Календарь'!D154</f>
        <v/>
      </c>
      <c r="F2012">
        <f>INT((C2012-Нед_Начало)/7)+1</f>
        <v/>
      </c>
      <c r="G2012">
        <f>IF(E2012=0,0,INDEX('Планы менеджеров'!$B$5:$M$16,B2012,D2012)/INDEX(Мес_Раб,D2012))</f>
        <v/>
      </c>
    </row>
    <row r="2013">
      <c r="A2013" t="inlineStr">
        <is>
          <t>Морозова</t>
        </is>
      </c>
      <c r="B2013" t="n">
        <v>10</v>
      </c>
      <c r="C2013" s="18">
        <f>'Календарь'!A155</f>
        <v/>
      </c>
      <c r="D2013">
        <f>MONTH(C2013)</f>
        <v/>
      </c>
      <c r="E2013">
        <f>'Календарь'!D155</f>
        <v/>
      </c>
      <c r="F2013">
        <f>INT((C2013-Нед_Начало)/7)+1</f>
        <v/>
      </c>
      <c r="G2013">
        <f>IF(E2013=0,0,INDEX('Планы менеджеров'!$B$5:$M$16,B2013,D2013)/INDEX(Мес_Раб,D2013))</f>
        <v/>
      </c>
    </row>
    <row r="2014">
      <c r="A2014" t="inlineStr">
        <is>
          <t>Морозова</t>
        </is>
      </c>
      <c r="B2014" t="n">
        <v>10</v>
      </c>
      <c r="C2014" s="18">
        <f>'Календарь'!A156</f>
        <v/>
      </c>
      <c r="D2014">
        <f>MONTH(C2014)</f>
        <v/>
      </c>
      <c r="E2014">
        <f>'Календарь'!D156</f>
        <v/>
      </c>
      <c r="F2014">
        <f>INT((C2014-Нед_Начало)/7)+1</f>
        <v/>
      </c>
      <c r="G2014">
        <f>IF(E2014=0,0,INDEX('Планы менеджеров'!$B$5:$M$16,B2014,D2014)/INDEX(Мес_Раб,D2014))</f>
        <v/>
      </c>
    </row>
    <row r="2015">
      <c r="A2015" t="inlineStr">
        <is>
          <t>Морозова</t>
        </is>
      </c>
      <c r="B2015" t="n">
        <v>10</v>
      </c>
      <c r="C2015" s="18">
        <f>'Календарь'!A157</f>
        <v/>
      </c>
      <c r="D2015">
        <f>MONTH(C2015)</f>
        <v/>
      </c>
      <c r="E2015">
        <f>'Календарь'!D157</f>
        <v/>
      </c>
      <c r="F2015">
        <f>INT((C2015-Нед_Начало)/7)+1</f>
        <v/>
      </c>
      <c r="G2015">
        <f>IF(E2015=0,0,INDEX('Планы менеджеров'!$B$5:$M$16,B2015,D2015)/INDEX(Мес_Раб,D2015))</f>
        <v/>
      </c>
    </row>
    <row r="2016">
      <c r="A2016" t="inlineStr">
        <is>
          <t>Морозова</t>
        </is>
      </c>
      <c r="B2016" t="n">
        <v>10</v>
      </c>
      <c r="C2016" s="18">
        <f>'Календарь'!A158</f>
        <v/>
      </c>
      <c r="D2016">
        <f>MONTH(C2016)</f>
        <v/>
      </c>
      <c r="E2016">
        <f>'Календарь'!D158</f>
        <v/>
      </c>
      <c r="F2016">
        <f>INT((C2016-Нед_Начало)/7)+1</f>
        <v/>
      </c>
      <c r="G2016">
        <f>IF(E2016=0,0,INDEX('Планы менеджеров'!$B$5:$M$16,B2016,D2016)/INDEX(Мес_Раб,D2016))</f>
        <v/>
      </c>
    </row>
    <row r="2017">
      <c r="A2017" t="inlineStr">
        <is>
          <t>Морозова</t>
        </is>
      </c>
      <c r="B2017" t="n">
        <v>10</v>
      </c>
      <c r="C2017" s="18">
        <f>'Календарь'!A159</f>
        <v/>
      </c>
      <c r="D2017">
        <f>MONTH(C2017)</f>
        <v/>
      </c>
      <c r="E2017">
        <f>'Календарь'!D159</f>
        <v/>
      </c>
      <c r="F2017">
        <f>INT((C2017-Нед_Начало)/7)+1</f>
        <v/>
      </c>
      <c r="G2017">
        <f>IF(E2017=0,0,INDEX('Планы менеджеров'!$B$5:$M$16,B2017,D2017)/INDEX(Мес_Раб,D2017))</f>
        <v/>
      </c>
    </row>
    <row r="2018">
      <c r="A2018" t="inlineStr">
        <is>
          <t>Морозова</t>
        </is>
      </c>
      <c r="B2018" t="n">
        <v>10</v>
      </c>
      <c r="C2018" s="18">
        <f>'Календарь'!A160</f>
        <v/>
      </c>
      <c r="D2018">
        <f>MONTH(C2018)</f>
        <v/>
      </c>
      <c r="E2018">
        <f>'Календарь'!D160</f>
        <v/>
      </c>
      <c r="F2018">
        <f>INT((C2018-Нед_Начало)/7)+1</f>
        <v/>
      </c>
      <c r="G2018">
        <f>IF(E2018=0,0,INDEX('Планы менеджеров'!$B$5:$M$16,B2018,D2018)/INDEX(Мес_Раб,D2018))</f>
        <v/>
      </c>
    </row>
    <row r="2019">
      <c r="A2019" t="inlineStr">
        <is>
          <t>Морозова</t>
        </is>
      </c>
      <c r="B2019" t="n">
        <v>10</v>
      </c>
      <c r="C2019" s="18">
        <f>'Календарь'!A161</f>
        <v/>
      </c>
      <c r="D2019">
        <f>MONTH(C2019)</f>
        <v/>
      </c>
      <c r="E2019">
        <f>'Календарь'!D161</f>
        <v/>
      </c>
      <c r="F2019">
        <f>INT((C2019-Нед_Начало)/7)+1</f>
        <v/>
      </c>
      <c r="G2019">
        <f>IF(E2019=0,0,INDEX('Планы менеджеров'!$B$5:$M$16,B2019,D2019)/INDEX(Мес_Раб,D2019))</f>
        <v/>
      </c>
    </row>
    <row r="2020">
      <c r="A2020" t="inlineStr">
        <is>
          <t>Морозова</t>
        </is>
      </c>
      <c r="B2020" t="n">
        <v>10</v>
      </c>
      <c r="C2020" s="18">
        <f>'Календарь'!A162</f>
        <v/>
      </c>
      <c r="D2020">
        <f>MONTH(C2020)</f>
        <v/>
      </c>
      <c r="E2020">
        <f>'Календарь'!D162</f>
        <v/>
      </c>
      <c r="F2020">
        <f>INT((C2020-Нед_Начало)/7)+1</f>
        <v/>
      </c>
      <c r="G2020">
        <f>IF(E2020=0,0,INDEX('Планы менеджеров'!$B$5:$M$16,B2020,D2020)/INDEX(Мес_Раб,D2020))</f>
        <v/>
      </c>
    </row>
    <row r="2021">
      <c r="A2021" t="inlineStr">
        <is>
          <t>Морозова</t>
        </is>
      </c>
      <c r="B2021" t="n">
        <v>10</v>
      </c>
      <c r="C2021" s="18">
        <f>'Календарь'!A163</f>
        <v/>
      </c>
      <c r="D2021">
        <f>MONTH(C2021)</f>
        <v/>
      </c>
      <c r="E2021">
        <f>'Календарь'!D163</f>
        <v/>
      </c>
      <c r="F2021">
        <f>INT((C2021-Нед_Начало)/7)+1</f>
        <v/>
      </c>
      <c r="G2021">
        <f>IF(E2021=0,0,INDEX('Планы менеджеров'!$B$5:$M$16,B2021,D2021)/INDEX(Мес_Раб,D2021))</f>
        <v/>
      </c>
    </row>
    <row r="2022">
      <c r="A2022" t="inlineStr">
        <is>
          <t>Морозова</t>
        </is>
      </c>
      <c r="B2022" t="n">
        <v>10</v>
      </c>
      <c r="C2022" s="18">
        <f>'Календарь'!A164</f>
        <v/>
      </c>
      <c r="D2022">
        <f>MONTH(C2022)</f>
        <v/>
      </c>
      <c r="E2022">
        <f>'Календарь'!D164</f>
        <v/>
      </c>
      <c r="F2022">
        <f>INT((C2022-Нед_Начало)/7)+1</f>
        <v/>
      </c>
      <c r="G2022">
        <f>IF(E2022=0,0,INDEX('Планы менеджеров'!$B$5:$M$16,B2022,D2022)/INDEX(Мес_Раб,D2022))</f>
        <v/>
      </c>
    </row>
    <row r="2023">
      <c r="A2023" t="inlineStr">
        <is>
          <t>Морозова</t>
        </is>
      </c>
      <c r="B2023" t="n">
        <v>10</v>
      </c>
      <c r="C2023" s="18">
        <f>'Календарь'!A165</f>
        <v/>
      </c>
      <c r="D2023">
        <f>MONTH(C2023)</f>
        <v/>
      </c>
      <c r="E2023">
        <f>'Календарь'!D165</f>
        <v/>
      </c>
      <c r="F2023">
        <f>INT((C2023-Нед_Начало)/7)+1</f>
        <v/>
      </c>
      <c r="G2023">
        <f>IF(E2023=0,0,INDEX('Планы менеджеров'!$B$5:$M$16,B2023,D2023)/INDEX(Мес_Раб,D2023))</f>
        <v/>
      </c>
    </row>
    <row r="2024">
      <c r="A2024" t="inlineStr">
        <is>
          <t>Морозова</t>
        </is>
      </c>
      <c r="B2024" t="n">
        <v>10</v>
      </c>
      <c r="C2024" s="18">
        <f>'Календарь'!A166</f>
        <v/>
      </c>
      <c r="D2024">
        <f>MONTH(C2024)</f>
        <v/>
      </c>
      <c r="E2024">
        <f>'Календарь'!D166</f>
        <v/>
      </c>
      <c r="F2024">
        <f>INT((C2024-Нед_Начало)/7)+1</f>
        <v/>
      </c>
      <c r="G2024">
        <f>IF(E2024=0,0,INDEX('Планы менеджеров'!$B$5:$M$16,B2024,D2024)/INDEX(Мес_Раб,D2024))</f>
        <v/>
      </c>
    </row>
    <row r="2025">
      <c r="A2025" t="inlineStr">
        <is>
          <t>Морозова</t>
        </is>
      </c>
      <c r="B2025" t="n">
        <v>10</v>
      </c>
      <c r="C2025" s="18">
        <f>'Календарь'!A167</f>
        <v/>
      </c>
      <c r="D2025">
        <f>MONTH(C2025)</f>
        <v/>
      </c>
      <c r="E2025">
        <f>'Календарь'!D167</f>
        <v/>
      </c>
      <c r="F2025">
        <f>INT((C2025-Нед_Начало)/7)+1</f>
        <v/>
      </c>
      <c r="G2025">
        <f>IF(E2025=0,0,INDEX('Планы менеджеров'!$B$5:$M$16,B2025,D2025)/INDEX(Мес_Раб,D2025))</f>
        <v/>
      </c>
    </row>
    <row r="2026">
      <c r="A2026" t="inlineStr">
        <is>
          <t>Морозова</t>
        </is>
      </c>
      <c r="B2026" t="n">
        <v>10</v>
      </c>
      <c r="C2026" s="18">
        <f>'Календарь'!A168</f>
        <v/>
      </c>
      <c r="D2026">
        <f>MONTH(C2026)</f>
        <v/>
      </c>
      <c r="E2026">
        <f>'Календарь'!D168</f>
        <v/>
      </c>
      <c r="F2026">
        <f>INT((C2026-Нед_Начало)/7)+1</f>
        <v/>
      </c>
      <c r="G2026">
        <f>IF(E2026=0,0,INDEX('Планы менеджеров'!$B$5:$M$16,B2026,D2026)/INDEX(Мес_Раб,D2026))</f>
        <v/>
      </c>
    </row>
    <row r="2027">
      <c r="A2027" t="inlineStr">
        <is>
          <t>Морозова</t>
        </is>
      </c>
      <c r="B2027" t="n">
        <v>10</v>
      </c>
      <c r="C2027" s="18">
        <f>'Календарь'!A169</f>
        <v/>
      </c>
      <c r="D2027">
        <f>MONTH(C2027)</f>
        <v/>
      </c>
      <c r="E2027">
        <f>'Календарь'!D169</f>
        <v/>
      </c>
      <c r="F2027">
        <f>INT((C2027-Нед_Начало)/7)+1</f>
        <v/>
      </c>
      <c r="G2027">
        <f>IF(E2027=0,0,INDEX('Планы менеджеров'!$B$5:$M$16,B2027,D2027)/INDEX(Мес_Раб,D2027))</f>
        <v/>
      </c>
    </row>
    <row r="2028">
      <c r="A2028" t="inlineStr">
        <is>
          <t>Морозова</t>
        </is>
      </c>
      <c r="B2028" t="n">
        <v>10</v>
      </c>
      <c r="C2028" s="18">
        <f>'Календарь'!A170</f>
        <v/>
      </c>
      <c r="D2028">
        <f>MONTH(C2028)</f>
        <v/>
      </c>
      <c r="E2028">
        <f>'Календарь'!D170</f>
        <v/>
      </c>
      <c r="F2028">
        <f>INT((C2028-Нед_Начало)/7)+1</f>
        <v/>
      </c>
      <c r="G2028">
        <f>IF(E2028=0,0,INDEX('Планы менеджеров'!$B$5:$M$16,B2028,D2028)/INDEX(Мес_Раб,D2028))</f>
        <v/>
      </c>
    </row>
    <row r="2029">
      <c r="A2029" t="inlineStr">
        <is>
          <t>Морозова</t>
        </is>
      </c>
      <c r="B2029" t="n">
        <v>10</v>
      </c>
      <c r="C2029" s="18">
        <f>'Календарь'!A171</f>
        <v/>
      </c>
      <c r="D2029">
        <f>MONTH(C2029)</f>
        <v/>
      </c>
      <c r="E2029">
        <f>'Календарь'!D171</f>
        <v/>
      </c>
      <c r="F2029">
        <f>INT((C2029-Нед_Начало)/7)+1</f>
        <v/>
      </c>
      <c r="G2029">
        <f>IF(E2029=0,0,INDEX('Планы менеджеров'!$B$5:$M$16,B2029,D2029)/INDEX(Мес_Раб,D2029))</f>
        <v/>
      </c>
    </row>
    <row r="2030">
      <c r="A2030" t="inlineStr">
        <is>
          <t>Морозова</t>
        </is>
      </c>
      <c r="B2030" t="n">
        <v>10</v>
      </c>
      <c r="C2030" s="18">
        <f>'Календарь'!A172</f>
        <v/>
      </c>
      <c r="D2030">
        <f>MONTH(C2030)</f>
        <v/>
      </c>
      <c r="E2030">
        <f>'Календарь'!D172</f>
        <v/>
      </c>
      <c r="F2030">
        <f>INT((C2030-Нед_Начало)/7)+1</f>
        <v/>
      </c>
      <c r="G2030">
        <f>IF(E2030=0,0,INDEX('Планы менеджеров'!$B$5:$M$16,B2030,D2030)/INDEX(Мес_Раб,D2030))</f>
        <v/>
      </c>
    </row>
    <row r="2031">
      <c r="A2031" t="inlineStr">
        <is>
          <t>Морозова</t>
        </is>
      </c>
      <c r="B2031" t="n">
        <v>10</v>
      </c>
      <c r="C2031" s="18">
        <f>'Календарь'!A173</f>
        <v/>
      </c>
      <c r="D2031">
        <f>MONTH(C2031)</f>
        <v/>
      </c>
      <c r="E2031">
        <f>'Календарь'!D173</f>
        <v/>
      </c>
      <c r="F2031">
        <f>INT((C2031-Нед_Начало)/7)+1</f>
        <v/>
      </c>
      <c r="G2031">
        <f>IF(E2031=0,0,INDEX('Планы менеджеров'!$B$5:$M$16,B2031,D2031)/INDEX(Мес_Раб,D2031))</f>
        <v/>
      </c>
    </row>
    <row r="2032">
      <c r="A2032" t="inlineStr">
        <is>
          <t>Морозова</t>
        </is>
      </c>
      <c r="B2032" t="n">
        <v>10</v>
      </c>
      <c r="C2032" s="18">
        <f>'Календарь'!A174</f>
        <v/>
      </c>
      <c r="D2032">
        <f>MONTH(C2032)</f>
        <v/>
      </c>
      <c r="E2032">
        <f>'Календарь'!D174</f>
        <v/>
      </c>
      <c r="F2032">
        <f>INT((C2032-Нед_Начало)/7)+1</f>
        <v/>
      </c>
      <c r="G2032">
        <f>IF(E2032=0,0,INDEX('Планы менеджеров'!$B$5:$M$16,B2032,D2032)/INDEX(Мес_Раб,D2032))</f>
        <v/>
      </c>
    </row>
    <row r="2033">
      <c r="A2033" t="inlineStr">
        <is>
          <t>Морозова</t>
        </is>
      </c>
      <c r="B2033" t="n">
        <v>10</v>
      </c>
      <c r="C2033" s="18">
        <f>'Календарь'!A175</f>
        <v/>
      </c>
      <c r="D2033">
        <f>MONTH(C2033)</f>
        <v/>
      </c>
      <c r="E2033">
        <f>'Календарь'!D175</f>
        <v/>
      </c>
      <c r="F2033">
        <f>INT((C2033-Нед_Начало)/7)+1</f>
        <v/>
      </c>
      <c r="G2033">
        <f>IF(E2033=0,0,INDEX('Планы менеджеров'!$B$5:$M$16,B2033,D2033)/INDEX(Мес_Раб,D2033))</f>
        <v/>
      </c>
    </row>
    <row r="2034">
      <c r="A2034" t="inlineStr">
        <is>
          <t>Морозова</t>
        </is>
      </c>
      <c r="B2034" t="n">
        <v>10</v>
      </c>
      <c r="C2034" s="18">
        <f>'Календарь'!A176</f>
        <v/>
      </c>
      <c r="D2034">
        <f>MONTH(C2034)</f>
        <v/>
      </c>
      <c r="E2034">
        <f>'Календарь'!D176</f>
        <v/>
      </c>
      <c r="F2034">
        <f>INT((C2034-Нед_Начало)/7)+1</f>
        <v/>
      </c>
      <c r="G2034">
        <f>IF(E2034=0,0,INDEX('Планы менеджеров'!$B$5:$M$16,B2034,D2034)/INDEX(Мес_Раб,D2034))</f>
        <v/>
      </c>
    </row>
    <row r="2035">
      <c r="A2035" t="inlineStr">
        <is>
          <t>Морозова</t>
        </is>
      </c>
      <c r="B2035" t="n">
        <v>10</v>
      </c>
      <c r="C2035" s="18">
        <f>'Календарь'!A177</f>
        <v/>
      </c>
      <c r="D2035">
        <f>MONTH(C2035)</f>
        <v/>
      </c>
      <c r="E2035">
        <f>'Календарь'!D177</f>
        <v/>
      </c>
      <c r="F2035">
        <f>INT((C2035-Нед_Начало)/7)+1</f>
        <v/>
      </c>
      <c r="G2035">
        <f>IF(E2035=0,0,INDEX('Планы менеджеров'!$B$5:$M$16,B2035,D2035)/INDEX(Мес_Раб,D2035))</f>
        <v/>
      </c>
    </row>
    <row r="2036">
      <c r="A2036" t="inlineStr">
        <is>
          <t>Морозова</t>
        </is>
      </c>
      <c r="B2036" t="n">
        <v>10</v>
      </c>
      <c r="C2036" s="18">
        <f>'Календарь'!A178</f>
        <v/>
      </c>
      <c r="D2036">
        <f>MONTH(C2036)</f>
        <v/>
      </c>
      <c r="E2036">
        <f>'Календарь'!D178</f>
        <v/>
      </c>
      <c r="F2036">
        <f>INT((C2036-Нед_Начало)/7)+1</f>
        <v/>
      </c>
      <c r="G2036">
        <f>IF(E2036=0,0,INDEX('Планы менеджеров'!$B$5:$M$16,B2036,D2036)/INDEX(Мес_Раб,D2036))</f>
        <v/>
      </c>
    </row>
    <row r="2037">
      <c r="A2037" t="inlineStr">
        <is>
          <t>Морозова</t>
        </is>
      </c>
      <c r="B2037" t="n">
        <v>10</v>
      </c>
      <c r="C2037" s="18">
        <f>'Календарь'!A179</f>
        <v/>
      </c>
      <c r="D2037">
        <f>MONTH(C2037)</f>
        <v/>
      </c>
      <c r="E2037">
        <f>'Календарь'!D179</f>
        <v/>
      </c>
      <c r="F2037">
        <f>INT((C2037-Нед_Начало)/7)+1</f>
        <v/>
      </c>
      <c r="G2037">
        <f>IF(E2037=0,0,INDEX('Планы менеджеров'!$B$5:$M$16,B2037,D2037)/INDEX(Мес_Раб,D2037))</f>
        <v/>
      </c>
    </row>
    <row r="2038">
      <c r="A2038" t="inlineStr">
        <is>
          <t>Морозова</t>
        </is>
      </c>
      <c r="B2038" t="n">
        <v>10</v>
      </c>
      <c r="C2038" s="18">
        <f>'Календарь'!A180</f>
        <v/>
      </c>
      <c r="D2038">
        <f>MONTH(C2038)</f>
        <v/>
      </c>
      <c r="E2038">
        <f>'Календарь'!D180</f>
        <v/>
      </c>
      <c r="F2038">
        <f>INT((C2038-Нед_Начало)/7)+1</f>
        <v/>
      </c>
      <c r="G2038">
        <f>IF(E2038=0,0,INDEX('Планы менеджеров'!$B$5:$M$16,B2038,D2038)/INDEX(Мес_Раб,D2038))</f>
        <v/>
      </c>
    </row>
    <row r="2039">
      <c r="A2039" t="inlineStr">
        <is>
          <t>Морозова</t>
        </is>
      </c>
      <c r="B2039" t="n">
        <v>10</v>
      </c>
      <c r="C2039" s="18">
        <f>'Календарь'!A181</f>
        <v/>
      </c>
      <c r="D2039">
        <f>MONTH(C2039)</f>
        <v/>
      </c>
      <c r="E2039">
        <f>'Календарь'!D181</f>
        <v/>
      </c>
      <c r="F2039">
        <f>INT((C2039-Нед_Начало)/7)+1</f>
        <v/>
      </c>
      <c r="G2039">
        <f>IF(E2039=0,0,INDEX('Планы менеджеров'!$B$5:$M$16,B2039,D2039)/INDEX(Мес_Раб,D2039))</f>
        <v/>
      </c>
    </row>
    <row r="2040">
      <c r="A2040" t="inlineStr">
        <is>
          <t>Морозова</t>
        </is>
      </c>
      <c r="B2040" t="n">
        <v>10</v>
      </c>
      <c r="C2040" s="18">
        <f>'Календарь'!A182</f>
        <v/>
      </c>
      <c r="D2040">
        <f>MONTH(C2040)</f>
        <v/>
      </c>
      <c r="E2040">
        <f>'Календарь'!D182</f>
        <v/>
      </c>
      <c r="F2040">
        <f>INT((C2040-Нед_Начало)/7)+1</f>
        <v/>
      </c>
      <c r="G2040">
        <f>IF(E2040=0,0,INDEX('Планы менеджеров'!$B$5:$M$16,B2040,D2040)/INDEX(Мес_Раб,D2040))</f>
        <v/>
      </c>
    </row>
    <row r="2041">
      <c r="A2041" t="inlineStr">
        <is>
          <t>Морозова</t>
        </is>
      </c>
      <c r="B2041" t="n">
        <v>10</v>
      </c>
      <c r="C2041" s="18">
        <f>'Календарь'!A183</f>
        <v/>
      </c>
      <c r="D2041">
        <f>MONTH(C2041)</f>
        <v/>
      </c>
      <c r="E2041">
        <f>'Календарь'!D183</f>
        <v/>
      </c>
      <c r="F2041">
        <f>INT((C2041-Нед_Начало)/7)+1</f>
        <v/>
      </c>
      <c r="G2041">
        <f>IF(E2041=0,0,INDEX('Планы менеджеров'!$B$5:$M$16,B2041,D2041)/INDEX(Мес_Раб,D2041))</f>
        <v/>
      </c>
    </row>
    <row r="2042">
      <c r="A2042" t="inlineStr">
        <is>
          <t>Морозова</t>
        </is>
      </c>
      <c r="B2042" t="n">
        <v>10</v>
      </c>
      <c r="C2042" s="18">
        <f>'Календарь'!A184</f>
        <v/>
      </c>
      <c r="D2042">
        <f>MONTH(C2042)</f>
        <v/>
      </c>
      <c r="E2042">
        <f>'Календарь'!D184</f>
        <v/>
      </c>
      <c r="F2042">
        <f>INT((C2042-Нед_Начало)/7)+1</f>
        <v/>
      </c>
      <c r="G2042">
        <f>IF(E2042=0,0,INDEX('Планы менеджеров'!$B$5:$M$16,B2042,D2042)/INDEX(Мес_Раб,D2042))</f>
        <v/>
      </c>
    </row>
    <row r="2043">
      <c r="A2043" t="inlineStr">
        <is>
          <t>Морозова</t>
        </is>
      </c>
      <c r="B2043" t="n">
        <v>10</v>
      </c>
      <c r="C2043" s="18">
        <f>'Календарь'!A185</f>
        <v/>
      </c>
      <c r="D2043">
        <f>MONTH(C2043)</f>
        <v/>
      </c>
      <c r="E2043">
        <f>'Календарь'!D185</f>
        <v/>
      </c>
      <c r="F2043">
        <f>INT((C2043-Нед_Начало)/7)+1</f>
        <v/>
      </c>
      <c r="G2043">
        <f>IF(E2043=0,0,INDEX('Планы менеджеров'!$B$5:$M$16,B2043,D2043)/INDEX(Мес_Раб,D2043))</f>
        <v/>
      </c>
    </row>
    <row r="2044">
      <c r="A2044" t="inlineStr">
        <is>
          <t>Морозова</t>
        </is>
      </c>
      <c r="B2044" t="n">
        <v>10</v>
      </c>
      <c r="C2044" s="18">
        <f>'Календарь'!A186</f>
        <v/>
      </c>
      <c r="D2044">
        <f>MONTH(C2044)</f>
        <v/>
      </c>
      <c r="E2044">
        <f>'Календарь'!D186</f>
        <v/>
      </c>
      <c r="F2044">
        <f>INT((C2044-Нед_Начало)/7)+1</f>
        <v/>
      </c>
      <c r="G2044">
        <f>IF(E2044=0,0,INDEX('Планы менеджеров'!$B$5:$M$16,B2044,D2044)/INDEX(Мес_Раб,D2044))</f>
        <v/>
      </c>
    </row>
    <row r="2045">
      <c r="A2045" t="inlineStr">
        <is>
          <t>Морозова</t>
        </is>
      </c>
      <c r="B2045" t="n">
        <v>10</v>
      </c>
      <c r="C2045" s="18">
        <f>'Календарь'!A187</f>
        <v/>
      </c>
      <c r="D2045">
        <f>MONTH(C2045)</f>
        <v/>
      </c>
      <c r="E2045">
        <f>'Календарь'!D187</f>
        <v/>
      </c>
      <c r="F2045">
        <f>INT((C2045-Нед_Начало)/7)+1</f>
        <v/>
      </c>
      <c r="G2045">
        <f>IF(E2045=0,0,INDEX('Планы менеджеров'!$B$5:$M$16,B2045,D2045)/INDEX(Мес_Раб,D2045))</f>
        <v/>
      </c>
    </row>
    <row r="2046">
      <c r="A2046" t="inlineStr">
        <is>
          <t>Морозова</t>
        </is>
      </c>
      <c r="B2046" t="n">
        <v>10</v>
      </c>
      <c r="C2046" s="18">
        <f>'Календарь'!A188</f>
        <v/>
      </c>
      <c r="D2046">
        <f>MONTH(C2046)</f>
        <v/>
      </c>
      <c r="E2046">
        <f>'Календарь'!D188</f>
        <v/>
      </c>
      <c r="F2046">
        <f>INT((C2046-Нед_Начало)/7)+1</f>
        <v/>
      </c>
      <c r="G2046">
        <f>IF(E2046=0,0,INDEX('Планы менеджеров'!$B$5:$M$16,B2046,D2046)/INDEX(Мес_Раб,D2046))</f>
        <v/>
      </c>
    </row>
    <row r="2047">
      <c r="A2047" t="inlineStr">
        <is>
          <t>Морозова</t>
        </is>
      </c>
      <c r="B2047" t="n">
        <v>10</v>
      </c>
      <c r="C2047" s="18">
        <f>'Календарь'!A189</f>
        <v/>
      </c>
      <c r="D2047">
        <f>MONTH(C2047)</f>
        <v/>
      </c>
      <c r="E2047">
        <f>'Календарь'!D189</f>
        <v/>
      </c>
      <c r="F2047">
        <f>INT((C2047-Нед_Начало)/7)+1</f>
        <v/>
      </c>
      <c r="G2047">
        <f>IF(E2047=0,0,INDEX('Планы менеджеров'!$B$5:$M$16,B2047,D2047)/INDEX(Мес_Раб,D2047))</f>
        <v/>
      </c>
    </row>
    <row r="2048">
      <c r="A2048" t="inlineStr">
        <is>
          <t>Морозова</t>
        </is>
      </c>
      <c r="B2048" t="n">
        <v>10</v>
      </c>
      <c r="C2048" s="18">
        <f>'Календарь'!A190</f>
        <v/>
      </c>
      <c r="D2048">
        <f>MONTH(C2048)</f>
        <v/>
      </c>
      <c r="E2048">
        <f>'Календарь'!D190</f>
        <v/>
      </c>
      <c r="F2048">
        <f>INT((C2048-Нед_Начало)/7)+1</f>
        <v/>
      </c>
      <c r="G2048">
        <f>IF(E2048=0,0,INDEX('Планы менеджеров'!$B$5:$M$16,B2048,D2048)/INDEX(Мес_Раб,D2048))</f>
        <v/>
      </c>
    </row>
    <row r="2049">
      <c r="A2049" t="inlineStr">
        <is>
          <t>Морозова</t>
        </is>
      </c>
      <c r="B2049" t="n">
        <v>10</v>
      </c>
      <c r="C2049" s="18">
        <f>'Календарь'!A191</f>
        <v/>
      </c>
      <c r="D2049">
        <f>MONTH(C2049)</f>
        <v/>
      </c>
      <c r="E2049">
        <f>'Календарь'!D191</f>
        <v/>
      </c>
      <c r="F2049">
        <f>INT((C2049-Нед_Начало)/7)+1</f>
        <v/>
      </c>
      <c r="G2049">
        <f>IF(E2049=0,0,INDEX('Планы менеджеров'!$B$5:$M$16,B2049,D2049)/INDEX(Мес_Раб,D2049))</f>
        <v/>
      </c>
    </row>
    <row r="2050">
      <c r="A2050" t="inlineStr">
        <is>
          <t>Морозова</t>
        </is>
      </c>
      <c r="B2050" t="n">
        <v>10</v>
      </c>
      <c r="C2050" s="18">
        <f>'Календарь'!A192</f>
        <v/>
      </c>
      <c r="D2050">
        <f>MONTH(C2050)</f>
        <v/>
      </c>
      <c r="E2050">
        <f>'Календарь'!D192</f>
        <v/>
      </c>
      <c r="F2050">
        <f>INT((C2050-Нед_Начало)/7)+1</f>
        <v/>
      </c>
      <c r="G2050">
        <f>IF(E2050=0,0,INDEX('Планы менеджеров'!$B$5:$M$16,B2050,D2050)/INDEX(Мес_Раб,D2050))</f>
        <v/>
      </c>
    </row>
    <row r="2051">
      <c r="A2051" t="inlineStr">
        <is>
          <t>Морозова</t>
        </is>
      </c>
      <c r="B2051" t="n">
        <v>10</v>
      </c>
      <c r="C2051" s="18">
        <f>'Календарь'!A193</f>
        <v/>
      </c>
      <c r="D2051">
        <f>MONTH(C2051)</f>
        <v/>
      </c>
      <c r="E2051">
        <f>'Календарь'!D193</f>
        <v/>
      </c>
      <c r="F2051">
        <f>INT((C2051-Нед_Начало)/7)+1</f>
        <v/>
      </c>
      <c r="G2051">
        <f>IF(E2051=0,0,INDEX('Планы менеджеров'!$B$5:$M$16,B2051,D2051)/INDEX(Мес_Раб,D2051))</f>
        <v/>
      </c>
    </row>
    <row r="2052">
      <c r="A2052" t="inlineStr">
        <is>
          <t>Морозова</t>
        </is>
      </c>
      <c r="B2052" t="n">
        <v>10</v>
      </c>
      <c r="C2052" s="18">
        <f>'Календарь'!A194</f>
        <v/>
      </c>
      <c r="D2052">
        <f>MONTH(C2052)</f>
        <v/>
      </c>
      <c r="E2052">
        <f>'Календарь'!D194</f>
        <v/>
      </c>
      <c r="F2052">
        <f>INT((C2052-Нед_Начало)/7)+1</f>
        <v/>
      </c>
      <c r="G2052">
        <f>IF(E2052=0,0,INDEX('Планы менеджеров'!$B$5:$M$16,B2052,D2052)/INDEX(Мес_Раб,D2052))</f>
        <v/>
      </c>
    </row>
    <row r="2053">
      <c r="A2053" t="inlineStr">
        <is>
          <t>Морозова</t>
        </is>
      </c>
      <c r="B2053" t="n">
        <v>10</v>
      </c>
      <c r="C2053" s="18">
        <f>'Календарь'!A195</f>
        <v/>
      </c>
      <c r="D2053">
        <f>MONTH(C2053)</f>
        <v/>
      </c>
      <c r="E2053">
        <f>'Календарь'!D195</f>
        <v/>
      </c>
      <c r="F2053">
        <f>INT((C2053-Нед_Начало)/7)+1</f>
        <v/>
      </c>
      <c r="G2053">
        <f>IF(E2053=0,0,INDEX('Планы менеджеров'!$B$5:$M$16,B2053,D2053)/INDEX(Мес_Раб,D2053))</f>
        <v/>
      </c>
    </row>
    <row r="2054">
      <c r="A2054" t="inlineStr">
        <is>
          <t>Морозова</t>
        </is>
      </c>
      <c r="B2054" t="n">
        <v>10</v>
      </c>
      <c r="C2054" s="18">
        <f>'Календарь'!A196</f>
        <v/>
      </c>
      <c r="D2054">
        <f>MONTH(C2054)</f>
        <v/>
      </c>
      <c r="E2054">
        <f>'Календарь'!D196</f>
        <v/>
      </c>
      <c r="F2054">
        <f>INT((C2054-Нед_Начало)/7)+1</f>
        <v/>
      </c>
      <c r="G2054">
        <f>IF(E2054=0,0,INDEX('Планы менеджеров'!$B$5:$M$16,B2054,D2054)/INDEX(Мес_Раб,D2054))</f>
        <v/>
      </c>
    </row>
    <row r="2055">
      <c r="A2055" t="inlineStr">
        <is>
          <t>Морозова</t>
        </is>
      </c>
      <c r="B2055" t="n">
        <v>10</v>
      </c>
      <c r="C2055" s="18">
        <f>'Календарь'!A197</f>
        <v/>
      </c>
      <c r="D2055">
        <f>MONTH(C2055)</f>
        <v/>
      </c>
      <c r="E2055">
        <f>'Календарь'!D197</f>
        <v/>
      </c>
      <c r="F2055">
        <f>INT((C2055-Нед_Начало)/7)+1</f>
        <v/>
      </c>
      <c r="G2055">
        <f>IF(E2055=0,0,INDEX('Планы менеджеров'!$B$5:$M$16,B2055,D2055)/INDEX(Мес_Раб,D2055))</f>
        <v/>
      </c>
    </row>
    <row r="2056">
      <c r="A2056" t="inlineStr">
        <is>
          <t>Морозова</t>
        </is>
      </c>
      <c r="B2056" t="n">
        <v>10</v>
      </c>
      <c r="C2056" s="18">
        <f>'Календарь'!A198</f>
        <v/>
      </c>
      <c r="D2056">
        <f>MONTH(C2056)</f>
        <v/>
      </c>
      <c r="E2056">
        <f>'Календарь'!D198</f>
        <v/>
      </c>
      <c r="F2056">
        <f>INT((C2056-Нед_Начало)/7)+1</f>
        <v/>
      </c>
      <c r="G2056">
        <f>IF(E2056=0,0,INDEX('Планы менеджеров'!$B$5:$M$16,B2056,D2056)/INDEX(Мес_Раб,D2056))</f>
        <v/>
      </c>
    </row>
    <row r="2057">
      <c r="A2057" t="inlineStr">
        <is>
          <t>Морозова</t>
        </is>
      </c>
      <c r="B2057" t="n">
        <v>10</v>
      </c>
      <c r="C2057" s="18">
        <f>'Календарь'!A199</f>
        <v/>
      </c>
      <c r="D2057">
        <f>MONTH(C2057)</f>
        <v/>
      </c>
      <c r="E2057">
        <f>'Календарь'!D199</f>
        <v/>
      </c>
      <c r="F2057">
        <f>INT((C2057-Нед_Начало)/7)+1</f>
        <v/>
      </c>
      <c r="G2057">
        <f>IF(E2057=0,0,INDEX('Планы менеджеров'!$B$5:$M$16,B2057,D2057)/INDEX(Мес_Раб,D2057))</f>
        <v/>
      </c>
    </row>
    <row r="2058">
      <c r="A2058" t="inlineStr">
        <is>
          <t>Морозова</t>
        </is>
      </c>
      <c r="B2058" t="n">
        <v>10</v>
      </c>
      <c r="C2058" s="18">
        <f>'Календарь'!A200</f>
        <v/>
      </c>
      <c r="D2058">
        <f>MONTH(C2058)</f>
        <v/>
      </c>
      <c r="E2058">
        <f>'Календарь'!D200</f>
        <v/>
      </c>
      <c r="F2058">
        <f>INT((C2058-Нед_Начало)/7)+1</f>
        <v/>
      </c>
      <c r="G2058">
        <f>IF(E2058=0,0,INDEX('Планы менеджеров'!$B$5:$M$16,B2058,D2058)/INDEX(Мес_Раб,D2058))</f>
        <v/>
      </c>
    </row>
    <row r="2059">
      <c r="A2059" t="inlineStr">
        <is>
          <t>Морозова</t>
        </is>
      </c>
      <c r="B2059" t="n">
        <v>10</v>
      </c>
      <c r="C2059" s="18">
        <f>'Календарь'!A201</f>
        <v/>
      </c>
      <c r="D2059">
        <f>MONTH(C2059)</f>
        <v/>
      </c>
      <c r="E2059">
        <f>'Календарь'!D201</f>
        <v/>
      </c>
      <c r="F2059">
        <f>INT((C2059-Нед_Начало)/7)+1</f>
        <v/>
      </c>
      <c r="G2059">
        <f>IF(E2059=0,0,INDEX('Планы менеджеров'!$B$5:$M$16,B2059,D2059)/INDEX(Мес_Раб,D2059))</f>
        <v/>
      </c>
    </row>
    <row r="2060">
      <c r="A2060" t="inlineStr">
        <is>
          <t>Морозова</t>
        </is>
      </c>
      <c r="B2060" t="n">
        <v>10</v>
      </c>
      <c r="C2060" s="18">
        <f>'Календарь'!A202</f>
        <v/>
      </c>
      <c r="D2060">
        <f>MONTH(C2060)</f>
        <v/>
      </c>
      <c r="E2060">
        <f>'Календарь'!D202</f>
        <v/>
      </c>
      <c r="F2060">
        <f>INT((C2060-Нед_Начало)/7)+1</f>
        <v/>
      </c>
      <c r="G2060">
        <f>IF(E2060=0,0,INDEX('Планы менеджеров'!$B$5:$M$16,B2060,D2060)/INDEX(Мес_Раб,D2060))</f>
        <v/>
      </c>
    </row>
    <row r="2061">
      <c r="A2061" t="inlineStr">
        <is>
          <t>Морозова</t>
        </is>
      </c>
      <c r="B2061" t="n">
        <v>10</v>
      </c>
      <c r="C2061" s="18">
        <f>'Календарь'!A203</f>
        <v/>
      </c>
      <c r="D2061">
        <f>MONTH(C2061)</f>
        <v/>
      </c>
      <c r="E2061">
        <f>'Календарь'!D203</f>
        <v/>
      </c>
      <c r="F2061">
        <f>INT((C2061-Нед_Начало)/7)+1</f>
        <v/>
      </c>
      <c r="G2061">
        <f>IF(E2061=0,0,INDEX('Планы менеджеров'!$B$5:$M$16,B2061,D2061)/INDEX(Мес_Раб,D2061))</f>
        <v/>
      </c>
    </row>
    <row r="2062">
      <c r="A2062" t="inlineStr">
        <is>
          <t>Морозова</t>
        </is>
      </c>
      <c r="B2062" t="n">
        <v>10</v>
      </c>
      <c r="C2062" s="18">
        <f>'Календарь'!A204</f>
        <v/>
      </c>
      <c r="D2062">
        <f>MONTH(C2062)</f>
        <v/>
      </c>
      <c r="E2062">
        <f>'Календарь'!D204</f>
        <v/>
      </c>
      <c r="F2062">
        <f>INT((C2062-Нед_Начало)/7)+1</f>
        <v/>
      </c>
      <c r="G2062">
        <f>IF(E2062=0,0,INDEX('Планы менеджеров'!$B$5:$M$16,B2062,D2062)/INDEX(Мес_Раб,D2062))</f>
        <v/>
      </c>
    </row>
    <row r="2063">
      <c r="A2063" t="inlineStr">
        <is>
          <t>Морозова</t>
        </is>
      </c>
      <c r="B2063" t="n">
        <v>10</v>
      </c>
      <c r="C2063" s="18">
        <f>'Календарь'!A205</f>
        <v/>
      </c>
      <c r="D2063">
        <f>MONTH(C2063)</f>
        <v/>
      </c>
      <c r="E2063">
        <f>'Календарь'!D205</f>
        <v/>
      </c>
      <c r="F2063">
        <f>INT((C2063-Нед_Начало)/7)+1</f>
        <v/>
      </c>
      <c r="G2063">
        <f>IF(E2063=0,0,INDEX('Планы менеджеров'!$B$5:$M$16,B2063,D2063)/INDEX(Мес_Раб,D2063))</f>
        <v/>
      </c>
    </row>
    <row r="2064">
      <c r="A2064" t="inlineStr">
        <is>
          <t>Морозова</t>
        </is>
      </c>
      <c r="B2064" t="n">
        <v>10</v>
      </c>
      <c r="C2064" s="18">
        <f>'Календарь'!A206</f>
        <v/>
      </c>
      <c r="D2064">
        <f>MONTH(C2064)</f>
        <v/>
      </c>
      <c r="E2064">
        <f>'Календарь'!D206</f>
        <v/>
      </c>
      <c r="F2064">
        <f>INT((C2064-Нед_Начало)/7)+1</f>
        <v/>
      </c>
      <c r="G2064">
        <f>IF(E2064=0,0,INDEX('Планы менеджеров'!$B$5:$M$16,B2064,D2064)/INDEX(Мес_Раб,D2064))</f>
        <v/>
      </c>
    </row>
    <row r="2065">
      <c r="A2065" t="inlineStr">
        <is>
          <t>Морозова</t>
        </is>
      </c>
      <c r="B2065" t="n">
        <v>10</v>
      </c>
      <c r="C2065" s="18">
        <f>'Календарь'!A207</f>
        <v/>
      </c>
      <c r="D2065">
        <f>MONTH(C2065)</f>
        <v/>
      </c>
      <c r="E2065">
        <f>'Календарь'!D207</f>
        <v/>
      </c>
      <c r="F2065">
        <f>INT((C2065-Нед_Начало)/7)+1</f>
        <v/>
      </c>
      <c r="G2065">
        <f>IF(E2065=0,0,INDEX('Планы менеджеров'!$B$5:$M$16,B2065,D2065)/INDEX(Мес_Раб,D2065))</f>
        <v/>
      </c>
    </row>
    <row r="2066">
      <c r="A2066" t="inlineStr">
        <is>
          <t>Морозова</t>
        </is>
      </c>
      <c r="B2066" t="n">
        <v>10</v>
      </c>
      <c r="C2066" s="18">
        <f>'Календарь'!A208</f>
        <v/>
      </c>
      <c r="D2066">
        <f>MONTH(C2066)</f>
        <v/>
      </c>
      <c r="E2066">
        <f>'Календарь'!D208</f>
        <v/>
      </c>
      <c r="F2066">
        <f>INT((C2066-Нед_Начало)/7)+1</f>
        <v/>
      </c>
      <c r="G2066">
        <f>IF(E2066=0,0,INDEX('Планы менеджеров'!$B$5:$M$16,B2066,D2066)/INDEX(Мес_Раб,D2066))</f>
        <v/>
      </c>
    </row>
    <row r="2067">
      <c r="A2067" t="inlineStr">
        <is>
          <t>Морозова</t>
        </is>
      </c>
      <c r="B2067" t="n">
        <v>10</v>
      </c>
      <c r="C2067" s="18">
        <f>'Календарь'!A209</f>
        <v/>
      </c>
      <c r="D2067">
        <f>MONTH(C2067)</f>
        <v/>
      </c>
      <c r="E2067">
        <f>'Календарь'!D209</f>
        <v/>
      </c>
      <c r="F2067">
        <f>INT((C2067-Нед_Начало)/7)+1</f>
        <v/>
      </c>
      <c r="G2067">
        <f>IF(E2067=0,0,INDEX('Планы менеджеров'!$B$5:$M$16,B2067,D2067)/INDEX(Мес_Раб,D2067))</f>
        <v/>
      </c>
    </row>
    <row r="2068">
      <c r="A2068" t="inlineStr">
        <is>
          <t>Морозова</t>
        </is>
      </c>
      <c r="B2068" t="n">
        <v>10</v>
      </c>
      <c r="C2068" s="18">
        <f>'Календарь'!A210</f>
        <v/>
      </c>
      <c r="D2068">
        <f>MONTH(C2068)</f>
        <v/>
      </c>
      <c r="E2068">
        <f>'Календарь'!D210</f>
        <v/>
      </c>
      <c r="F2068">
        <f>INT((C2068-Нед_Начало)/7)+1</f>
        <v/>
      </c>
      <c r="G2068">
        <f>IF(E2068=0,0,INDEX('Планы менеджеров'!$B$5:$M$16,B2068,D2068)/INDEX(Мес_Раб,D2068))</f>
        <v/>
      </c>
    </row>
    <row r="2069">
      <c r="A2069" t="inlineStr">
        <is>
          <t>Морозова</t>
        </is>
      </c>
      <c r="B2069" t="n">
        <v>10</v>
      </c>
      <c r="C2069" s="18">
        <f>'Календарь'!A211</f>
        <v/>
      </c>
      <c r="D2069">
        <f>MONTH(C2069)</f>
        <v/>
      </c>
      <c r="E2069">
        <f>'Календарь'!D211</f>
        <v/>
      </c>
      <c r="F2069">
        <f>INT((C2069-Нед_Начало)/7)+1</f>
        <v/>
      </c>
      <c r="G2069">
        <f>IF(E2069=0,0,INDEX('Планы менеджеров'!$B$5:$M$16,B2069,D2069)/INDEX(Мес_Раб,D2069))</f>
        <v/>
      </c>
    </row>
    <row r="2070">
      <c r="A2070" t="inlineStr">
        <is>
          <t>Морозова</t>
        </is>
      </c>
      <c r="B2070" t="n">
        <v>10</v>
      </c>
      <c r="C2070" s="18">
        <f>'Календарь'!A212</f>
        <v/>
      </c>
      <c r="D2070">
        <f>MONTH(C2070)</f>
        <v/>
      </c>
      <c r="E2070">
        <f>'Календарь'!D212</f>
        <v/>
      </c>
      <c r="F2070">
        <f>INT((C2070-Нед_Начало)/7)+1</f>
        <v/>
      </c>
      <c r="G2070">
        <f>IF(E2070=0,0,INDEX('Планы менеджеров'!$B$5:$M$16,B2070,D2070)/INDEX(Мес_Раб,D2070))</f>
        <v/>
      </c>
    </row>
    <row r="2071">
      <c r="A2071" t="inlineStr">
        <is>
          <t>Морозова</t>
        </is>
      </c>
      <c r="B2071" t="n">
        <v>10</v>
      </c>
      <c r="C2071" s="18">
        <f>'Календарь'!A213</f>
        <v/>
      </c>
      <c r="D2071">
        <f>MONTH(C2071)</f>
        <v/>
      </c>
      <c r="E2071">
        <f>'Календарь'!D213</f>
        <v/>
      </c>
      <c r="F2071">
        <f>INT((C2071-Нед_Начало)/7)+1</f>
        <v/>
      </c>
      <c r="G2071">
        <f>IF(E2071=0,0,INDEX('Планы менеджеров'!$B$5:$M$16,B2071,D2071)/INDEX(Мес_Раб,D2071))</f>
        <v/>
      </c>
    </row>
    <row r="2072">
      <c r="A2072" t="inlineStr">
        <is>
          <t>Морозова</t>
        </is>
      </c>
      <c r="B2072" t="n">
        <v>10</v>
      </c>
      <c r="C2072" s="18">
        <f>'Календарь'!A214</f>
        <v/>
      </c>
      <c r="D2072">
        <f>MONTH(C2072)</f>
        <v/>
      </c>
      <c r="E2072">
        <f>'Календарь'!D214</f>
        <v/>
      </c>
      <c r="F2072">
        <f>INT((C2072-Нед_Начало)/7)+1</f>
        <v/>
      </c>
      <c r="G2072">
        <f>IF(E2072=0,0,INDEX('Планы менеджеров'!$B$5:$M$16,B2072,D2072)/INDEX(Мес_Раб,D2072))</f>
        <v/>
      </c>
    </row>
    <row r="2073">
      <c r="A2073" t="inlineStr">
        <is>
          <t>Морозова</t>
        </is>
      </c>
      <c r="B2073" t="n">
        <v>10</v>
      </c>
      <c r="C2073" s="18">
        <f>'Календарь'!A215</f>
        <v/>
      </c>
      <c r="D2073">
        <f>MONTH(C2073)</f>
        <v/>
      </c>
      <c r="E2073">
        <f>'Календарь'!D215</f>
        <v/>
      </c>
      <c r="F2073">
        <f>INT((C2073-Нед_Начало)/7)+1</f>
        <v/>
      </c>
      <c r="G2073">
        <f>IF(E2073=0,0,INDEX('Планы менеджеров'!$B$5:$M$16,B2073,D2073)/INDEX(Мес_Раб,D2073))</f>
        <v/>
      </c>
    </row>
    <row r="2074">
      <c r="A2074" t="inlineStr">
        <is>
          <t>Морозова</t>
        </is>
      </c>
      <c r="B2074" t="n">
        <v>10</v>
      </c>
      <c r="C2074" s="18">
        <f>'Календарь'!A216</f>
        <v/>
      </c>
      <c r="D2074">
        <f>MONTH(C2074)</f>
        <v/>
      </c>
      <c r="E2074">
        <f>'Календарь'!D216</f>
        <v/>
      </c>
      <c r="F2074">
        <f>INT((C2074-Нед_Начало)/7)+1</f>
        <v/>
      </c>
      <c r="G2074">
        <f>IF(E2074=0,0,INDEX('Планы менеджеров'!$B$5:$M$16,B2074,D2074)/INDEX(Мес_Раб,D2074))</f>
        <v/>
      </c>
    </row>
    <row r="2075">
      <c r="A2075" t="inlineStr">
        <is>
          <t>Морозова</t>
        </is>
      </c>
      <c r="B2075" t="n">
        <v>10</v>
      </c>
      <c r="C2075" s="18">
        <f>'Календарь'!A217</f>
        <v/>
      </c>
      <c r="D2075">
        <f>MONTH(C2075)</f>
        <v/>
      </c>
      <c r="E2075">
        <f>'Календарь'!D217</f>
        <v/>
      </c>
      <c r="F2075">
        <f>INT((C2075-Нед_Начало)/7)+1</f>
        <v/>
      </c>
      <c r="G2075">
        <f>IF(E2075=0,0,INDEX('Планы менеджеров'!$B$5:$M$16,B2075,D2075)/INDEX(Мес_Раб,D2075))</f>
        <v/>
      </c>
    </row>
    <row r="2076">
      <c r="A2076" t="inlineStr">
        <is>
          <t>Морозова</t>
        </is>
      </c>
      <c r="B2076" t="n">
        <v>10</v>
      </c>
      <c r="C2076" s="18">
        <f>'Календарь'!A218</f>
        <v/>
      </c>
      <c r="D2076">
        <f>MONTH(C2076)</f>
        <v/>
      </c>
      <c r="E2076">
        <f>'Календарь'!D218</f>
        <v/>
      </c>
      <c r="F2076">
        <f>INT((C2076-Нед_Начало)/7)+1</f>
        <v/>
      </c>
      <c r="G2076">
        <f>IF(E2076=0,0,INDEX('Планы менеджеров'!$B$5:$M$16,B2076,D2076)/INDEX(Мес_Раб,D2076))</f>
        <v/>
      </c>
    </row>
    <row r="2077">
      <c r="A2077" t="inlineStr">
        <is>
          <t>Морозова</t>
        </is>
      </c>
      <c r="B2077" t="n">
        <v>10</v>
      </c>
      <c r="C2077" s="18">
        <f>'Календарь'!A219</f>
        <v/>
      </c>
      <c r="D2077">
        <f>MONTH(C2077)</f>
        <v/>
      </c>
      <c r="E2077">
        <f>'Календарь'!D219</f>
        <v/>
      </c>
      <c r="F2077">
        <f>INT((C2077-Нед_Начало)/7)+1</f>
        <v/>
      </c>
      <c r="G2077">
        <f>IF(E2077=0,0,INDEX('Планы менеджеров'!$B$5:$M$16,B2077,D2077)/INDEX(Мес_Раб,D2077))</f>
        <v/>
      </c>
    </row>
    <row r="2078">
      <c r="A2078" t="inlineStr">
        <is>
          <t>Морозова</t>
        </is>
      </c>
      <c r="B2078" t="n">
        <v>10</v>
      </c>
      <c r="C2078" s="18">
        <f>'Календарь'!A220</f>
        <v/>
      </c>
      <c r="D2078">
        <f>MONTH(C2078)</f>
        <v/>
      </c>
      <c r="E2078">
        <f>'Календарь'!D220</f>
        <v/>
      </c>
      <c r="F2078">
        <f>INT((C2078-Нед_Начало)/7)+1</f>
        <v/>
      </c>
      <c r="G2078">
        <f>IF(E2078=0,0,INDEX('Планы менеджеров'!$B$5:$M$16,B2078,D2078)/INDEX(Мес_Раб,D2078))</f>
        <v/>
      </c>
    </row>
    <row r="2079">
      <c r="A2079" t="inlineStr">
        <is>
          <t>Морозова</t>
        </is>
      </c>
      <c r="B2079" t="n">
        <v>10</v>
      </c>
      <c r="C2079" s="18">
        <f>'Календарь'!A221</f>
        <v/>
      </c>
      <c r="D2079">
        <f>MONTH(C2079)</f>
        <v/>
      </c>
      <c r="E2079">
        <f>'Календарь'!D221</f>
        <v/>
      </c>
      <c r="F2079">
        <f>INT((C2079-Нед_Начало)/7)+1</f>
        <v/>
      </c>
      <c r="G2079">
        <f>IF(E2079=0,0,INDEX('Планы менеджеров'!$B$5:$M$16,B2079,D2079)/INDEX(Мес_Раб,D2079))</f>
        <v/>
      </c>
    </row>
    <row r="2080">
      <c r="A2080" t="inlineStr">
        <is>
          <t>Морозова</t>
        </is>
      </c>
      <c r="B2080" t="n">
        <v>10</v>
      </c>
      <c r="C2080" s="18">
        <f>'Календарь'!A222</f>
        <v/>
      </c>
      <c r="D2080">
        <f>MONTH(C2080)</f>
        <v/>
      </c>
      <c r="E2080">
        <f>'Календарь'!D222</f>
        <v/>
      </c>
      <c r="F2080">
        <f>INT((C2080-Нед_Начало)/7)+1</f>
        <v/>
      </c>
      <c r="G2080">
        <f>IF(E2080=0,0,INDEX('Планы менеджеров'!$B$5:$M$16,B2080,D2080)/INDEX(Мес_Раб,D2080))</f>
        <v/>
      </c>
    </row>
    <row r="2081">
      <c r="A2081" t="inlineStr">
        <is>
          <t>Морозова</t>
        </is>
      </c>
      <c r="B2081" t="n">
        <v>10</v>
      </c>
      <c r="C2081" s="18">
        <f>'Календарь'!A223</f>
        <v/>
      </c>
      <c r="D2081">
        <f>MONTH(C2081)</f>
        <v/>
      </c>
      <c r="E2081">
        <f>'Календарь'!D223</f>
        <v/>
      </c>
      <c r="F2081">
        <f>INT((C2081-Нед_Начало)/7)+1</f>
        <v/>
      </c>
      <c r="G2081">
        <f>IF(E2081=0,0,INDEX('Планы менеджеров'!$B$5:$M$16,B2081,D2081)/INDEX(Мес_Раб,D2081))</f>
        <v/>
      </c>
    </row>
    <row r="2082">
      <c r="A2082" t="inlineStr">
        <is>
          <t>Морозова</t>
        </is>
      </c>
      <c r="B2082" t="n">
        <v>10</v>
      </c>
      <c r="C2082" s="18">
        <f>'Календарь'!A224</f>
        <v/>
      </c>
      <c r="D2082">
        <f>MONTH(C2082)</f>
        <v/>
      </c>
      <c r="E2082">
        <f>'Календарь'!D224</f>
        <v/>
      </c>
      <c r="F2082">
        <f>INT((C2082-Нед_Начало)/7)+1</f>
        <v/>
      </c>
      <c r="G2082">
        <f>IF(E2082=0,0,INDEX('Планы менеджеров'!$B$5:$M$16,B2082,D2082)/INDEX(Мес_Раб,D2082))</f>
        <v/>
      </c>
    </row>
    <row r="2083">
      <c r="A2083" t="inlineStr">
        <is>
          <t>Морозова</t>
        </is>
      </c>
      <c r="B2083" t="n">
        <v>10</v>
      </c>
      <c r="C2083" s="18">
        <f>'Календарь'!A225</f>
        <v/>
      </c>
      <c r="D2083">
        <f>MONTH(C2083)</f>
        <v/>
      </c>
      <c r="E2083">
        <f>'Календарь'!D225</f>
        <v/>
      </c>
      <c r="F2083">
        <f>INT((C2083-Нед_Начало)/7)+1</f>
        <v/>
      </c>
      <c r="G2083">
        <f>IF(E2083=0,0,INDEX('Планы менеджеров'!$B$5:$M$16,B2083,D2083)/INDEX(Мес_Раб,D2083))</f>
        <v/>
      </c>
    </row>
    <row r="2084">
      <c r="A2084" t="inlineStr">
        <is>
          <t>Морозова</t>
        </is>
      </c>
      <c r="B2084" t="n">
        <v>10</v>
      </c>
      <c r="C2084" s="18">
        <f>'Календарь'!A226</f>
        <v/>
      </c>
      <c r="D2084">
        <f>MONTH(C2084)</f>
        <v/>
      </c>
      <c r="E2084">
        <f>'Календарь'!D226</f>
        <v/>
      </c>
      <c r="F2084">
        <f>INT((C2084-Нед_Начало)/7)+1</f>
        <v/>
      </c>
      <c r="G2084">
        <f>IF(E2084=0,0,INDEX('Планы менеджеров'!$B$5:$M$16,B2084,D2084)/INDEX(Мес_Раб,D2084))</f>
        <v/>
      </c>
    </row>
    <row r="2085">
      <c r="A2085" t="inlineStr">
        <is>
          <t>Морозова</t>
        </is>
      </c>
      <c r="B2085" t="n">
        <v>10</v>
      </c>
      <c r="C2085" s="18">
        <f>'Календарь'!A227</f>
        <v/>
      </c>
      <c r="D2085">
        <f>MONTH(C2085)</f>
        <v/>
      </c>
      <c r="E2085">
        <f>'Календарь'!D227</f>
        <v/>
      </c>
      <c r="F2085">
        <f>INT((C2085-Нед_Начало)/7)+1</f>
        <v/>
      </c>
      <c r="G2085">
        <f>IF(E2085=0,0,INDEX('Планы менеджеров'!$B$5:$M$16,B2085,D2085)/INDEX(Мес_Раб,D2085))</f>
        <v/>
      </c>
    </row>
    <row r="2086">
      <c r="A2086" t="inlineStr">
        <is>
          <t>Морозова</t>
        </is>
      </c>
      <c r="B2086" t="n">
        <v>10</v>
      </c>
      <c r="C2086" s="18">
        <f>'Календарь'!A228</f>
        <v/>
      </c>
      <c r="D2086">
        <f>MONTH(C2086)</f>
        <v/>
      </c>
      <c r="E2086">
        <f>'Календарь'!D228</f>
        <v/>
      </c>
      <c r="F2086">
        <f>INT((C2086-Нед_Начало)/7)+1</f>
        <v/>
      </c>
      <c r="G2086">
        <f>IF(E2086=0,0,INDEX('Планы менеджеров'!$B$5:$M$16,B2086,D2086)/INDEX(Мес_Раб,D2086))</f>
        <v/>
      </c>
    </row>
    <row r="2087">
      <c r="A2087" t="inlineStr">
        <is>
          <t>Морозова</t>
        </is>
      </c>
      <c r="B2087" t="n">
        <v>10</v>
      </c>
      <c r="C2087" s="18">
        <f>'Календарь'!A229</f>
        <v/>
      </c>
      <c r="D2087">
        <f>MONTH(C2087)</f>
        <v/>
      </c>
      <c r="E2087">
        <f>'Календарь'!D229</f>
        <v/>
      </c>
      <c r="F2087">
        <f>INT((C2087-Нед_Начало)/7)+1</f>
        <v/>
      </c>
      <c r="G2087">
        <f>IF(E2087=0,0,INDEX('Планы менеджеров'!$B$5:$M$16,B2087,D2087)/INDEX(Мес_Раб,D2087))</f>
        <v/>
      </c>
    </row>
    <row r="2088">
      <c r="A2088" t="inlineStr">
        <is>
          <t>Морозова</t>
        </is>
      </c>
      <c r="B2088" t="n">
        <v>10</v>
      </c>
      <c r="C2088" s="18">
        <f>'Календарь'!A230</f>
        <v/>
      </c>
      <c r="D2088">
        <f>MONTH(C2088)</f>
        <v/>
      </c>
      <c r="E2088">
        <f>'Календарь'!D230</f>
        <v/>
      </c>
      <c r="F2088">
        <f>INT((C2088-Нед_Начало)/7)+1</f>
        <v/>
      </c>
      <c r="G2088">
        <f>IF(E2088=0,0,INDEX('Планы менеджеров'!$B$5:$M$16,B2088,D2088)/INDEX(Мес_Раб,D2088))</f>
        <v/>
      </c>
    </row>
    <row r="2089">
      <c r="A2089" t="inlineStr">
        <is>
          <t>Морозова</t>
        </is>
      </c>
      <c r="B2089" t="n">
        <v>10</v>
      </c>
      <c r="C2089" s="18">
        <f>'Календарь'!A231</f>
        <v/>
      </c>
      <c r="D2089">
        <f>MONTH(C2089)</f>
        <v/>
      </c>
      <c r="E2089">
        <f>'Календарь'!D231</f>
        <v/>
      </c>
      <c r="F2089">
        <f>INT((C2089-Нед_Начало)/7)+1</f>
        <v/>
      </c>
      <c r="G2089">
        <f>IF(E2089=0,0,INDEX('Планы менеджеров'!$B$5:$M$16,B2089,D2089)/INDEX(Мес_Раб,D2089))</f>
        <v/>
      </c>
    </row>
    <row r="2090">
      <c r="A2090" t="inlineStr">
        <is>
          <t>Морозова</t>
        </is>
      </c>
      <c r="B2090" t="n">
        <v>10</v>
      </c>
      <c r="C2090" s="18">
        <f>'Календарь'!A232</f>
        <v/>
      </c>
      <c r="D2090">
        <f>MONTH(C2090)</f>
        <v/>
      </c>
      <c r="E2090">
        <f>'Календарь'!D232</f>
        <v/>
      </c>
      <c r="F2090">
        <f>INT((C2090-Нед_Начало)/7)+1</f>
        <v/>
      </c>
      <c r="G2090">
        <f>IF(E2090=0,0,INDEX('Планы менеджеров'!$B$5:$M$16,B2090,D2090)/INDEX(Мес_Раб,D2090))</f>
        <v/>
      </c>
    </row>
    <row r="2091">
      <c r="A2091" t="inlineStr">
        <is>
          <t>Морозова</t>
        </is>
      </c>
      <c r="B2091" t="n">
        <v>10</v>
      </c>
      <c r="C2091" s="18">
        <f>'Календарь'!A233</f>
        <v/>
      </c>
      <c r="D2091">
        <f>MONTH(C2091)</f>
        <v/>
      </c>
      <c r="E2091">
        <f>'Календарь'!D233</f>
        <v/>
      </c>
      <c r="F2091">
        <f>INT((C2091-Нед_Начало)/7)+1</f>
        <v/>
      </c>
      <c r="G2091">
        <f>IF(E2091=0,0,INDEX('Планы менеджеров'!$B$5:$M$16,B2091,D2091)/INDEX(Мес_Раб,D2091))</f>
        <v/>
      </c>
    </row>
    <row r="2092">
      <c r="A2092" t="inlineStr">
        <is>
          <t>Морозова</t>
        </is>
      </c>
      <c r="B2092" t="n">
        <v>10</v>
      </c>
      <c r="C2092" s="18">
        <f>'Календарь'!A234</f>
        <v/>
      </c>
      <c r="D2092">
        <f>MONTH(C2092)</f>
        <v/>
      </c>
      <c r="E2092">
        <f>'Календарь'!D234</f>
        <v/>
      </c>
      <c r="F2092">
        <f>INT((C2092-Нед_Начало)/7)+1</f>
        <v/>
      </c>
      <c r="G2092">
        <f>IF(E2092=0,0,INDEX('Планы менеджеров'!$B$5:$M$16,B2092,D2092)/INDEX(Мес_Раб,D2092))</f>
        <v/>
      </c>
    </row>
    <row r="2093">
      <c r="A2093" t="inlineStr">
        <is>
          <t>Морозова</t>
        </is>
      </c>
      <c r="B2093" t="n">
        <v>10</v>
      </c>
      <c r="C2093" s="18">
        <f>'Календарь'!A235</f>
        <v/>
      </c>
      <c r="D2093">
        <f>MONTH(C2093)</f>
        <v/>
      </c>
      <c r="E2093">
        <f>'Календарь'!D235</f>
        <v/>
      </c>
      <c r="F2093">
        <f>INT((C2093-Нед_Начало)/7)+1</f>
        <v/>
      </c>
      <c r="G2093">
        <f>IF(E2093=0,0,INDEX('Планы менеджеров'!$B$5:$M$16,B2093,D2093)/INDEX(Мес_Раб,D2093))</f>
        <v/>
      </c>
    </row>
    <row r="2094">
      <c r="A2094" t="inlineStr">
        <is>
          <t>Морозова</t>
        </is>
      </c>
      <c r="B2094" t="n">
        <v>10</v>
      </c>
      <c r="C2094" s="18">
        <f>'Календарь'!A236</f>
        <v/>
      </c>
      <c r="D2094">
        <f>MONTH(C2094)</f>
        <v/>
      </c>
      <c r="E2094">
        <f>'Календарь'!D236</f>
        <v/>
      </c>
      <c r="F2094">
        <f>INT((C2094-Нед_Начало)/7)+1</f>
        <v/>
      </c>
      <c r="G2094">
        <f>IF(E2094=0,0,INDEX('Планы менеджеров'!$B$5:$M$16,B2094,D2094)/INDEX(Мес_Раб,D2094))</f>
        <v/>
      </c>
    </row>
    <row r="2095">
      <c r="A2095" t="inlineStr">
        <is>
          <t>Морозова</t>
        </is>
      </c>
      <c r="B2095" t="n">
        <v>10</v>
      </c>
      <c r="C2095" s="18">
        <f>'Календарь'!A237</f>
        <v/>
      </c>
      <c r="D2095">
        <f>MONTH(C2095)</f>
        <v/>
      </c>
      <c r="E2095">
        <f>'Календарь'!D237</f>
        <v/>
      </c>
      <c r="F2095">
        <f>INT((C2095-Нед_Начало)/7)+1</f>
        <v/>
      </c>
      <c r="G2095">
        <f>IF(E2095=0,0,INDEX('Планы менеджеров'!$B$5:$M$16,B2095,D2095)/INDEX(Мес_Раб,D2095))</f>
        <v/>
      </c>
    </row>
    <row r="2096">
      <c r="A2096" t="inlineStr">
        <is>
          <t>Морозова</t>
        </is>
      </c>
      <c r="B2096" t="n">
        <v>10</v>
      </c>
      <c r="C2096" s="18">
        <f>'Календарь'!A238</f>
        <v/>
      </c>
      <c r="D2096">
        <f>MONTH(C2096)</f>
        <v/>
      </c>
      <c r="E2096">
        <f>'Календарь'!D238</f>
        <v/>
      </c>
      <c r="F2096">
        <f>INT((C2096-Нед_Начало)/7)+1</f>
        <v/>
      </c>
      <c r="G2096">
        <f>IF(E2096=0,0,INDEX('Планы менеджеров'!$B$5:$M$16,B2096,D2096)/INDEX(Мес_Раб,D2096))</f>
        <v/>
      </c>
    </row>
    <row r="2097">
      <c r="A2097" t="inlineStr">
        <is>
          <t>Морозова</t>
        </is>
      </c>
      <c r="B2097" t="n">
        <v>10</v>
      </c>
      <c r="C2097" s="18">
        <f>'Календарь'!A239</f>
        <v/>
      </c>
      <c r="D2097">
        <f>MONTH(C2097)</f>
        <v/>
      </c>
      <c r="E2097">
        <f>'Календарь'!D239</f>
        <v/>
      </c>
      <c r="F2097">
        <f>INT((C2097-Нед_Начало)/7)+1</f>
        <v/>
      </c>
      <c r="G2097">
        <f>IF(E2097=0,0,INDEX('Планы менеджеров'!$B$5:$M$16,B2097,D2097)/INDEX(Мес_Раб,D2097))</f>
        <v/>
      </c>
    </row>
    <row r="2098">
      <c r="A2098" t="inlineStr">
        <is>
          <t>Морозова</t>
        </is>
      </c>
      <c r="B2098" t="n">
        <v>10</v>
      </c>
      <c r="C2098" s="18">
        <f>'Календарь'!A240</f>
        <v/>
      </c>
      <c r="D2098">
        <f>MONTH(C2098)</f>
        <v/>
      </c>
      <c r="E2098">
        <f>'Календарь'!D240</f>
        <v/>
      </c>
      <c r="F2098">
        <f>INT((C2098-Нед_Начало)/7)+1</f>
        <v/>
      </c>
      <c r="G2098">
        <f>IF(E2098=0,0,INDEX('Планы менеджеров'!$B$5:$M$16,B2098,D2098)/INDEX(Мес_Раб,D2098))</f>
        <v/>
      </c>
    </row>
    <row r="2099">
      <c r="A2099" t="inlineStr">
        <is>
          <t>Морозова</t>
        </is>
      </c>
      <c r="B2099" t="n">
        <v>10</v>
      </c>
      <c r="C2099" s="18">
        <f>'Календарь'!A241</f>
        <v/>
      </c>
      <c r="D2099">
        <f>MONTH(C2099)</f>
        <v/>
      </c>
      <c r="E2099">
        <f>'Календарь'!D241</f>
        <v/>
      </c>
      <c r="F2099">
        <f>INT((C2099-Нед_Начало)/7)+1</f>
        <v/>
      </c>
      <c r="G2099">
        <f>IF(E2099=0,0,INDEX('Планы менеджеров'!$B$5:$M$16,B2099,D2099)/INDEX(Мес_Раб,D2099))</f>
        <v/>
      </c>
    </row>
    <row r="2100">
      <c r="A2100" t="inlineStr">
        <is>
          <t>Морозова</t>
        </is>
      </c>
      <c r="B2100" t="n">
        <v>10</v>
      </c>
      <c r="C2100" s="18">
        <f>'Календарь'!A242</f>
        <v/>
      </c>
      <c r="D2100">
        <f>MONTH(C2100)</f>
        <v/>
      </c>
      <c r="E2100">
        <f>'Календарь'!D242</f>
        <v/>
      </c>
      <c r="F2100">
        <f>INT((C2100-Нед_Начало)/7)+1</f>
        <v/>
      </c>
      <c r="G2100">
        <f>IF(E2100=0,0,INDEX('Планы менеджеров'!$B$5:$M$16,B2100,D2100)/INDEX(Мес_Раб,D2100))</f>
        <v/>
      </c>
    </row>
    <row r="2101">
      <c r="A2101" t="inlineStr">
        <is>
          <t>Морозова</t>
        </is>
      </c>
      <c r="B2101" t="n">
        <v>10</v>
      </c>
      <c r="C2101" s="18">
        <f>'Календарь'!A243</f>
        <v/>
      </c>
      <c r="D2101">
        <f>MONTH(C2101)</f>
        <v/>
      </c>
      <c r="E2101">
        <f>'Календарь'!D243</f>
        <v/>
      </c>
      <c r="F2101">
        <f>INT((C2101-Нед_Начало)/7)+1</f>
        <v/>
      </c>
      <c r="G2101">
        <f>IF(E2101=0,0,INDEX('Планы менеджеров'!$B$5:$M$16,B2101,D2101)/INDEX(Мес_Раб,D2101))</f>
        <v/>
      </c>
    </row>
    <row r="2102">
      <c r="A2102" t="inlineStr">
        <is>
          <t>Морозова</t>
        </is>
      </c>
      <c r="B2102" t="n">
        <v>10</v>
      </c>
      <c r="C2102" s="18">
        <f>'Календарь'!A244</f>
        <v/>
      </c>
      <c r="D2102">
        <f>MONTH(C2102)</f>
        <v/>
      </c>
      <c r="E2102">
        <f>'Календарь'!D244</f>
        <v/>
      </c>
      <c r="F2102">
        <f>INT((C2102-Нед_Начало)/7)+1</f>
        <v/>
      </c>
      <c r="G2102">
        <f>IF(E2102=0,0,INDEX('Планы менеджеров'!$B$5:$M$16,B2102,D2102)/INDEX(Мес_Раб,D2102))</f>
        <v/>
      </c>
    </row>
    <row r="2103">
      <c r="A2103" t="inlineStr">
        <is>
          <t>Морозова</t>
        </is>
      </c>
      <c r="B2103" t="n">
        <v>10</v>
      </c>
      <c r="C2103" s="18">
        <f>'Календарь'!A245</f>
        <v/>
      </c>
      <c r="D2103">
        <f>MONTH(C2103)</f>
        <v/>
      </c>
      <c r="E2103">
        <f>'Календарь'!D245</f>
        <v/>
      </c>
      <c r="F2103">
        <f>INT((C2103-Нед_Начало)/7)+1</f>
        <v/>
      </c>
      <c r="G2103">
        <f>IF(E2103=0,0,INDEX('Планы менеджеров'!$B$5:$M$16,B2103,D2103)/INDEX(Мес_Раб,D2103))</f>
        <v/>
      </c>
    </row>
    <row r="2104">
      <c r="A2104" t="inlineStr">
        <is>
          <t>Морозова</t>
        </is>
      </c>
      <c r="B2104" t="n">
        <v>10</v>
      </c>
      <c r="C2104" s="18">
        <f>'Календарь'!A246</f>
        <v/>
      </c>
      <c r="D2104">
        <f>MONTH(C2104)</f>
        <v/>
      </c>
      <c r="E2104">
        <f>'Календарь'!D246</f>
        <v/>
      </c>
      <c r="F2104">
        <f>INT((C2104-Нед_Начало)/7)+1</f>
        <v/>
      </c>
      <c r="G2104">
        <f>IF(E2104=0,0,INDEX('Планы менеджеров'!$B$5:$M$16,B2104,D2104)/INDEX(Мес_Раб,D2104))</f>
        <v/>
      </c>
    </row>
    <row r="2105">
      <c r="A2105" t="inlineStr">
        <is>
          <t>Морозова</t>
        </is>
      </c>
      <c r="B2105" t="n">
        <v>10</v>
      </c>
      <c r="C2105" s="18">
        <f>'Календарь'!A247</f>
        <v/>
      </c>
      <c r="D2105">
        <f>MONTH(C2105)</f>
        <v/>
      </c>
      <c r="E2105">
        <f>'Календарь'!D247</f>
        <v/>
      </c>
      <c r="F2105">
        <f>INT((C2105-Нед_Начало)/7)+1</f>
        <v/>
      </c>
      <c r="G2105">
        <f>IF(E2105=0,0,INDEX('Планы менеджеров'!$B$5:$M$16,B2105,D2105)/INDEX(Мес_Раб,D2105))</f>
        <v/>
      </c>
    </row>
    <row r="2106">
      <c r="A2106" t="inlineStr">
        <is>
          <t>Морозова</t>
        </is>
      </c>
      <c r="B2106" t="n">
        <v>10</v>
      </c>
      <c r="C2106" s="18">
        <f>'Календарь'!A248</f>
        <v/>
      </c>
      <c r="D2106">
        <f>MONTH(C2106)</f>
        <v/>
      </c>
      <c r="E2106">
        <f>'Календарь'!D248</f>
        <v/>
      </c>
      <c r="F2106">
        <f>INT((C2106-Нед_Начало)/7)+1</f>
        <v/>
      </c>
      <c r="G2106">
        <f>IF(E2106=0,0,INDEX('Планы менеджеров'!$B$5:$M$16,B2106,D2106)/INDEX(Мес_Раб,D2106))</f>
        <v/>
      </c>
    </row>
    <row r="2107">
      <c r="A2107" t="inlineStr">
        <is>
          <t>Морозова</t>
        </is>
      </c>
      <c r="B2107" t="n">
        <v>10</v>
      </c>
      <c r="C2107" s="18">
        <f>'Календарь'!A249</f>
        <v/>
      </c>
      <c r="D2107">
        <f>MONTH(C2107)</f>
        <v/>
      </c>
      <c r="E2107">
        <f>'Календарь'!D249</f>
        <v/>
      </c>
      <c r="F2107">
        <f>INT((C2107-Нед_Начало)/7)+1</f>
        <v/>
      </c>
      <c r="G2107">
        <f>IF(E2107=0,0,INDEX('Планы менеджеров'!$B$5:$M$16,B2107,D2107)/INDEX(Мес_Раб,D2107))</f>
        <v/>
      </c>
    </row>
    <row r="2108">
      <c r="A2108" t="inlineStr">
        <is>
          <t>Морозова</t>
        </is>
      </c>
      <c r="B2108" t="n">
        <v>10</v>
      </c>
      <c r="C2108" s="18">
        <f>'Календарь'!A250</f>
        <v/>
      </c>
      <c r="D2108">
        <f>MONTH(C2108)</f>
        <v/>
      </c>
      <c r="E2108">
        <f>'Календарь'!D250</f>
        <v/>
      </c>
      <c r="F2108">
        <f>INT((C2108-Нед_Начало)/7)+1</f>
        <v/>
      </c>
      <c r="G2108">
        <f>IF(E2108=0,0,INDEX('Планы менеджеров'!$B$5:$M$16,B2108,D2108)/INDEX(Мес_Раб,D2108))</f>
        <v/>
      </c>
    </row>
    <row r="2109">
      <c r="A2109" t="inlineStr">
        <is>
          <t>Морозова</t>
        </is>
      </c>
      <c r="B2109" t="n">
        <v>10</v>
      </c>
      <c r="C2109" s="18">
        <f>'Календарь'!A251</f>
        <v/>
      </c>
      <c r="D2109">
        <f>MONTH(C2109)</f>
        <v/>
      </c>
      <c r="E2109">
        <f>'Календарь'!D251</f>
        <v/>
      </c>
      <c r="F2109">
        <f>INT((C2109-Нед_Начало)/7)+1</f>
        <v/>
      </c>
      <c r="G2109">
        <f>IF(E2109=0,0,INDEX('Планы менеджеров'!$B$5:$M$16,B2109,D2109)/INDEX(Мес_Раб,D2109))</f>
        <v/>
      </c>
    </row>
    <row r="2110">
      <c r="A2110" t="inlineStr">
        <is>
          <t>Морозова</t>
        </is>
      </c>
      <c r="B2110" t="n">
        <v>10</v>
      </c>
      <c r="C2110" s="18">
        <f>'Календарь'!A252</f>
        <v/>
      </c>
      <c r="D2110">
        <f>MONTH(C2110)</f>
        <v/>
      </c>
      <c r="E2110">
        <f>'Календарь'!D252</f>
        <v/>
      </c>
      <c r="F2110">
        <f>INT((C2110-Нед_Начало)/7)+1</f>
        <v/>
      </c>
      <c r="G2110">
        <f>IF(E2110=0,0,INDEX('Планы менеджеров'!$B$5:$M$16,B2110,D2110)/INDEX(Мес_Раб,D2110))</f>
        <v/>
      </c>
    </row>
    <row r="2111">
      <c r="A2111" t="inlineStr">
        <is>
          <t>Морозова</t>
        </is>
      </c>
      <c r="B2111" t="n">
        <v>10</v>
      </c>
      <c r="C2111" s="18">
        <f>'Календарь'!A253</f>
        <v/>
      </c>
      <c r="D2111">
        <f>MONTH(C2111)</f>
        <v/>
      </c>
      <c r="E2111">
        <f>'Календарь'!D253</f>
        <v/>
      </c>
      <c r="F2111">
        <f>INT((C2111-Нед_Начало)/7)+1</f>
        <v/>
      </c>
      <c r="G2111">
        <f>IF(E2111=0,0,INDEX('Планы менеджеров'!$B$5:$M$16,B2111,D2111)/INDEX(Мес_Раб,D2111))</f>
        <v/>
      </c>
    </row>
    <row r="2112">
      <c r="A2112" t="inlineStr">
        <is>
          <t>Морозова</t>
        </is>
      </c>
      <c r="B2112" t="n">
        <v>10</v>
      </c>
      <c r="C2112" s="18">
        <f>'Календарь'!A254</f>
        <v/>
      </c>
      <c r="D2112">
        <f>MONTH(C2112)</f>
        <v/>
      </c>
      <c r="E2112">
        <f>'Календарь'!D254</f>
        <v/>
      </c>
      <c r="F2112">
        <f>INT((C2112-Нед_Начало)/7)+1</f>
        <v/>
      </c>
      <c r="G2112">
        <f>IF(E2112=0,0,INDEX('Планы менеджеров'!$B$5:$M$16,B2112,D2112)/INDEX(Мес_Раб,D2112))</f>
        <v/>
      </c>
    </row>
    <row r="2113">
      <c r="A2113" t="inlineStr">
        <is>
          <t>Морозова</t>
        </is>
      </c>
      <c r="B2113" t="n">
        <v>10</v>
      </c>
      <c r="C2113" s="18">
        <f>'Календарь'!A255</f>
        <v/>
      </c>
      <c r="D2113">
        <f>MONTH(C2113)</f>
        <v/>
      </c>
      <c r="E2113">
        <f>'Календарь'!D255</f>
        <v/>
      </c>
      <c r="F2113">
        <f>INT((C2113-Нед_Начало)/7)+1</f>
        <v/>
      </c>
      <c r="G2113">
        <f>IF(E2113=0,0,INDEX('Планы менеджеров'!$B$5:$M$16,B2113,D2113)/INDEX(Мес_Раб,D2113))</f>
        <v/>
      </c>
    </row>
    <row r="2114">
      <c r="A2114" t="inlineStr">
        <is>
          <t>Морозова</t>
        </is>
      </c>
      <c r="B2114" t="n">
        <v>10</v>
      </c>
      <c r="C2114" s="18">
        <f>'Календарь'!A256</f>
        <v/>
      </c>
      <c r="D2114">
        <f>MONTH(C2114)</f>
        <v/>
      </c>
      <c r="E2114">
        <f>'Календарь'!D256</f>
        <v/>
      </c>
      <c r="F2114">
        <f>INT((C2114-Нед_Начало)/7)+1</f>
        <v/>
      </c>
      <c r="G2114">
        <f>IF(E2114=0,0,INDEX('Планы менеджеров'!$B$5:$M$16,B2114,D2114)/INDEX(Мес_Раб,D2114))</f>
        <v/>
      </c>
    </row>
    <row r="2115">
      <c r="A2115" t="inlineStr">
        <is>
          <t>Морозова</t>
        </is>
      </c>
      <c r="B2115" t="n">
        <v>10</v>
      </c>
      <c r="C2115" s="18">
        <f>'Календарь'!A257</f>
        <v/>
      </c>
      <c r="D2115">
        <f>MONTH(C2115)</f>
        <v/>
      </c>
      <c r="E2115">
        <f>'Календарь'!D257</f>
        <v/>
      </c>
      <c r="F2115">
        <f>INT((C2115-Нед_Начало)/7)+1</f>
        <v/>
      </c>
      <c r="G2115">
        <f>IF(E2115=0,0,INDEX('Планы менеджеров'!$B$5:$M$16,B2115,D2115)/INDEX(Мес_Раб,D2115))</f>
        <v/>
      </c>
    </row>
    <row r="2116">
      <c r="A2116" t="inlineStr">
        <is>
          <t>Морозова</t>
        </is>
      </c>
      <c r="B2116" t="n">
        <v>10</v>
      </c>
      <c r="C2116" s="18">
        <f>'Календарь'!A258</f>
        <v/>
      </c>
      <c r="D2116">
        <f>MONTH(C2116)</f>
        <v/>
      </c>
      <c r="E2116">
        <f>'Календарь'!D258</f>
        <v/>
      </c>
      <c r="F2116">
        <f>INT((C2116-Нед_Начало)/7)+1</f>
        <v/>
      </c>
      <c r="G2116">
        <f>IF(E2116=0,0,INDEX('Планы менеджеров'!$B$5:$M$16,B2116,D2116)/INDEX(Мес_Раб,D2116))</f>
        <v/>
      </c>
    </row>
    <row r="2117">
      <c r="A2117" t="inlineStr">
        <is>
          <t>Морозова</t>
        </is>
      </c>
      <c r="B2117" t="n">
        <v>10</v>
      </c>
      <c r="C2117" s="18">
        <f>'Календарь'!A259</f>
        <v/>
      </c>
      <c r="D2117">
        <f>MONTH(C2117)</f>
        <v/>
      </c>
      <c r="E2117">
        <f>'Календарь'!D259</f>
        <v/>
      </c>
      <c r="F2117">
        <f>INT((C2117-Нед_Начало)/7)+1</f>
        <v/>
      </c>
      <c r="G2117">
        <f>IF(E2117=0,0,INDEX('Планы менеджеров'!$B$5:$M$16,B2117,D2117)/INDEX(Мес_Раб,D2117))</f>
        <v/>
      </c>
    </row>
    <row r="2118">
      <c r="A2118" t="inlineStr">
        <is>
          <t>Морозова</t>
        </is>
      </c>
      <c r="B2118" t="n">
        <v>10</v>
      </c>
      <c r="C2118" s="18">
        <f>'Календарь'!A260</f>
        <v/>
      </c>
      <c r="D2118">
        <f>MONTH(C2118)</f>
        <v/>
      </c>
      <c r="E2118">
        <f>'Календарь'!D260</f>
        <v/>
      </c>
      <c r="F2118">
        <f>INT((C2118-Нед_Начало)/7)+1</f>
        <v/>
      </c>
      <c r="G2118">
        <f>IF(E2118=0,0,INDEX('Планы менеджеров'!$B$5:$M$16,B2118,D2118)/INDEX(Мес_Раб,D2118))</f>
        <v/>
      </c>
    </row>
    <row r="2119">
      <c r="A2119" t="inlineStr">
        <is>
          <t>Морозова</t>
        </is>
      </c>
      <c r="B2119" t="n">
        <v>10</v>
      </c>
      <c r="C2119" s="18">
        <f>'Календарь'!A261</f>
        <v/>
      </c>
      <c r="D2119">
        <f>MONTH(C2119)</f>
        <v/>
      </c>
      <c r="E2119">
        <f>'Календарь'!D261</f>
        <v/>
      </c>
      <c r="F2119">
        <f>INT((C2119-Нед_Начало)/7)+1</f>
        <v/>
      </c>
      <c r="G2119">
        <f>IF(E2119=0,0,INDEX('Планы менеджеров'!$B$5:$M$16,B2119,D2119)/INDEX(Мес_Раб,D2119))</f>
        <v/>
      </c>
    </row>
    <row r="2120">
      <c r="A2120" t="inlineStr">
        <is>
          <t>Морозова</t>
        </is>
      </c>
      <c r="B2120" t="n">
        <v>10</v>
      </c>
      <c r="C2120" s="18">
        <f>'Календарь'!A262</f>
        <v/>
      </c>
      <c r="D2120">
        <f>MONTH(C2120)</f>
        <v/>
      </c>
      <c r="E2120">
        <f>'Календарь'!D262</f>
        <v/>
      </c>
      <c r="F2120">
        <f>INT((C2120-Нед_Начало)/7)+1</f>
        <v/>
      </c>
      <c r="G2120">
        <f>IF(E2120=0,0,INDEX('Планы менеджеров'!$B$5:$M$16,B2120,D2120)/INDEX(Мес_Раб,D2120))</f>
        <v/>
      </c>
    </row>
    <row r="2121">
      <c r="A2121" t="inlineStr">
        <is>
          <t>Морозова</t>
        </is>
      </c>
      <c r="B2121" t="n">
        <v>10</v>
      </c>
      <c r="C2121" s="18">
        <f>'Календарь'!A263</f>
        <v/>
      </c>
      <c r="D2121">
        <f>MONTH(C2121)</f>
        <v/>
      </c>
      <c r="E2121">
        <f>'Календарь'!D263</f>
        <v/>
      </c>
      <c r="F2121">
        <f>INT((C2121-Нед_Начало)/7)+1</f>
        <v/>
      </c>
      <c r="G2121">
        <f>IF(E2121=0,0,INDEX('Планы менеджеров'!$B$5:$M$16,B2121,D2121)/INDEX(Мес_Раб,D2121))</f>
        <v/>
      </c>
    </row>
    <row r="2122">
      <c r="A2122" t="inlineStr">
        <is>
          <t>Морозова</t>
        </is>
      </c>
      <c r="B2122" t="n">
        <v>10</v>
      </c>
      <c r="C2122" s="18">
        <f>'Календарь'!A264</f>
        <v/>
      </c>
      <c r="D2122">
        <f>MONTH(C2122)</f>
        <v/>
      </c>
      <c r="E2122">
        <f>'Календарь'!D264</f>
        <v/>
      </c>
      <c r="F2122">
        <f>INT((C2122-Нед_Начало)/7)+1</f>
        <v/>
      </c>
      <c r="G2122">
        <f>IF(E2122=0,0,INDEX('Планы менеджеров'!$B$5:$M$16,B2122,D2122)/INDEX(Мес_Раб,D2122))</f>
        <v/>
      </c>
    </row>
    <row r="2123">
      <c r="A2123" t="inlineStr">
        <is>
          <t>Морозова</t>
        </is>
      </c>
      <c r="B2123" t="n">
        <v>10</v>
      </c>
      <c r="C2123" s="18">
        <f>'Календарь'!A265</f>
        <v/>
      </c>
      <c r="D2123">
        <f>MONTH(C2123)</f>
        <v/>
      </c>
      <c r="E2123">
        <f>'Календарь'!D265</f>
        <v/>
      </c>
      <c r="F2123">
        <f>INT((C2123-Нед_Начало)/7)+1</f>
        <v/>
      </c>
      <c r="G2123">
        <f>IF(E2123=0,0,INDEX('Планы менеджеров'!$B$5:$M$16,B2123,D2123)/INDEX(Мес_Раб,D2123))</f>
        <v/>
      </c>
    </row>
    <row r="2124">
      <c r="A2124" t="inlineStr">
        <is>
          <t>Морозова</t>
        </is>
      </c>
      <c r="B2124" t="n">
        <v>10</v>
      </c>
      <c r="C2124" s="18">
        <f>'Календарь'!A266</f>
        <v/>
      </c>
      <c r="D2124">
        <f>MONTH(C2124)</f>
        <v/>
      </c>
      <c r="E2124">
        <f>'Календарь'!D266</f>
        <v/>
      </c>
      <c r="F2124">
        <f>INT((C2124-Нед_Начало)/7)+1</f>
        <v/>
      </c>
      <c r="G2124">
        <f>IF(E2124=0,0,INDEX('Планы менеджеров'!$B$5:$M$16,B2124,D2124)/INDEX(Мес_Раб,D2124))</f>
        <v/>
      </c>
    </row>
    <row r="2125">
      <c r="A2125" t="inlineStr">
        <is>
          <t>Морозова</t>
        </is>
      </c>
      <c r="B2125" t="n">
        <v>10</v>
      </c>
      <c r="C2125" s="18">
        <f>'Календарь'!A267</f>
        <v/>
      </c>
      <c r="D2125">
        <f>MONTH(C2125)</f>
        <v/>
      </c>
      <c r="E2125">
        <f>'Календарь'!D267</f>
        <v/>
      </c>
      <c r="F2125">
        <f>INT((C2125-Нед_Начало)/7)+1</f>
        <v/>
      </c>
      <c r="G2125">
        <f>IF(E2125=0,0,INDEX('Планы менеджеров'!$B$5:$M$16,B2125,D2125)/INDEX(Мес_Раб,D2125))</f>
        <v/>
      </c>
    </row>
    <row r="2126">
      <c r="A2126" t="inlineStr">
        <is>
          <t>Морозова</t>
        </is>
      </c>
      <c r="B2126" t="n">
        <v>10</v>
      </c>
      <c r="C2126" s="18">
        <f>'Календарь'!A268</f>
        <v/>
      </c>
      <c r="D2126">
        <f>MONTH(C2126)</f>
        <v/>
      </c>
      <c r="E2126">
        <f>'Календарь'!D268</f>
        <v/>
      </c>
      <c r="F2126">
        <f>INT((C2126-Нед_Начало)/7)+1</f>
        <v/>
      </c>
      <c r="G2126">
        <f>IF(E2126=0,0,INDEX('Планы менеджеров'!$B$5:$M$16,B2126,D2126)/INDEX(Мес_Раб,D2126))</f>
        <v/>
      </c>
    </row>
    <row r="2127">
      <c r="A2127" t="inlineStr">
        <is>
          <t>Морозова</t>
        </is>
      </c>
      <c r="B2127" t="n">
        <v>10</v>
      </c>
      <c r="C2127" s="18">
        <f>'Календарь'!A269</f>
        <v/>
      </c>
      <c r="D2127">
        <f>MONTH(C2127)</f>
        <v/>
      </c>
      <c r="E2127">
        <f>'Календарь'!D269</f>
        <v/>
      </c>
      <c r="F2127">
        <f>INT((C2127-Нед_Начало)/7)+1</f>
        <v/>
      </c>
      <c r="G2127">
        <f>IF(E2127=0,0,INDEX('Планы менеджеров'!$B$5:$M$16,B2127,D2127)/INDEX(Мес_Раб,D2127))</f>
        <v/>
      </c>
    </row>
    <row r="2128">
      <c r="A2128" t="inlineStr">
        <is>
          <t>Морозова</t>
        </is>
      </c>
      <c r="B2128" t="n">
        <v>10</v>
      </c>
      <c r="C2128" s="18">
        <f>'Календарь'!A270</f>
        <v/>
      </c>
      <c r="D2128">
        <f>MONTH(C2128)</f>
        <v/>
      </c>
      <c r="E2128">
        <f>'Календарь'!D270</f>
        <v/>
      </c>
      <c r="F2128">
        <f>INT((C2128-Нед_Начало)/7)+1</f>
        <v/>
      </c>
      <c r="G2128">
        <f>IF(E2128=0,0,INDEX('Планы менеджеров'!$B$5:$M$16,B2128,D2128)/INDEX(Мес_Раб,D2128))</f>
        <v/>
      </c>
    </row>
    <row r="2129">
      <c r="A2129" t="inlineStr">
        <is>
          <t>Морозова</t>
        </is>
      </c>
      <c r="B2129" t="n">
        <v>10</v>
      </c>
      <c r="C2129" s="18">
        <f>'Календарь'!A271</f>
        <v/>
      </c>
      <c r="D2129">
        <f>MONTH(C2129)</f>
        <v/>
      </c>
      <c r="E2129">
        <f>'Календарь'!D271</f>
        <v/>
      </c>
      <c r="F2129">
        <f>INT((C2129-Нед_Начало)/7)+1</f>
        <v/>
      </c>
      <c r="G2129">
        <f>IF(E2129=0,0,INDEX('Планы менеджеров'!$B$5:$M$16,B2129,D2129)/INDEX(Мес_Раб,D2129))</f>
        <v/>
      </c>
    </row>
    <row r="2130">
      <c r="A2130" t="inlineStr">
        <is>
          <t>Морозова</t>
        </is>
      </c>
      <c r="B2130" t="n">
        <v>10</v>
      </c>
      <c r="C2130" s="18">
        <f>'Календарь'!A272</f>
        <v/>
      </c>
      <c r="D2130">
        <f>MONTH(C2130)</f>
        <v/>
      </c>
      <c r="E2130">
        <f>'Календарь'!D272</f>
        <v/>
      </c>
      <c r="F2130">
        <f>INT((C2130-Нед_Начало)/7)+1</f>
        <v/>
      </c>
      <c r="G2130">
        <f>IF(E2130=0,0,INDEX('Планы менеджеров'!$B$5:$M$16,B2130,D2130)/INDEX(Мес_Раб,D2130))</f>
        <v/>
      </c>
    </row>
    <row r="2131">
      <c r="A2131" t="inlineStr">
        <is>
          <t>Морозова</t>
        </is>
      </c>
      <c r="B2131" t="n">
        <v>10</v>
      </c>
      <c r="C2131" s="18">
        <f>'Календарь'!A273</f>
        <v/>
      </c>
      <c r="D2131">
        <f>MONTH(C2131)</f>
        <v/>
      </c>
      <c r="E2131">
        <f>'Календарь'!D273</f>
        <v/>
      </c>
      <c r="F2131">
        <f>INT((C2131-Нед_Начало)/7)+1</f>
        <v/>
      </c>
      <c r="G2131">
        <f>IF(E2131=0,0,INDEX('Планы менеджеров'!$B$5:$M$16,B2131,D2131)/INDEX(Мес_Раб,D2131))</f>
        <v/>
      </c>
    </row>
    <row r="2132">
      <c r="A2132" t="inlineStr">
        <is>
          <t>Морозова</t>
        </is>
      </c>
      <c r="B2132" t="n">
        <v>10</v>
      </c>
      <c r="C2132" s="18">
        <f>'Календарь'!A274</f>
        <v/>
      </c>
      <c r="D2132">
        <f>MONTH(C2132)</f>
        <v/>
      </c>
      <c r="E2132">
        <f>'Календарь'!D274</f>
        <v/>
      </c>
      <c r="F2132">
        <f>INT((C2132-Нед_Начало)/7)+1</f>
        <v/>
      </c>
      <c r="G2132">
        <f>IF(E2132=0,0,INDEX('Планы менеджеров'!$B$5:$M$16,B2132,D2132)/INDEX(Мес_Раб,D2132))</f>
        <v/>
      </c>
    </row>
    <row r="2133">
      <c r="A2133" t="inlineStr">
        <is>
          <t>Морозова</t>
        </is>
      </c>
      <c r="B2133" t="n">
        <v>10</v>
      </c>
      <c r="C2133" s="18">
        <f>'Календарь'!A275</f>
        <v/>
      </c>
      <c r="D2133">
        <f>MONTH(C2133)</f>
        <v/>
      </c>
      <c r="E2133">
        <f>'Календарь'!D275</f>
        <v/>
      </c>
      <c r="F2133">
        <f>INT((C2133-Нед_Начало)/7)+1</f>
        <v/>
      </c>
      <c r="G2133">
        <f>IF(E2133=0,0,INDEX('Планы менеджеров'!$B$5:$M$16,B2133,D2133)/INDEX(Мес_Раб,D2133))</f>
        <v/>
      </c>
    </row>
    <row r="2134">
      <c r="A2134" t="inlineStr">
        <is>
          <t>Морозова</t>
        </is>
      </c>
      <c r="B2134" t="n">
        <v>10</v>
      </c>
      <c r="C2134" s="18">
        <f>'Календарь'!A276</f>
        <v/>
      </c>
      <c r="D2134">
        <f>MONTH(C2134)</f>
        <v/>
      </c>
      <c r="E2134">
        <f>'Календарь'!D276</f>
        <v/>
      </c>
      <c r="F2134">
        <f>INT((C2134-Нед_Начало)/7)+1</f>
        <v/>
      </c>
      <c r="G2134">
        <f>IF(E2134=0,0,INDEX('Планы менеджеров'!$B$5:$M$16,B2134,D2134)/INDEX(Мес_Раб,D2134))</f>
        <v/>
      </c>
    </row>
    <row r="2135">
      <c r="A2135" t="inlineStr">
        <is>
          <t>Морозова</t>
        </is>
      </c>
      <c r="B2135" t="n">
        <v>10</v>
      </c>
      <c r="C2135" s="18">
        <f>'Календарь'!A277</f>
        <v/>
      </c>
      <c r="D2135">
        <f>MONTH(C2135)</f>
        <v/>
      </c>
      <c r="E2135">
        <f>'Календарь'!D277</f>
        <v/>
      </c>
      <c r="F2135">
        <f>INT((C2135-Нед_Начало)/7)+1</f>
        <v/>
      </c>
      <c r="G2135">
        <f>IF(E2135=0,0,INDEX('Планы менеджеров'!$B$5:$M$16,B2135,D2135)/INDEX(Мес_Раб,D2135))</f>
        <v/>
      </c>
    </row>
    <row r="2136">
      <c r="A2136" t="inlineStr">
        <is>
          <t>Морозова</t>
        </is>
      </c>
      <c r="B2136" t="n">
        <v>10</v>
      </c>
      <c r="C2136" s="18">
        <f>'Календарь'!A278</f>
        <v/>
      </c>
      <c r="D2136">
        <f>MONTH(C2136)</f>
        <v/>
      </c>
      <c r="E2136">
        <f>'Календарь'!D278</f>
        <v/>
      </c>
      <c r="F2136">
        <f>INT((C2136-Нед_Начало)/7)+1</f>
        <v/>
      </c>
      <c r="G2136">
        <f>IF(E2136=0,0,INDEX('Планы менеджеров'!$B$5:$M$16,B2136,D2136)/INDEX(Мес_Раб,D2136))</f>
        <v/>
      </c>
    </row>
    <row r="2137">
      <c r="A2137" t="inlineStr">
        <is>
          <t>Морозова</t>
        </is>
      </c>
      <c r="B2137" t="n">
        <v>10</v>
      </c>
      <c r="C2137" s="18">
        <f>'Календарь'!A279</f>
        <v/>
      </c>
      <c r="D2137">
        <f>MONTH(C2137)</f>
        <v/>
      </c>
      <c r="E2137">
        <f>'Календарь'!D279</f>
        <v/>
      </c>
      <c r="F2137">
        <f>INT((C2137-Нед_Начало)/7)+1</f>
        <v/>
      </c>
      <c r="G2137">
        <f>IF(E2137=0,0,INDEX('Планы менеджеров'!$B$5:$M$16,B2137,D2137)/INDEX(Мес_Раб,D2137))</f>
        <v/>
      </c>
    </row>
    <row r="2138">
      <c r="A2138" t="inlineStr">
        <is>
          <t>Морозова</t>
        </is>
      </c>
      <c r="B2138" t="n">
        <v>10</v>
      </c>
      <c r="C2138" s="18">
        <f>'Календарь'!A280</f>
        <v/>
      </c>
      <c r="D2138">
        <f>MONTH(C2138)</f>
        <v/>
      </c>
      <c r="E2138">
        <f>'Календарь'!D280</f>
        <v/>
      </c>
      <c r="F2138">
        <f>INT((C2138-Нед_Начало)/7)+1</f>
        <v/>
      </c>
      <c r="G2138">
        <f>IF(E2138=0,0,INDEX('Планы менеджеров'!$B$5:$M$16,B2138,D2138)/INDEX(Мес_Раб,D2138))</f>
        <v/>
      </c>
    </row>
    <row r="2139">
      <c r="A2139" t="inlineStr">
        <is>
          <t>Морозова</t>
        </is>
      </c>
      <c r="B2139" t="n">
        <v>10</v>
      </c>
      <c r="C2139" s="18">
        <f>'Календарь'!A281</f>
        <v/>
      </c>
      <c r="D2139">
        <f>MONTH(C2139)</f>
        <v/>
      </c>
      <c r="E2139">
        <f>'Календарь'!D281</f>
        <v/>
      </c>
      <c r="F2139">
        <f>INT((C2139-Нед_Начало)/7)+1</f>
        <v/>
      </c>
      <c r="G2139">
        <f>IF(E2139=0,0,INDEX('Планы менеджеров'!$B$5:$M$16,B2139,D2139)/INDEX(Мес_Раб,D2139))</f>
        <v/>
      </c>
    </row>
    <row r="2140">
      <c r="A2140" t="inlineStr">
        <is>
          <t>Морозова</t>
        </is>
      </c>
      <c r="B2140" t="n">
        <v>10</v>
      </c>
      <c r="C2140" s="18">
        <f>'Календарь'!A282</f>
        <v/>
      </c>
      <c r="D2140">
        <f>MONTH(C2140)</f>
        <v/>
      </c>
      <c r="E2140">
        <f>'Календарь'!D282</f>
        <v/>
      </c>
      <c r="F2140">
        <f>INT((C2140-Нед_Начало)/7)+1</f>
        <v/>
      </c>
      <c r="G2140">
        <f>IF(E2140=0,0,INDEX('Планы менеджеров'!$B$5:$M$16,B2140,D2140)/INDEX(Мес_Раб,D2140))</f>
        <v/>
      </c>
    </row>
    <row r="2141">
      <c r="A2141" t="inlineStr">
        <is>
          <t>Морозова</t>
        </is>
      </c>
      <c r="B2141" t="n">
        <v>10</v>
      </c>
      <c r="C2141" s="18">
        <f>'Календарь'!A283</f>
        <v/>
      </c>
      <c r="D2141">
        <f>MONTH(C2141)</f>
        <v/>
      </c>
      <c r="E2141">
        <f>'Календарь'!D283</f>
        <v/>
      </c>
      <c r="F2141">
        <f>INT((C2141-Нед_Начало)/7)+1</f>
        <v/>
      </c>
      <c r="G2141">
        <f>IF(E2141=0,0,INDEX('Планы менеджеров'!$B$5:$M$16,B2141,D2141)/INDEX(Мес_Раб,D2141))</f>
        <v/>
      </c>
    </row>
    <row r="2142">
      <c r="A2142" t="inlineStr">
        <is>
          <t>Морозова</t>
        </is>
      </c>
      <c r="B2142" t="n">
        <v>10</v>
      </c>
      <c r="C2142" s="18">
        <f>'Календарь'!A284</f>
        <v/>
      </c>
      <c r="D2142">
        <f>MONTH(C2142)</f>
        <v/>
      </c>
      <c r="E2142">
        <f>'Календарь'!D284</f>
        <v/>
      </c>
      <c r="F2142">
        <f>INT((C2142-Нед_Начало)/7)+1</f>
        <v/>
      </c>
      <c r="G2142">
        <f>IF(E2142=0,0,INDEX('Планы менеджеров'!$B$5:$M$16,B2142,D2142)/INDEX(Мес_Раб,D2142))</f>
        <v/>
      </c>
    </row>
    <row r="2143">
      <c r="A2143" t="inlineStr">
        <is>
          <t>Морозова</t>
        </is>
      </c>
      <c r="B2143" t="n">
        <v>10</v>
      </c>
      <c r="C2143" s="18">
        <f>'Календарь'!A285</f>
        <v/>
      </c>
      <c r="D2143">
        <f>MONTH(C2143)</f>
        <v/>
      </c>
      <c r="E2143">
        <f>'Календарь'!D285</f>
        <v/>
      </c>
      <c r="F2143">
        <f>INT((C2143-Нед_Начало)/7)+1</f>
        <v/>
      </c>
      <c r="G2143">
        <f>IF(E2143=0,0,INDEX('Планы менеджеров'!$B$5:$M$16,B2143,D2143)/INDEX(Мес_Раб,D2143))</f>
        <v/>
      </c>
    </row>
    <row r="2144">
      <c r="A2144" t="inlineStr">
        <is>
          <t>Морозова</t>
        </is>
      </c>
      <c r="B2144" t="n">
        <v>10</v>
      </c>
      <c r="C2144" s="18">
        <f>'Календарь'!A286</f>
        <v/>
      </c>
      <c r="D2144">
        <f>MONTH(C2144)</f>
        <v/>
      </c>
      <c r="E2144">
        <f>'Календарь'!D286</f>
        <v/>
      </c>
      <c r="F2144">
        <f>INT((C2144-Нед_Начало)/7)+1</f>
        <v/>
      </c>
      <c r="G2144">
        <f>IF(E2144=0,0,INDEX('Планы менеджеров'!$B$5:$M$16,B2144,D2144)/INDEX(Мес_Раб,D2144))</f>
        <v/>
      </c>
    </row>
    <row r="2145">
      <c r="A2145" t="inlineStr">
        <is>
          <t>Морозова</t>
        </is>
      </c>
      <c r="B2145" t="n">
        <v>10</v>
      </c>
      <c r="C2145" s="18">
        <f>'Календарь'!A287</f>
        <v/>
      </c>
      <c r="D2145">
        <f>MONTH(C2145)</f>
        <v/>
      </c>
      <c r="E2145">
        <f>'Календарь'!D287</f>
        <v/>
      </c>
      <c r="F2145">
        <f>INT((C2145-Нед_Начало)/7)+1</f>
        <v/>
      </c>
      <c r="G2145">
        <f>IF(E2145=0,0,INDEX('Планы менеджеров'!$B$5:$M$16,B2145,D2145)/INDEX(Мес_Раб,D2145))</f>
        <v/>
      </c>
    </row>
    <row r="2146">
      <c r="A2146" t="inlineStr">
        <is>
          <t>Морозова</t>
        </is>
      </c>
      <c r="B2146" t="n">
        <v>10</v>
      </c>
      <c r="C2146" s="18">
        <f>'Календарь'!A288</f>
        <v/>
      </c>
      <c r="D2146">
        <f>MONTH(C2146)</f>
        <v/>
      </c>
      <c r="E2146">
        <f>'Календарь'!D288</f>
        <v/>
      </c>
      <c r="F2146">
        <f>INT((C2146-Нед_Начало)/7)+1</f>
        <v/>
      </c>
      <c r="G2146">
        <f>IF(E2146=0,0,INDEX('Планы менеджеров'!$B$5:$M$16,B2146,D2146)/INDEX(Мес_Раб,D2146))</f>
        <v/>
      </c>
    </row>
    <row r="2147">
      <c r="A2147" t="inlineStr">
        <is>
          <t>Морозова</t>
        </is>
      </c>
      <c r="B2147" t="n">
        <v>10</v>
      </c>
      <c r="C2147" s="18">
        <f>'Календарь'!A289</f>
        <v/>
      </c>
      <c r="D2147">
        <f>MONTH(C2147)</f>
        <v/>
      </c>
      <c r="E2147">
        <f>'Календарь'!D289</f>
        <v/>
      </c>
      <c r="F2147">
        <f>INT((C2147-Нед_Начало)/7)+1</f>
        <v/>
      </c>
      <c r="G2147">
        <f>IF(E2147=0,0,INDEX('Планы менеджеров'!$B$5:$M$16,B2147,D2147)/INDEX(Мес_Раб,D2147))</f>
        <v/>
      </c>
    </row>
    <row r="2148">
      <c r="A2148" t="inlineStr">
        <is>
          <t>Морозова</t>
        </is>
      </c>
      <c r="B2148" t="n">
        <v>10</v>
      </c>
      <c r="C2148" s="18">
        <f>'Календарь'!A290</f>
        <v/>
      </c>
      <c r="D2148">
        <f>MONTH(C2148)</f>
        <v/>
      </c>
      <c r="E2148">
        <f>'Календарь'!D290</f>
        <v/>
      </c>
      <c r="F2148">
        <f>INT((C2148-Нед_Начало)/7)+1</f>
        <v/>
      </c>
      <c r="G2148">
        <f>IF(E2148=0,0,INDEX('Планы менеджеров'!$B$5:$M$16,B2148,D2148)/INDEX(Мес_Раб,D2148))</f>
        <v/>
      </c>
    </row>
    <row r="2149">
      <c r="A2149" t="inlineStr">
        <is>
          <t>Морозова</t>
        </is>
      </c>
      <c r="B2149" t="n">
        <v>10</v>
      </c>
      <c r="C2149" s="18">
        <f>'Календарь'!A291</f>
        <v/>
      </c>
      <c r="D2149">
        <f>MONTH(C2149)</f>
        <v/>
      </c>
      <c r="E2149">
        <f>'Календарь'!D291</f>
        <v/>
      </c>
      <c r="F2149">
        <f>INT((C2149-Нед_Начало)/7)+1</f>
        <v/>
      </c>
      <c r="G2149">
        <f>IF(E2149=0,0,INDEX('Планы менеджеров'!$B$5:$M$16,B2149,D2149)/INDEX(Мес_Раб,D2149))</f>
        <v/>
      </c>
    </row>
    <row r="2150">
      <c r="A2150" t="inlineStr">
        <is>
          <t>Морозова</t>
        </is>
      </c>
      <c r="B2150" t="n">
        <v>10</v>
      </c>
      <c r="C2150" s="18">
        <f>'Календарь'!A292</f>
        <v/>
      </c>
      <c r="D2150">
        <f>MONTH(C2150)</f>
        <v/>
      </c>
      <c r="E2150">
        <f>'Календарь'!D292</f>
        <v/>
      </c>
      <c r="F2150">
        <f>INT((C2150-Нед_Начало)/7)+1</f>
        <v/>
      </c>
      <c r="G2150">
        <f>IF(E2150=0,0,INDEX('Планы менеджеров'!$B$5:$M$16,B2150,D2150)/INDEX(Мес_Раб,D2150))</f>
        <v/>
      </c>
    </row>
    <row r="2151">
      <c r="A2151" t="inlineStr">
        <is>
          <t>Морозова</t>
        </is>
      </c>
      <c r="B2151" t="n">
        <v>10</v>
      </c>
      <c r="C2151" s="18">
        <f>'Календарь'!A293</f>
        <v/>
      </c>
      <c r="D2151">
        <f>MONTH(C2151)</f>
        <v/>
      </c>
      <c r="E2151">
        <f>'Календарь'!D293</f>
        <v/>
      </c>
      <c r="F2151">
        <f>INT((C2151-Нед_Начало)/7)+1</f>
        <v/>
      </c>
      <c r="G2151">
        <f>IF(E2151=0,0,INDEX('Планы менеджеров'!$B$5:$M$16,B2151,D2151)/INDEX(Мес_Раб,D2151))</f>
        <v/>
      </c>
    </row>
    <row r="2152">
      <c r="A2152" t="inlineStr">
        <is>
          <t>Морозова</t>
        </is>
      </c>
      <c r="B2152" t="n">
        <v>10</v>
      </c>
      <c r="C2152" s="18">
        <f>'Календарь'!A294</f>
        <v/>
      </c>
      <c r="D2152">
        <f>MONTH(C2152)</f>
        <v/>
      </c>
      <c r="E2152">
        <f>'Календарь'!D294</f>
        <v/>
      </c>
      <c r="F2152">
        <f>INT((C2152-Нед_Начало)/7)+1</f>
        <v/>
      </c>
      <c r="G2152">
        <f>IF(E2152=0,0,INDEX('Планы менеджеров'!$B$5:$M$16,B2152,D2152)/INDEX(Мес_Раб,D2152))</f>
        <v/>
      </c>
    </row>
    <row r="2153">
      <c r="A2153" t="inlineStr">
        <is>
          <t>Морозова</t>
        </is>
      </c>
      <c r="B2153" t="n">
        <v>10</v>
      </c>
      <c r="C2153" s="18">
        <f>'Календарь'!A295</f>
        <v/>
      </c>
      <c r="D2153">
        <f>MONTH(C2153)</f>
        <v/>
      </c>
      <c r="E2153">
        <f>'Календарь'!D295</f>
        <v/>
      </c>
      <c r="F2153">
        <f>INT((C2153-Нед_Начало)/7)+1</f>
        <v/>
      </c>
      <c r="G2153">
        <f>IF(E2153=0,0,INDEX('Планы менеджеров'!$B$5:$M$16,B2153,D2153)/INDEX(Мес_Раб,D2153))</f>
        <v/>
      </c>
    </row>
    <row r="2154">
      <c r="A2154" t="inlineStr">
        <is>
          <t>Морозова</t>
        </is>
      </c>
      <c r="B2154" t="n">
        <v>10</v>
      </c>
      <c r="C2154" s="18">
        <f>'Календарь'!A296</f>
        <v/>
      </c>
      <c r="D2154">
        <f>MONTH(C2154)</f>
        <v/>
      </c>
      <c r="E2154">
        <f>'Календарь'!D296</f>
        <v/>
      </c>
      <c r="F2154">
        <f>INT((C2154-Нед_Начало)/7)+1</f>
        <v/>
      </c>
      <c r="G2154">
        <f>IF(E2154=0,0,INDEX('Планы менеджеров'!$B$5:$M$16,B2154,D2154)/INDEX(Мес_Раб,D2154))</f>
        <v/>
      </c>
    </row>
    <row r="2155">
      <c r="A2155" t="inlineStr">
        <is>
          <t>Морозова</t>
        </is>
      </c>
      <c r="B2155" t="n">
        <v>10</v>
      </c>
      <c r="C2155" s="18">
        <f>'Календарь'!A297</f>
        <v/>
      </c>
      <c r="D2155">
        <f>MONTH(C2155)</f>
        <v/>
      </c>
      <c r="E2155">
        <f>'Календарь'!D297</f>
        <v/>
      </c>
      <c r="F2155">
        <f>INT((C2155-Нед_Начало)/7)+1</f>
        <v/>
      </c>
      <c r="G2155">
        <f>IF(E2155=0,0,INDEX('Планы менеджеров'!$B$5:$M$16,B2155,D2155)/INDEX(Мес_Раб,D2155))</f>
        <v/>
      </c>
    </row>
    <row r="2156">
      <c r="A2156" t="inlineStr">
        <is>
          <t>Морозова</t>
        </is>
      </c>
      <c r="B2156" t="n">
        <v>10</v>
      </c>
      <c r="C2156" s="18">
        <f>'Календарь'!A298</f>
        <v/>
      </c>
      <c r="D2156">
        <f>MONTH(C2156)</f>
        <v/>
      </c>
      <c r="E2156">
        <f>'Календарь'!D298</f>
        <v/>
      </c>
      <c r="F2156">
        <f>INT((C2156-Нед_Начало)/7)+1</f>
        <v/>
      </c>
      <c r="G2156">
        <f>IF(E2156=0,0,INDEX('Планы менеджеров'!$B$5:$M$16,B2156,D2156)/INDEX(Мес_Раб,D2156))</f>
        <v/>
      </c>
    </row>
    <row r="2157">
      <c r="A2157" t="inlineStr">
        <is>
          <t>Морозова</t>
        </is>
      </c>
      <c r="B2157" t="n">
        <v>10</v>
      </c>
      <c r="C2157" s="18">
        <f>'Календарь'!A299</f>
        <v/>
      </c>
      <c r="D2157">
        <f>MONTH(C2157)</f>
        <v/>
      </c>
      <c r="E2157">
        <f>'Календарь'!D299</f>
        <v/>
      </c>
      <c r="F2157">
        <f>INT((C2157-Нед_Начало)/7)+1</f>
        <v/>
      </c>
      <c r="G2157">
        <f>IF(E2157=0,0,INDEX('Планы менеджеров'!$B$5:$M$16,B2157,D2157)/INDEX(Мес_Раб,D2157))</f>
        <v/>
      </c>
    </row>
    <row r="2158">
      <c r="A2158" t="inlineStr">
        <is>
          <t>Морозова</t>
        </is>
      </c>
      <c r="B2158" t="n">
        <v>10</v>
      </c>
      <c r="C2158" s="18">
        <f>'Календарь'!A300</f>
        <v/>
      </c>
      <c r="D2158">
        <f>MONTH(C2158)</f>
        <v/>
      </c>
      <c r="E2158">
        <f>'Календарь'!D300</f>
        <v/>
      </c>
      <c r="F2158">
        <f>INT((C2158-Нед_Начало)/7)+1</f>
        <v/>
      </c>
      <c r="G2158">
        <f>IF(E2158=0,0,INDEX('Планы менеджеров'!$B$5:$M$16,B2158,D2158)/INDEX(Мес_Раб,D2158))</f>
        <v/>
      </c>
    </row>
    <row r="2159">
      <c r="A2159" t="inlineStr">
        <is>
          <t>Морозова</t>
        </is>
      </c>
      <c r="B2159" t="n">
        <v>10</v>
      </c>
      <c r="C2159" s="18">
        <f>'Календарь'!A301</f>
        <v/>
      </c>
      <c r="D2159">
        <f>MONTH(C2159)</f>
        <v/>
      </c>
      <c r="E2159">
        <f>'Календарь'!D301</f>
        <v/>
      </c>
      <c r="F2159">
        <f>INT((C2159-Нед_Начало)/7)+1</f>
        <v/>
      </c>
      <c r="G2159">
        <f>IF(E2159=0,0,INDEX('Планы менеджеров'!$B$5:$M$16,B2159,D2159)/INDEX(Мес_Раб,D2159))</f>
        <v/>
      </c>
    </row>
    <row r="2160">
      <c r="A2160" t="inlineStr">
        <is>
          <t>Морозова</t>
        </is>
      </c>
      <c r="B2160" t="n">
        <v>10</v>
      </c>
      <c r="C2160" s="18">
        <f>'Календарь'!A302</f>
        <v/>
      </c>
      <c r="D2160">
        <f>MONTH(C2160)</f>
        <v/>
      </c>
      <c r="E2160">
        <f>'Календарь'!D302</f>
        <v/>
      </c>
      <c r="F2160">
        <f>INT((C2160-Нед_Начало)/7)+1</f>
        <v/>
      </c>
      <c r="G2160">
        <f>IF(E2160=0,0,INDEX('Планы менеджеров'!$B$5:$M$16,B2160,D2160)/INDEX(Мес_Раб,D2160))</f>
        <v/>
      </c>
    </row>
    <row r="2161">
      <c r="A2161" t="inlineStr">
        <is>
          <t>Морозова</t>
        </is>
      </c>
      <c r="B2161" t="n">
        <v>10</v>
      </c>
      <c r="C2161" s="18">
        <f>'Календарь'!A303</f>
        <v/>
      </c>
      <c r="D2161">
        <f>MONTH(C2161)</f>
        <v/>
      </c>
      <c r="E2161">
        <f>'Календарь'!D303</f>
        <v/>
      </c>
      <c r="F2161">
        <f>INT((C2161-Нед_Начало)/7)+1</f>
        <v/>
      </c>
      <c r="G2161">
        <f>IF(E2161=0,0,INDEX('Планы менеджеров'!$B$5:$M$16,B2161,D2161)/INDEX(Мес_Раб,D2161))</f>
        <v/>
      </c>
    </row>
    <row r="2162">
      <c r="A2162" t="inlineStr">
        <is>
          <t>Морозова</t>
        </is>
      </c>
      <c r="B2162" t="n">
        <v>10</v>
      </c>
      <c r="C2162" s="18">
        <f>'Календарь'!A304</f>
        <v/>
      </c>
      <c r="D2162">
        <f>MONTH(C2162)</f>
        <v/>
      </c>
      <c r="E2162">
        <f>'Календарь'!D304</f>
        <v/>
      </c>
      <c r="F2162">
        <f>INT((C2162-Нед_Начало)/7)+1</f>
        <v/>
      </c>
      <c r="G2162">
        <f>IF(E2162=0,0,INDEX('Планы менеджеров'!$B$5:$M$16,B2162,D2162)/INDEX(Мес_Раб,D2162))</f>
        <v/>
      </c>
    </row>
    <row r="2163">
      <c r="A2163" t="inlineStr">
        <is>
          <t>Морозова</t>
        </is>
      </c>
      <c r="B2163" t="n">
        <v>10</v>
      </c>
      <c r="C2163" s="18">
        <f>'Календарь'!A305</f>
        <v/>
      </c>
      <c r="D2163">
        <f>MONTH(C2163)</f>
        <v/>
      </c>
      <c r="E2163">
        <f>'Календарь'!D305</f>
        <v/>
      </c>
      <c r="F2163">
        <f>INT((C2163-Нед_Начало)/7)+1</f>
        <v/>
      </c>
      <c r="G2163">
        <f>IF(E2163=0,0,INDEX('Планы менеджеров'!$B$5:$M$16,B2163,D2163)/INDEX(Мес_Раб,D2163))</f>
        <v/>
      </c>
    </row>
    <row r="2164">
      <c r="A2164" t="inlineStr">
        <is>
          <t>Морозова</t>
        </is>
      </c>
      <c r="B2164" t="n">
        <v>10</v>
      </c>
      <c r="C2164" s="18">
        <f>'Календарь'!A306</f>
        <v/>
      </c>
      <c r="D2164">
        <f>MONTH(C2164)</f>
        <v/>
      </c>
      <c r="E2164">
        <f>'Календарь'!D306</f>
        <v/>
      </c>
      <c r="F2164">
        <f>INT((C2164-Нед_Начало)/7)+1</f>
        <v/>
      </c>
      <c r="G2164">
        <f>IF(E2164=0,0,INDEX('Планы менеджеров'!$B$5:$M$16,B2164,D2164)/INDEX(Мес_Раб,D2164))</f>
        <v/>
      </c>
    </row>
    <row r="2165">
      <c r="A2165" t="inlineStr">
        <is>
          <t>Морозова</t>
        </is>
      </c>
      <c r="B2165" t="n">
        <v>10</v>
      </c>
      <c r="C2165" s="18">
        <f>'Календарь'!A307</f>
        <v/>
      </c>
      <c r="D2165">
        <f>MONTH(C2165)</f>
        <v/>
      </c>
      <c r="E2165">
        <f>'Календарь'!D307</f>
        <v/>
      </c>
      <c r="F2165">
        <f>INT((C2165-Нед_Начало)/7)+1</f>
        <v/>
      </c>
      <c r="G2165">
        <f>IF(E2165=0,0,INDEX('Планы менеджеров'!$B$5:$M$16,B2165,D2165)/INDEX(Мес_Раб,D2165))</f>
        <v/>
      </c>
    </row>
    <row r="2166">
      <c r="A2166" t="inlineStr">
        <is>
          <t>Морозова</t>
        </is>
      </c>
      <c r="B2166" t="n">
        <v>10</v>
      </c>
      <c r="C2166" s="18">
        <f>'Календарь'!A308</f>
        <v/>
      </c>
      <c r="D2166">
        <f>MONTH(C2166)</f>
        <v/>
      </c>
      <c r="E2166">
        <f>'Календарь'!D308</f>
        <v/>
      </c>
      <c r="F2166">
        <f>INT((C2166-Нед_Начало)/7)+1</f>
        <v/>
      </c>
      <c r="G2166">
        <f>IF(E2166=0,0,INDEX('Планы менеджеров'!$B$5:$M$16,B2166,D2166)/INDEX(Мес_Раб,D2166))</f>
        <v/>
      </c>
    </row>
    <row r="2167">
      <c r="A2167" t="inlineStr">
        <is>
          <t>Морозова</t>
        </is>
      </c>
      <c r="B2167" t="n">
        <v>10</v>
      </c>
      <c r="C2167" s="18">
        <f>'Календарь'!A309</f>
        <v/>
      </c>
      <c r="D2167">
        <f>MONTH(C2167)</f>
        <v/>
      </c>
      <c r="E2167">
        <f>'Календарь'!D309</f>
        <v/>
      </c>
      <c r="F2167">
        <f>INT((C2167-Нед_Начало)/7)+1</f>
        <v/>
      </c>
      <c r="G2167">
        <f>IF(E2167=0,0,INDEX('Планы менеджеров'!$B$5:$M$16,B2167,D2167)/INDEX(Мес_Раб,D2167))</f>
        <v/>
      </c>
    </row>
    <row r="2168">
      <c r="A2168" t="inlineStr">
        <is>
          <t>Морозова</t>
        </is>
      </c>
      <c r="B2168" t="n">
        <v>10</v>
      </c>
      <c r="C2168" s="18">
        <f>'Календарь'!A310</f>
        <v/>
      </c>
      <c r="D2168">
        <f>MONTH(C2168)</f>
        <v/>
      </c>
      <c r="E2168">
        <f>'Календарь'!D310</f>
        <v/>
      </c>
      <c r="F2168">
        <f>INT((C2168-Нед_Начало)/7)+1</f>
        <v/>
      </c>
      <c r="G2168">
        <f>IF(E2168=0,0,INDEX('Планы менеджеров'!$B$5:$M$16,B2168,D2168)/INDEX(Мес_Раб,D2168))</f>
        <v/>
      </c>
    </row>
    <row r="2169">
      <c r="A2169" t="inlineStr">
        <is>
          <t>Морозова</t>
        </is>
      </c>
      <c r="B2169" t="n">
        <v>10</v>
      </c>
      <c r="C2169" s="18">
        <f>'Календарь'!A311</f>
        <v/>
      </c>
      <c r="D2169">
        <f>MONTH(C2169)</f>
        <v/>
      </c>
      <c r="E2169">
        <f>'Календарь'!D311</f>
        <v/>
      </c>
      <c r="F2169">
        <f>INT((C2169-Нед_Начало)/7)+1</f>
        <v/>
      </c>
      <c r="G2169">
        <f>IF(E2169=0,0,INDEX('Планы менеджеров'!$B$5:$M$16,B2169,D2169)/INDEX(Мес_Раб,D2169))</f>
        <v/>
      </c>
    </row>
    <row r="2170">
      <c r="A2170" t="inlineStr">
        <is>
          <t>Морозова</t>
        </is>
      </c>
      <c r="B2170" t="n">
        <v>10</v>
      </c>
      <c r="C2170" s="18">
        <f>'Календарь'!A312</f>
        <v/>
      </c>
      <c r="D2170">
        <f>MONTH(C2170)</f>
        <v/>
      </c>
      <c r="E2170">
        <f>'Календарь'!D312</f>
        <v/>
      </c>
      <c r="F2170">
        <f>INT((C2170-Нед_Начало)/7)+1</f>
        <v/>
      </c>
      <c r="G2170">
        <f>IF(E2170=0,0,INDEX('Планы менеджеров'!$B$5:$M$16,B2170,D2170)/INDEX(Мес_Раб,D2170))</f>
        <v/>
      </c>
    </row>
    <row r="2171">
      <c r="A2171" t="inlineStr">
        <is>
          <t>Морозова</t>
        </is>
      </c>
      <c r="B2171" t="n">
        <v>10</v>
      </c>
      <c r="C2171" s="18">
        <f>'Календарь'!A313</f>
        <v/>
      </c>
      <c r="D2171">
        <f>MONTH(C2171)</f>
        <v/>
      </c>
      <c r="E2171">
        <f>'Календарь'!D313</f>
        <v/>
      </c>
      <c r="F2171">
        <f>INT((C2171-Нед_Начало)/7)+1</f>
        <v/>
      </c>
      <c r="G2171">
        <f>IF(E2171=0,0,INDEX('Планы менеджеров'!$B$5:$M$16,B2171,D2171)/INDEX(Мес_Раб,D2171))</f>
        <v/>
      </c>
    </row>
    <row r="2172">
      <c r="A2172" t="inlineStr">
        <is>
          <t>Морозова</t>
        </is>
      </c>
      <c r="B2172" t="n">
        <v>10</v>
      </c>
      <c r="C2172" s="18">
        <f>'Календарь'!A314</f>
        <v/>
      </c>
      <c r="D2172">
        <f>MONTH(C2172)</f>
        <v/>
      </c>
      <c r="E2172">
        <f>'Календарь'!D314</f>
        <v/>
      </c>
      <c r="F2172">
        <f>INT((C2172-Нед_Начало)/7)+1</f>
        <v/>
      </c>
      <c r="G2172">
        <f>IF(E2172=0,0,INDEX('Планы менеджеров'!$B$5:$M$16,B2172,D2172)/INDEX(Мес_Раб,D2172))</f>
        <v/>
      </c>
    </row>
    <row r="2173">
      <c r="A2173" t="inlineStr">
        <is>
          <t>Морозова</t>
        </is>
      </c>
      <c r="B2173" t="n">
        <v>10</v>
      </c>
      <c r="C2173" s="18">
        <f>'Календарь'!A315</f>
        <v/>
      </c>
      <c r="D2173">
        <f>MONTH(C2173)</f>
        <v/>
      </c>
      <c r="E2173">
        <f>'Календарь'!D315</f>
        <v/>
      </c>
      <c r="F2173">
        <f>INT((C2173-Нед_Начало)/7)+1</f>
        <v/>
      </c>
      <c r="G2173">
        <f>IF(E2173=0,0,INDEX('Планы менеджеров'!$B$5:$M$16,B2173,D2173)/INDEX(Мес_Раб,D2173))</f>
        <v/>
      </c>
    </row>
    <row r="2174">
      <c r="A2174" t="inlineStr">
        <is>
          <t>Морозова</t>
        </is>
      </c>
      <c r="B2174" t="n">
        <v>10</v>
      </c>
      <c r="C2174" s="18">
        <f>'Календарь'!A316</f>
        <v/>
      </c>
      <c r="D2174">
        <f>MONTH(C2174)</f>
        <v/>
      </c>
      <c r="E2174">
        <f>'Календарь'!D316</f>
        <v/>
      </c>
      <c r="F2174">
        <f>INT((C2174-Нед_Начало)/7)+1</f>
        <v/>
      </c>
      <c r="G2174">
        <f>IF(E2174=0,0,INDEX('Планы менеджеров'!$B$5:$M$16,B2174,D2174)/INDEX(Мес_Раб,D2174))</f>
        <v/>
      </c>
    </row>
    <row r="2175">
      <c r="A2175" t="inlineStr">
        <is>
          <t>Морозова</t>
        </is>
      </c>
      <c r="B2175" t="n">
        <v>10</v>
      </c>
      <c r="C2175" s="18">
        <f>'Календарь'!A317</f>
        <v/>
      </c>
      <c r="D2175">
        <f>MONTH(C2175)</f>
        <v/>
      </c>
      <c r="E2175">
        <f>'Календарь'!D317</f>
        <v/>
      </c>
      <c r="F2175">
        <f>INT((C2175-Нед_Начало)/7)+1</f>
        <v/>
      </c>
      <c r="G2175">
        <f>IF(E2175=0,0,INDEX('Планы менеджеров'!$B$5:$M$16,B2175,D2175)/INDEX(Мес_Раб,D2175))</f>
        <v/>
      </c>
    </row>
    <row r="2176">
      <c r="A2176" t="inlineStr">
        <is>
          <t>Морозова</t>
        </is>
      </c>
      <c r="B2176" t="n">
        <v>10</v>
      </c>
      <c r="C2176" s="18">
        <f>'Календарь'!A318</f>
        <v/>
      </c>
      <c r="D2176">
        <f>MONTH(C2176)</f>
        <v/>
      </c>
      <c r="E2176">
        <f>'Календарь'!D318</f>
        <v/>
      </c>
      <c r="F2176">
        <f>INT((C2176-Нед_Начало)/7)+1</f>
        <v/>
      </c>
      <c r="G2176">
        <f>IF(E2176=0,0,INDEX('Планы менеджеров'!$B$5:$M$16,B2176,D2176)/INDEX(Мес_Раб,D2176))</f>
        <v/>
      </c>
    </row>
    <row r="2177">
      <c r="A2177" t="inlineStr">
        <is>
          <t>Морозова</t>
        </is>
      </c>
      <c r="B2177" t="n">
        <v>10</v>
      </c>
      <c r="C2177" s="18">
        <f>'Календарь'!A319</f>
        <v/>
      </c>
      <c r="D2177">
        <f>MONTH(C2177)</f>
        <v/>
      </c>
      <c r="E2177">
        <f>'Календарь'!D319</f>
        <v/>
      </c>
      <c r="F2177">
        <f>INT((C2177-Нед_Начало)/7)+1</f>
        <v/>
      </c>
      <c r="G2177">
        <f>IF(E2177=0,0,INDEX('Планы менеджеров'!$B$5:$M$16,B2177,D2177)/INDEX(Мес_Раб,D2177))</f>
        <v/>
      </c>
    </row>
    <row r="2178">
      <c r="A2178" t="inlineStr">
        <is>
          <t>Морозова</t>
        </is>
      </c>
      <c r="B2178" t="n">
        <v>10</v>
      </c>
      <c r="C2178" s="18">
        <f>'Календарь'!A320</f>
        <v/>
      </c>
      <c r="D2178">
        <f>MONTH(C2178)</f>
        <v/>
      </c>
      <c r="E2178">
        <f>'Календарь'!D320</f>
        <v/>
      </c>
      <c r="F2178">
        <f>INT((C2178-Нед_Начало)/7)+1</f>
        <v/>
      </c>
      <c r="G2178">
        <f>IF(E2178=0,0,INDEX('Планы менеджеров'!$B$5:$M$16,B2178,D2178)/INDEX(Мес_Раб,D2178))</f>
        <v/>
      </c>
    </row>
    <row r="2179">
      <c r="A2179" t="inlineStr">
        <is>
          <t>Морозова</t>
        </is>
      </c>
      <c r="B2179" t="n">
        <v>10</v>
      </c>
      <c r="C2179" s="18">
        <f>'Календарь'!A321</f>
        <v/>
      </c>
      <c r="D2179">
        <f>MONTH(C2179)</f>
        <v/>
      </c>
      <c r="E2179">
        <f>'Календарь'!D321</f>
        <v/>
      </c>
      <c r="F2179">
        <f>INT((C2179-Нед_Начало)/7)+1</f>
        <v/>
      </c>
      <c r="G2179">
        <f>IF(E2179=0,0,INDEX('Планы менеджеров'!$B$5:$M$16,B2179,D2179)/INDEX(Мес_Раб,D2179))</f>
        <v/>
      </c>
    </row>
    <row r="2180">
      <c r="A2180" t="inlineStr">
        <is>
          <t>Морозова</t>
        </is>
      </c>
      <c r="B2180" t="n">
        <v>10</v>
      </c>
      <c r="C2180" s="18">
        <f>'Календарь'!A322</f>
        <v/>
      </c>
      <c r="D2180">
        <f>MONTH(C2180)</f>
        <v/>
      </c>
      <c r="E2180">
        <f>'Календарь'!D322</f>
        <v/>
      </c>
      <c r="F2180">
        <f>INT((C2180-Нед_Начало)/7)+1</f>
        <v/>
      </c>
      <c r="G2180">
        <f>IF(E2180=0,0,INDEX('Планы менеджеров'!$B$5:$M$16,B2180,D2180)/INDEX(Мес_Раб,D2180))</f>
        <v/>
      </c>
    </row>
    <row r="2181">
      <c r="A2181" t="inlineStr">
        <is>
          <t>Морозова</t>
        </is>
      </c>
      <c r="B2181" t="n">
        <v>10</v>
      </c>
      <c r="C2181" s="18">
        <f>'Календарь'!A323</f>
        <v/>
      </c>
      <c r="D2181">
        <f>MONTH(C2181)</f>
        <v/>
      </c>
      <c r="E2181">
        <f>'Календарь'!D323</f>
        <v/>
      </c>
      <c r="F2181">
        <f>INT((C2181-Нед_Начало)/7)+1</f>
        <v/>
      </c>
      <c r="G2181">
        <f>IF(E2181=0,0,INDEX('Планы менеджеров'!$B$5:$M$16,B2181,D2181)/INDEX(Мес_Раб,D2181))</f>
        <v/>
      </c>
    </row>
    <row r="2182">
      <c r="A2182" t="inlineStr">
        <is>
          <t>Морозова</t>
        </is>
      </c>
      <c r="B2182" t="n">
        <v>10</v>
      </c>
      <c r="C2182" s="18">
        <f>'Календарь'!A324</f>
        <v/>
      </c>
      <c r="D2182">
        <f>MONTH(C2182)</f>
        <v/>
      </c>
      <c r="E2182">
        <f>'Календарь'!D324</f>
        <v/>
      </c>
      <c r="F2182">
        <f>INT((C2182-Нед_Начало)/7)+1</f>
        <v/>
      </c>
      <c r="G2182">
        <f>IF(E2182=0,0,INDEX('Планы менеджеров'!$B$5:$M$16,B2182,D2182)/INDEX(Мес_Раб,D2182))</f>
        <v/>
      </c>
    </row>
    <row r="2183">
      <c r="A2183" t="inlineStr">
        <is>
          <t>Морозова</t>
        </is>
      </c>
      <c r="B2183" t="n">
        <v>10</v>
      </c>
      <c r="C2183" s="18">
        <f>'Календарь'!A325</f>
        <v/>
      </c>
      <c r="D2183">
        <f>MONTH(C2183)</f>
        <v/>
      </c>
      <c r="E2183">
        <f>'Календарь'!D325</f>
        <v/>
      </c>
      <c r="F2183">
        <f>INT((C2183-Нед_Начало)/7)+1</f>
        <v/>
      </c>
      <c r="G2183">
        <f>IF(E2183=0,0,INDEX('Планы менеджеров'!$B$5:$M$16,B2183,D2183)/INDEX(Мес_Раб,D2183))</f>
        <v/>
      </c>
    </row>
    <row r="2184">
      <c r="A2184" t="inlineStr">
        <is>
          <t>Морозова</t>
        </is>
      </c>
      <c r="B2184" t="n">
        <v>10</v>
      </c>
      <c r="C2184" s="18">
        <f>'Календарь'!A326</f>
        <v/>
      </c>
      <c r="D2184">
        <f>MONTH(C2184)</f>
        <v/>
      </c>
      <c r="E2184">
        <f>'Календарь'!D326</f>
        <v/>
      </c>
      <c r="F2184">
        <f>INT((C2184-Нед_Начало)/7)+1</f>
        <v/>
      </c>
      <c r="G2184">
        <f>IF(E2184=0,0,INDEX('Планы менеджеров'!$B$5:$M$16,B2184,D2184)/INDEX(Мес_Раб,D2184))</f>
        <v/>
      </c>
    </row>
    <row r="2185">
      <c r="A2185" t="inlineStr">
        <is>
          <t>Морозова</t>
        </is>
      </c>
      <c r="B2185" t="n">
        <v>10</v>
      </c>
      <c r="C2185" s="18">
        <f>'Календарь'!A327</f>
        <v/>
      </c>
      <c r="D2185">
        <f>MONTH(C2185)</f>
        <v/>
      </c>
      <c r="E2185">
        <f>'Календарь'!D327</f>
        <v/>
      </c>
      <c r="F2185">
        <f>INT((C2185-Нед_Начало)/7)+1</f>
        <v/>
      </c>
      <c r="G2185">
        <f>IF(E2185=0,0,INDEX('Планы менеджеров'!$B$5:$M$16,B2185,D2185)/INDEX(Мес_Раб,D2185))</f>
        <v/>
      </c>
    </row>
    <row r="2186">
      <c r="A2186" t="inlineStr">
        <is>
          <t>Морозова</t>
        </is>
      </c>
      <c r="B2186" t="n">
        <v>10</v>
      </c>
      <c r="C2186" s="18">
        <f>'Календарь'!A328</f>
        <v/>
      </c>
      <c r="D2186">
        <f>MONTH(C2186)</f>
        <v/>
      </c>
      <c r="E2186">
        <f>'Календарь'!D328</f>
        <v/>
      </c>
      <c r="F2186">
        <f>INT((C2186-Нед_Начало)/7)+1</f>
        <v/>
      </c>
      <c r="G2186">
        <f>IF(E2186=0,0,INDEX('Планы менеджеров'!$B$5:$M$16,B2186,D2186)/INDEX(Мес_Раб,D2186))</f>
        <v/>
      </c>
    </row>
    <row r="2187">
      <c r="A2187" t="inlineStr">
        <is>
          <t>Морозова</t>
        </is>
      </c>
      <c r="B2187" t="n">
        <v>10</v>
      </c>
      <c r="C2187" s="18">
        <f>'Календарь'!A329</f>
        <v/>
      </c>
      <c r="D2187">
        <f>MONTH(C2187)</f>
        <v/>
      </c>
      <c r="E2187">
        <f>'Календарь'!D329</f>
        <v/>
      </c>
      <c r="F2187">
        <f>INT((C2187-Нед_Начало)/7)+1</f>
        <v/>
      </c>
      <c r="G2187">
        <f>IF(E2187=0,0,INDEX('Планы менеджеров'!$B$5:$M$16,B2187,D2187)/INDEX(Мес_Раб,D2187))</f>
        <v/>
      </c>
    </row>
    <row r="2188">
      <c r="A2188" t="inlineStr">
        <is>
          <t>Морозова</t>
        </is>
      </c>
      <c r="B2188" t="n">
        <v>10</v>
      </c>
      <c r="C2188" s="18">
        <f>'Календарь'!A330</f>
        <v/>
      </c>
      <c r="D2188">
        <f>MONTH(C2188)</f>
        <v/>
      </c>
      <c r="E2188">
        <f>'Календарь'!D330</f>
        <v/>
      </c>
      <c r="F2188">
        <f>INT((C2188-Нед_Начало)/7)+1</f>
        <v/>
      </c>
      <c r="G2188">
        <f>IF(E2188=0,0,INDEX('Планы менеджеров'!$B$5:$M$16,B2188,D2188)/INDEX(Мес_Раб,D2188))</f>
        <v/>
      </c>
    </row>
    <row r="2189">
      <c r="A2189" t="inlineStr">
        <is>
          <t>Морозова</t>
        </is>
      </c>
      <c r="B2189" t="n">
        <v>10</v>
      </c>
      <c r="C2189" s="18">
        <f>'Календарь'!A331</f>
        <v/>
      </c>
      <c r="D2189">
        <f>MONTH(C2189)</f>
        <v/>
      </c>
      <c r="E2189">
        <f>'Календарь'!D331</f>
        <v/>
      </c>
      <c r="F2189">
        <f>INT((C2189-Нед_Начало)/7)+1</f>
        <v/>
      </c>
      <c r="G2189">
        <f>IF(E2189=0,0,INDEX('Планы менеджеров'!$B$5:$M$16,B2189,D2189)/INDEX(Мес_Раб,D2189))</f>
        <v/>
      </c>
    </row>
    <row r="2190">
      <c r="A2190" t="inlineStr">
        <is>
          <t>Морозова</t>
        </is>
      </c>
      <c r="B2190" t="n">
        <v>10</v>
      </c>
      <c r="C2190" s="18">
        <f>'Календарь'!A332</f>
        <v/>
      </c>
      <c r="D2190">
        <f>MONTH(C2190)</f>
        <v/>
      </c>
      <c r="E2190">
        <f>'Календарь'!D332</f>
        <v/>
      </c>
      <c r="F2190">
        <f>INT((C2190-Нед_Начало)/7)+1</f>
        <v/>
      </c>
      <c r="G2190">
        <f>IF(E2190=0,0,INDEX('Планы менеджеров'!$B$5:$M$16,B2190,D2190)/INDEX(Мес_Раб,D2190))</f>
        <v/>
      </c>
    </row>
    <row r="2191">
      <c r="A2191" t="inlineStr">
        <is>
          <t>Морозова</t>
        </is>
      </c>
      <c r="B2191" t="n">
        <v>10</v>
      </c>
      <c r="C2191" s="18">
        <f>'Календарь'!A333</f>
        <v/>
      </c>
      <c r="D2191">
        <f>MONTH(C2191)</f>
        <v/>
      </c>
      <c r="E2191">
        <f>'Календарь'!D333</f>
        <v/>
      </c>
      <c r="F2191">
        <f>INT((C2191-Нед_Начало)/7)+1</f>
        <v/>
      </c>
      <c r="G2191">
        <f>IF(E2191=0,0,INDEX('Планы менеджеров'!$B$5:$M$16,B2191,D2191)/INDEX(Мес_Раб,D2191))</f>
        <v/>
      </c>
    </row>
    <row r="2192">
      <c r="A2192" t="inlineStr">
        <is>
          <t>Морозова</t>
        </is>
      </c>
      <c r="B2192" t="n">
        <v>10</v>
      </c>
      <c r="C2192" s="18">
        <f>'Календарь'!A334</f>
        <v/>
      </c>
      <c r="D2192">
        <f>MONTH(C2192)</f>
        <v/>
      </c>
      <c r="E2192">
        <f>'Календарь'!D334</f>
        <v/>
      </c>
      <c r="F2192">
        <f>INT((C2192-Нед_Начало)/7)+1</f>
        <v/>
      </c>
      <c r="G2192">
        <f>IF(E2192=0,0,INDEX('Планы менеджеров'!$B$5:$M$16,B2192,D2192)/INDEX(Мес_Раб,D2192))</f>
        <v/>
      </c>
    </row>
    <row r="2193">
      <c r="A2193" t="inlineStr">
        <is>
          <t>Морозова</t>
        </is>
      </c>
      <c r="B2193" t="n">
        <v>10</v>
      </c>
      <c r="C2193" s="18">
        <f>'Календарь'!A335</f>
        <v/>
      </c>
      <c r="D2193">
        <f>MONTH(C2193)</f>
        <v/>
      </c>
      <c r="E2193">
        <f>'Календарь'!D335</f>
        <v/>
      </c>
      <c r="F2193">
        <f>INT((C2193-Нед_Начало)/7)+1</f>
        <v/>
      </c>
      <c r="G2193">
        <f>IF(E2193=0,0,INDEX('Планы менеджеров'!$B$5:$M$16,B2193,D2193)/INDEX(Мес_Раб,D2193))</f>
        <v/>
      </c>
    </row>
    <row r="2194">
      <c r="A2194" t="inlineStr">
        <is>
          <t>Морозова</t>
        </is>
      </c>
      <c r="B2194" t="n">
        <v>10</v>
      </c>
      <c r="C2194" s="18">
        <f>'Календарь'!A336</f>
        <v/>
      </c>
      <c r="D2194">
        <f>MONTH(C2194)</f>
        <v/>
      </c>
      <c r="E2194">
        <f>'Календарь'!D336</f>
        <v/>
      </c>
      <c r="F2194">
        <f>INT((C2194-Нед_Начало)/7)+1</f>
        <v/>
      </c>
      <c r="G2194">
        <f>IF(E2194=0,0,INDEX('Планы менеджеров'!$B$5:$M$16,B2194,D2194)/INDEX(Мес_Раб,D2194))</f>
        <v/>
      </c>
    </row>
    <row r="2195">
      <c r="A2195" t="inlineStr">
        <is>
          <t>Морозова</t>
        </is>
      </c>
      <c r="B2195" t="n">
        <v>10</v>
      </c>
      <c r="C2195" s="18">
        <f>'Календарь'!A337</f>
        <v/>
      </c>
      <c r="D2195">
        <f>MONTH(C2195)</f>
        <v/>
      </c>
      <c r="E2195">
        <f>'Календарь'!D337</f>
        <v/>
      </c>
      <c r="F2195">
        <f>INT((C2195-Нед_Начало)/7)+1</f>
        <v/>
      </c>
      <c r="G2195">
        <f>IF(E2195=0,0,INDEX('Планы менеджеров'!$B$5:$M$16,B2195,D2195)/INDEX(Мес_Раб,D2195))</f>
        <v/>
      </c>
    </row>
    <row r="2196">
      <c r="A2196" t="inlineStr">
        <is>
          <t>Морозова</t>
        </is>
      </c>
      <c r="B2196" t="n">
        <v>10</v>
      </c>
      <c r="C2196" s="18">
        <f>'Календарь'!A338</f>
        <v/>
      </c>
      <c r="D2196">
        <f>MONTH(C2196)</f>
        <v/>
      </c>
      <c r="E2196">
        <f>'Календарь'!D338</f>
        <v/>
      </c>
      <c r="F2196">
        <f>INT((C2196-Нед_Начало)/7)+1</f>
        <v/>
      </c>
      <c r="G2196">
        <f>IF(E2196=0,0,INDEX('Планы менеджеров'!$B$5:$M$16,B2196,D2196)/INDEX(Мес_Раб,D2196))</f>
        <v/>
      </c>
    </row>
    <row r="2197">
      <c r="A2197" t="inlineStr">
        <is>
          <t>Морозова</t>
        </is>
      </c>
      <c r="B2197" t="n">
        <v>10</v>
      </c>
      <c r="C2197" s="18">
        <f>'Календарь'!A339</f>
        <v/>
      </c>
      <c r="D2197">
        <f>MONTH(C2197)</f>
        <v/>
      </c>
      <c r="E2197">
        <f>'Календарь'!D339</f>
        <v/>
      </c>
      <c r="F2197">
        <f>INT((C2197-Нед_Начало)/7)+1</f>
        <v/>
      </c>
      <c r="G2197">
        <f>IF(E2197=0,0,INDEX('Планы менеджеров'!$B$5:$M$16,B2197,D2197)/INDEX(Мес_Раб,D2197))</f>
        <v/>
      </c>
    </row>
    <row r="2198">
      <c r="A2198" t="inlineStr">
        <is>
          <t>Морозова</t>
        </is>
      </c>
      <c r="B2198" t="n">
        <v>10</v>
      </c>
      <c r="C2198" s="18">
        <f>'Календарь'!A340</f>
        <v/>
      </c>
      <c r="D2198">
        <f>MONTH(C2198)</f>
        <v/>
      </c>
      <c r="E2198">
        <f>'Календарь'!D340</f>
        <v/>
      </c>
      <c r="F2198">
        <f>INT((C2198-Нед_Начало)/7)+1</f>
        <v/>
      </c>
      <c r="G2198">
        <f>IF(E2198=0,0,INDEX('Планы менеджеров'!$B$5:$M$16,B2198,D2198)/INDEX(Мес_Раб,D2198))</f>
        <v/>
      </c>
    </row>
    <row r="2199">
      <c r="A2199" t="inlineStr">
        <is>
          <t>Морозова</t>
        </is>
      </c>
      <c r="B2199" t="n">
        <v>10</v>
      </c>
      <c r="C2199" s="18">
        <f>'Календарь'!A341</f>
        <v/>
      </c>
      <c r="D2199">
        <f>MONTH(C2199)</f>
        <v/>
      </c>
      <c r="E2199">
        <f>'Календарь'!D341</f>
        <v/>
      </c>
      <c r="F2199">
        <f>INT((C2199-Нед_Начало)/7)+1</f>
        <v/>
      </c>
      <c r="G2199">
        <f>IF(E2199=0,0,INDEX('Планы менеджеров'!$B$5:$M$16,B2199,D2199)/INDEX(Мес_Раб,D2199))</f>
        <v/>
      </c>
    </row>
    <row r="2200">
      <c r="A2200" t="inlineStr">
        <is>
          <t>Морозова</t>
        </is>
      </c>
      <c r="B2200" t="n">
        <v>10</v>
      </c>
      <c r="C2200" s="18">
        <f>'Календарь'!A342</f>
        <v/>
      </c>
      <c r="D2200">
        <f>MONTH(C2200)</f>
        <v/>
      </c>
      <c r="E2200">
        <f>'Календарь'!D342</f>
        <v/>
      </c>
      <c r="F2200">
        <f>INT((C2200-Нед_Начало)/7)+1</f>
        <v/>
      </c>
      <c r="G2200">
        <f>IF(E2200=0,0,INDEX('Планы менеджеров'!$B$5:$M$16,B2200,D2200)/INDEX(Мес_Раб,D2200))</f>
        <v/>
      </c>
    </row>
    <row r="2201">
      <c r="A2201" t="inlineStr">
        <is>
          <t>Морозова</t>
        </is>
      </c>
      <c r="B2201" t="n">
        <v>10</v>
      </c>
      <c r="C2201" s="18">
        <f>'Календарь'!A343</f>
        <v/>
      </c>
      <c r="D2201">
        <f>MONTH(C2201)</f>
        <v/>
      </c>
      <c r="E2201">
        <f>'Календарь'!D343</f>
        <v/>
      </c>
      <c r="F2201">
        <f>INT((C2201-Нед_Начало)/7)+1</f>
        <v/>
      </c>
      <c r="G2201">
        <f>IF(E2201=0,0,INDEX('Планы менеджеров'!$B$5:$M$16,B2201,D2201)/INDEX(Мес_Раб,D2201))</f>
        <v/>
      </c>
    </row>
    <row r="2202">
      <c r="A2202" t="inlineStr">
        <is>
          <t>Морозова</t>
        </is>
      </c>
      <c r="B2202" t="n">
        <v>10</v>
      </c>
      <c r="C2202" s="18">
        <f>'Календарь'!A344</f>
        <v/>
      </c>
      <c r="D2202">
        <f>MONTH(C2202)</f>
        <v/>
      </c>
      <c r="E2202">
        <f>'Календарь'!D344</f>
        <v/>
      </c>
      <c r="F2202">
        <f>INT((C2202-Нед_Начало)/7)+1</f>
        <v/>
      </c>
      <c r="G2202">
        <f>IF(E2202=0,0,INDEX('Планы менеджеров'!$B$5:$M$16,B2202,D2202)/INDEX(Мес_Раб,D2202))</f>
        <v/>
      </c>
    </row>
    <row r="2203">
      <c r="A2203" t="inlineStr">
        <is>
          <t>Морозова</t>
        </is>
      </c>
      <c r="B2203" t="n">
        <v>10</v>
      </c>
      <c r="C2203" s="18">
        <f>'Календарь'!A345</f>
        <v/>
      </c>
      <c r="D2203">
        <f>MONTH(C2203)</f>
        <v/>
      </c>
      <c r="E2203">
        <f>'Календарь'!D345</f>
        <v/>
      </c>
      <c r="F2203">
        <f>INT((C2203-Нед_Начало)/7)+1</f>
        <v/>
      </c>
      <c r="G2203">
        <f>IF(E2203=0,0,INDEX('Планы менеджеров'!$B$5:$M$16,B2203,D2203)/INDEX(Мес_Раб,D2203))</f>
        <v/>
      </c>
    </row>
    <row r="2204">
      <c r="A2204" t="inlineStr">
        <is>
          <t>Морозова</t>
        </is>
      </c>
      <c r="B2204" t="n">
        <v>10</v>
      </c>
      <c r="C2204" s="18">
        <f>'Календарь'!A346</f>
        <v/>
      </c>
      <c r="D2204">
        <f>MONTH(C2204)</f>
        <v/>
      </c>
      <c r="E2204">
        <f>'Календарь'!D346</f>
        <v/>
      </c>
      <c r="F2204">
        <f>INT((C2204-Нед_Начало)/7)+1</f>
        <v/>
      </c>
      <c r="G2204">
        <f>IF(E2204=0,0,INDEX('Планы менеджеров'!$B$5:$M$16,B2204,D2204)/INDEX(Мес_Раб,D2204))</f>
        <v/>
      </c>
    </row>
    <row r="2205">
      <c r="A2205" t="inlineStr">
        <is>
          <t>Морозова</t>
        </is>
      </c>
      <c r="B2205" t="n">
        <v>10</v>
      </c>
      <c r="C2205" s="18">
        <f>'Календарь'!A347</f>
        <v/>
      </c>
      <c r="D2205">
        <f>MONTH(C2205)</f>
        <v/>
      </c>
      <c r="E2205">
        <f>'Календарь'!D347</f>
        <v/>
      </c>
      <c r="F2205">
        <f>INT((C2205-Нед_Начало)/7)+1</f>
        <v/>
      </c>
      <c r="G2205">
        <f>IF(E2205=0,0,INDEX('Планы менеджеров'!$B$5:$M$16,B2205,D2205)/INDEX(Мес_Раб,D2205))</f>
        <v/>
      </c>
    </row>
    <row r="2206">
      <c r="A2206" t="inlineStr">
        <is>
          <t>Морозова</t>
        </is>
      </c>
      <c r="B2206" t="n">
        <v>10</v>
      </c>
      <c r="C2206" s="18">
        <f>'Календарь'!A348</f>
        <v/>
      </c>
      <c r="D2206">
        <f>MONTH(C2206)</f>
        <v/>
      </c>
      <c r="E2206">
        <f>'Календарь'!D348</f>
        <v/>
      </c>
      <c r="F2206">
        <f>INT((C2206-Нед_Начало)/7)+1</f>
        <v/>
      </c>
      <c r="G2206">
        <f>IF(E2206=0,0,INDEX('Планы менеджеров'!$B$5:$M$16,B2206,D2206)/INDEX(Мес_Раб,D2206))</f>
        <v/>
      </c>
    </row>
    <row r="2207">
      <c r="A2207" t="inlineStr">
        <is>
          <t>Морозова</t>
        </is>
      </c>
      <c r="B2207" t="n">
        <v>10</v>
      </c>
      <c r="C2207" s="18">
        <f>'Календарь'!A349</f>
        <v/>
      </c>
      <c r="D2207">
        <f>MONTH(C2207)</f>
        <v/>
      </c>
      <c r="E2207">
        <f>'Календарь'!D349</f>
        <v/>
      </c>
      <c r="F2207">
        <f>INT((C2207-Нед_Начало)/7)+1</f>
        <v/>
      </c>
      <c r="G2207">
        <f>IF(E2207=0,0,INDEX('Планы менеджеров'!$B$5:$M$16,B2207,D2207)/INDEX(Мес_Раб,D2207))</f>
        <v/>
      </c>
    </row>
    <row r="2208">
      <c r="A2208" t="inlineStr">
        <is>
          <t>Морозова</t>
        </is>
      </c>
      <c r="B2208" t="n">
        <v>10</v>
      </c>
      <c r="C2208" s="18">
        <f>'Календарь'!A350</f>
        <v/>
      </c>
      <c r="D2208">
        <f>MONTH(C2208)</f>
        <v/>
      </c>
      <c r="E2208">
        <f>'Календарь'!D350</f>
        <v/>
      </c>
      <c r="F2208">
        <f>INT((C2208-Нед_Начало)/7)+1</f>
        <v/>
      </c>
      <c r="G2208">
        <f>IF(E2208=0,0,INDEX('Планы менеджеров'!$B$5:$M$16,B2208,D2208)/INDEX(Мес_Раб,D2208))</f>
        <v/>
      </c>
    </row>
    <row r="2209">
      <c r="A2209" t="inlineStr">
        <is>
          <t>Морозова</t>
        </is>
      </c>
      <c r="B2209" t="n">
        <v>10</v>
      </c>
      <c r="C2209" s="18">
        <f>'Календарь'!A351</f>
        <v/>
      </c>
      <c r="D2209">
        <f>MONTH(C2209)</f>
        <v/>
      </c>
      <c r="E2209">
        <f>'Календарь'!D351</f>
        <v/>
      </c>
      <c r="F2209">
        <f>INT((C2209-Нед_Начало)/7)+1</f>
        <v/>
      </c>
      <c r="G2209">
        <f>IF(E2209=0,0,INDEX('Планы менеджеров'!$B$5:$M$16,B2209,D2209)/INDEX(Мес_Раб,D2209))</f>
        <v/>
      </c>
    </row>
    <row r="2210">
      <c r="A2210" t="inlineStr">
        <is>
          <t>Морозова</t>
        </is>
      </c>
      <c r="B2210" t="n">
        <v>10</v>
      </c>
      <c r="C2210" s="18">
        <f>'Календарь'!A352</f>
        <v/>
      </c>
      <c r="D2210">
        <f>MONTH(C2210)</f>
        <v/>
      </c>
      <c r="E2210">
        <f>'Календарь'!D352</f>
        <v/>
      </c>
      <c r="F2210">
        <f>INT((C2210-Нед_Начало)/7)+1</f>
        <v/>
      </c>
      <c r="G2210">
        <f>IF(E2210=0,0,INDEX('Планы менеджеров'!$B$5:$M$16,B2210,D2210)/INDEX(Мес_Раб,D2210))</f>
        <v/>
      </c>
    </row>
    <row r="2211">
      <c r="A2211" t="inlineStr">
        <is>
          <t>Морозова</t>
        </is>
      </c>
      <c r="B2211" t="n">
        <v>10</v>
      </c>
      <c r="C2211" s="18">
        <f>'Календарь'!A353</f>
        <v/>
      </c>
      <c r="D2211">
        <f>MONTH(C2211)</f>
        <v/>
      </c>
      <c r="E2211">
        <f>'Календарь'!D353</f>
        <v/>
      </c>
      <c r="F2211">
        <f>INT((C2211-Нед_Начало)/7)+1</f>
        <v/>
      </c>
      <c r="G2211">
        <f>IF(E2211=0,0,INDEX('Планы менеджеров'!$B$5:$M$16,B2211,D2211)/INDEX(Мес_Раб,D2211))</f>
        <v/>
      </c>
    </row>
    <row r="2212">
      <c r="A2212" t="inlineStr">
        <is>
          <t>Морозова</t>
        </is>
      </c>
      <c r="B2212" t="n">
        <v>10</v>
      </c>
      <c r="C2212" s="18">
        <f>'Календарь'!A354</f>
        <v/>
      </c>
      <c r="D2212">
        <f>MONTH(C2212)</f>
        <v/>
      </c>
      <c r="E2212">
        <f>'Календарь'!D354</f>
        <v/>
      </c>
      <c r="F2212">
        <f>INT((C2212-Нед_Начало)/7)+1</f>
        <v/>
      </c>
      <c r="G2212">
        <f>IF(E2212=0,0,INDEX('Планы менеджеров'!$B$5:$M$16,B2212,D2212)/INDEX(Мес_Раб,D2212))</f>
        <v/>
      </c>
    </row>
    <row r="2213">
      <c r="A2213" t="inlineStr">
        <is>
          <t>Морозова</t>
        </is>
      </c>
      <c r="B2213" t="n">
        <v>10</v>
      </c>
      <c r="C2213" s="18">
        <f>'Календарь'!A355</f>
        <v/>
      </c>
      <c r="D2213">
        <f>MONTH(C2213)</f>
        <v/>
      </c>
      <c r="E2213">
        <f>'Календарь'!D355</f>
        <v/>
      </c>
      <c r="F2213">
        <f>INT((C2213-Нед_Начало)/7)+1</f>
        <v/>
      </c>
      <c r="G2213">
        <f>IF(E2213=0,0,INDEX('Планы менеджеров'!$B$5:$M$16,B2213,D2213)/INDEX(Мес_Раб,D2213))</f>
        <v/>
      </c>
    </row>
    <row r="2214">
      <c r="A2214" t="inlineStr">
        <is>
          <t>Морозова</t>
        </is>
      </c>
      <c r="B2214" t="n">
        <v>10</v>
      </c>
      <c r="C2214" s="18">
        <f>'Календарь'!A356</f>
        <v/>
      </c>
      <c r="D2214">
        <f>MONTH(C2214)</f>
        <v/>
      </c>
      <c r="E2214">
        <f>'Календарь'!D356</f>
        <v/>
      </c>
      <c r="F2214">
        <f>INT((C2214-Нед_Начало)/7)+1</f>
        <v/>
      </c>
      <c r="G2214">
        <f>IF(E2214=0,0,INDEX('Планы менеджеров'!$B$5:$M$16,B2214,D2214)/INDEX(Мес_Раб,D2214))</f>
        <v/>
      </c>
    </row>
    <row r="2215">
      <c r="A2215" t="inlineStr">
        <is>
          <t>Морозова</t>
        </is>
      </c>
      <c r="B2215" t="n">
        <v>10</v>
      </c>
      <c r="C2215" s="18">
        <f>'Календарь'!A357</f>
        <v/>
      </c>
      <c r="D2215">
        <f>MONTH(C2215)</f>
        <v/>
      </c>
      <c r="E2215">
        <f>'Календарь'!D357</f>
        <v/>
      </c>
      <c r="F2215">
        <f>INT((C2215-Нед_Начало)/7)+1</f>
        <v/>
      </c>
      <c r="G2215">
        <f>IF(E2215=0,0,INDEX('Планы менеджеров'!$B$5:$M$16,B2215,D2215)/INDEX(Мес_Раб,D2215))</f>
        <v/>
      </c>
    </row>
    <row r="2216">
      <c r="A2216" t="inlineStr">
        <is>
          <t>Морозова</t>
        </is>
      </c>
      <c r="B2216" t="n">
        <v>10</v>
      </c>
      <c r="C2216" s="18">
        <f>'Календарь'!A358</f>
        <v/>
      </c>
      <c r="D2216">
        <f>MONTH(C2216)</f>
        <v/>
      </c>
      <c r="E2216">
        <f>'Календарь'!D358</f>
        <v/>
      </c>
      <c r="F2216">
        <f>INT((C2216-Нед_Начало)/7)+1</f>
        <v/>
      </c>
      <c r="G2216">
        <f>IF(E2216=0,0,INDEX('Планы менеджеров'!$B$5:$M$16,B2216,D2216)/INDEX(Мес_Раб,D2216))</f>
        <v/>
      </c>
    </row>
    <row r="2217">
      <c r="A2217" t="inlineStr">
        <is>
          <t>Морозова</t>
        </is>
      </c>
      <c r="B2217" t="n">
        <v>10</v>
      </c>
      <c r="C2217" s="18">
        <f>'Календарь'!A359</f>
        <v/>
      </c>
      <c r="D2217">
        <f>MONTH(C2217)</f>
        <v/>
      </c>
      <c r="E2217">
        <f>'Календарь'!D359</f>
        <v/>
      </c>
      <c r="F2217">
        <f>INT((C2217-Нед_Начало)/7)+1</f>
        <v/>
      </c>
      <c r="G2217">
        <f>IF(E2217=0,0,INDEX('Планы менеджеров'!$B$5:$M$16,B2217,D2217)/INDEX(Мес_Раб,D2217))</f>
        <v/>
      </c>
    </row>
    <row r="2218">
      <c r="A2218" t="inlineStr">
        <is>
          <t>Морозова</t>
        </is>
      </c>
      <c r="B2218" t="n">
        <v>10</v>
      </c>
      <c r="C2218" s="18">
        <f>'Календарь'!A360</f>
        <v/>
      </c>
      <c r="D2218">
        <f>MONTH(C2218)</f>
        <v/>
      </c>
      <c r="E2218">
        <f>'Календарь'!D360</f>
        <v/>
      </c>
      <c r="F2218">
        <f>INT((C2218-Нед_Начало)/7)+1</f>
        <v/>
      </c>
      <c r="G2218">
        <f>IF(E2218=0,0,INDEX('Планы менеджеров'!$B$5:$M$16,B2218,D2218)/INDEX(Мес_Раб,D2218))</f>
        <v/>
      </c>
    </row>
    <row r="2219">
      <c r="A2219" t="inlineStr">
        <is>
          <t>Морозова</t>
        </is>
      </c>
      <c r="B2219" t="n">
        <v>10</v>
      </c>
      <c r="C2219" s="18">
        <f>'Календарь'!A361</f>
        <v/>
      </c>
      <c r="D2219">
        <f>MONTH(C2219)</f>
        <v/>
      </c>
      <c r="E2219">
        <f>'Календарь'!D361</f>
        <v/>
      </c>
      <c r="F2219">
        <f>INT((C2219-Нед_Начало)/7)+1</f>
        <v/>
      </c>
      <c r="G2219">
        <f>IF(E2219=0,0,INDEX('Планы менеджеров'!$B$5:$M$16,B2219,D2219)/INDEX(Мес_Раб,D2219))</f>
        <v/>
      </c>
    </row>
    <row r="2220">
      <c r="A2220" t="inlineStr">
        <is>
          <t>Морозова</t>
        </is>
      </c>
      <c r="B2220" t="n">
        <v>10</v>
      </c>
      <c r="C2220" s="18">
        <f>'Календарь'!A362</f>
        <v/>
      </c>
      <c r="D2220">
        <f>MONTH(C2220)</f>
        <v/>
      </c>
      <c r="E2220">
        <f>'Календарь'!D362</f>
        <v/>
      </c>
      <c r="F2220">
        <f>INT((C2220-Нед_Начало)/7)+1</f>
        <v/>
      </c>
      <c r="G2220">
        <f>IF(E2220=0,0,INDEX('Планы менеджеров'!$B$5:$M$16,B2220,D2220)/INDEX(Мес_Раб,D2220))</f>
        <v/>
      </c>
    </row>
    <row r="2221">
      <c r="A2221" t="inlineStr">
        <is>
          <t>Морозова</t>
        </is>
      </c>
      <c r="B2221" t="n">
        <v>10</v>
      </c>
      <c r="C2221" s="18">
        <f>'Календарь'!A363</f>
        <v/>
      </c>
      <c r="D2221">
        <f>MONTH(C2221)</f>
        <v/>
      </c>
      <c r="E2221">
        <f>'Календарь'!D363</f>
        <v/>
      </c>
      <c r="F2221">
        <f>INT((C2221-Нед_Начало)/7)+1</f>
        <v/>
      </c>
      <c r="G2221">
        <f>IF(E2221=0,0,INDEX('Планы менеджеров'!$B$5:$M$16,B2221,D2221)/INDEX(Мес_Раб,D2221))</f>
        <v/>
      </c>
    </row>
    <row r="2222">
      <c r="A2222" t="inlineStr">
        <is>
          <t>Морозова</t>
        </is>
      </c>
      <c r="B2222" t="n">
        <v>10</v>
      </c>
      <c r="C2222" s="18">
        <f>'Календарь'!A364</f>
        <v/>
      </c>
      <c r="D2222">
        <f>MONTH(C2222)</f>
        <v/>
      </c>
      <c r="E2222">
        <f>'Календарь'!D364</f>
        <v/>
      </c>
      <c r="F2222">
        <f>INT((C2222-Нед_Начало)/7)+1</f>
        <v/>
      </c>
      <c r="G2222">
        <f>IF(E2222=0,0,INDEX('Планы менеджеров'!$B$5:$M$16,B2222,D2222)/INDEX(Мес_Раб,D2222))</f>
        <v/>
      </c>
    </row>
    <row r="2223">
      <c r="A2223" t="inlineStr">
        <is>
          <t>Морозова</t>
        </is>
      </c>
      <c r="B2223" t="n">
        <v>10</v>
      </c>
      <c r="C2223" s="18">
        <f>'Календарь'!A365</f>
        <v/>
      </c>
      <c r="D2223">
        <f>MONTH(C2223)</f>
        <v/>
      </c>
      <c r="E2223">
        <f>'Календарь'!D365</f>
        <v/>
      </c>
      <c r="F2223">
        <f>INT((C2223-Нед_Начало)/7)+1</f>
        <v/>
      </c>
      <c r="G2223">
        <f>IF(E2223=0,0,INDEX('Планы менеджеров'!$B$5:$M$16,B2223,D2223)/INDEX(Мес_Раб,D2223))</f>
        <v/>
      </c>
    </row>
    <row r="2224">
      <c r="A2224" t="inlineStr">
        <is>
          <t>Морозова</t>
        </is>
      </c>
      <c r="B2224" t="n">
        <v>10</v>
      </c>
      <c r="C2224" s="18">
        <f>'Календарь'!A366</f>
        <v/>
      </c>
      <c r="D2224">
        <f>MONTH(C2224)</f>
        <v/>
      </c>
      <c r="E2224">
        <f>'Календарь'!D366</f>
        <v/>
      </c>
      <c r="F2224">
        <f>INT((C2224-Нед_Начало)/7)+1</f>
        <v/>
      </c>
      <c r="G2224">
        <f>IF(E2224=0,0,INDEX('Планы менеджеров'!$B$5:$M$16,B2224,D2224)/INDEX(Мес_Раб,D2224))</f>
        <v/>
      </c>
    </row>
    <row r="2225">
      <c r="A2225" t="inlineStr">
        <is>
          <t>Морозова</t>
        </is>
      </c>
      <c r="B2225" t="n">
        <v>10</v>
      </c>
      <c r="C2225" s="18">
        <f>'Календарь'!A367</f>
        <v/>
      </c>
      <c r="D2225">
        <f>MONTH(C2225)</f>
        <v/>
      </c>
      <c r="E2225">
        <f>'Календарь'!D367</f>
        <v/>
      </c>
      <c r="F2225">
        <f>INT((C2225-Нед_Начало)/7)+1</f>
        <v/>
      </c>
      <c r="G2225">
        <f>IF(E2225=0,0,INDEX('Планы менеджеров'!$B$5:$M$16,B2225,D2225)/INDEX(Мес_Раб,D2225))</f>
        <v/>
      </c>
    </row>
    <row r="2226">
      <c r="A2226" t="inlineStr">
        <is>
          <t>Морозова</t>
        </is>
      </c>
      <c r="B2226" t="n">
        <v>10</v>
      </c>
      <c r="C2226" s="18">
        <f>'Календарь'!A368</f>
        <v/>
      </c>
      <c r="D2226">
        <f>MONTH(C2226)</f>
        <v/>
      </c>
      <c r="E2226">
        <f>'Календарь'!D368</f>
        <v/>
      </c>
      <c r="F2226">
        <f>INT((C2226-Нед_Начало)/7)+1</f>
        <v/>
      </c>
      <c r="G2226">
        <f>IF(E2226=0,0,INDEX('Планы менеджеров'!$B$5:$M$16,B2226,D2226)/INDEX(Мес_Раб,D2226))</f>
        <v/>
      </c>
    </row>
    <row r="2227">
      <c r="A2227" t="inlineStr">
        <is>
          <t>Морозова</t>
        </is>
      </c>
      <c r="B2227" t="n">
        <v>10</v>
      </c>
      <c r="C2227" s="18">
        <f>'Календарь'!A369</f>
        <v/>
      </c>
      <c r="D2227">
        <f>MONTH(C2227)</f>
        <v/>
      </c>
      <c r="E2227">
        <f>'Календарь'!D369</f>
        <v/>
      </c>
      <c r="F2227">
        <f>INT((C2227-Нед_Начало)/7)+1</f>
        <v/>
      </c>
      <c r="G2227">
        <f>IF(E2227=0,0,INDEX('Планы менеджеров'!$B$5:$M$16,B2227,D2227)/INDEX(Мес_Раб,D2227))</f>
        <v/>
      </c>
    </row>
    <row r="2228">
      <c r="A2228" t="inlineStr">
        <is>
          <t>Морозова</t>
        </is>
      </c>
      <c r="B2228" t="n">
        <v>10</v>
      </c>
      <c r="C2228" s="18">
        <f>'Календарь'!A370</f>
        <v/>
      </c>
      <c r="D2228">
        <f>MONTH(C2228)</f>
        <v/>
      </c>
      <c r="E2228">
        <f>'Календарь'!D370</f>
        <v/>
      </c>
      <c r="F2228">
        <f>INT((C2228-Нед_Начало)/7)+1</f>
        <v/>
      </c>
      <c r="G2228">
        <f>IF(E2228=0,0,INDEX('Планы менеджеров'!$B$5:$M$16,B2228,D2228)/INDEX(Мес_Раб,D2228))</f>
        <v/>
      </c>
    </row>
    <row r="2229">
      <c r="A2229" t="inlineStr">
        <is>
          <t>Морозова</t>
        </is>
      </c>
      <c r="B2229" t="n">
        <v>10</v>
      </c>
      <c r="C2229" s="18">
        <f>'Календарь'!A371</f>
        <v/>
      </c>
      <c r="D2229">
        <f>MONTH(C2229)</f>
        <v/>
      </c>
      <c r="E2229">
        <f>'Календарь'!D371</f>
        <v/>
      </c>
      <c r="F2229">
        <f>INT((C2229-Нед_Начало)/7)+1</f>
        <v/>
      </c>
      <c r="G2229">
        <f>IF(E2229=0,0,INDEX('Планы менеджеров'!$B$5:$M$16,B2229,D2229)/INDEX(Мес_Раб,D2229))</f>
        <v/>
      </c>
    </row>
    <row r="2230">
      <c r="A2230" t="inlineStr">
        <is>
          <t>Морозова</t>
        </is>
      </c>
      <c r="B2230" t="n">
        <v>10</v>
      </c>
      <c r="C2230" s="18">
        <f>'Календарь'!A372</f>
        <v/>
      </c>
      <c r="D2230">
        <f>MONTH(C2230)</f>
        <v/>
      </c>
      <c r="E2230">
        <f>'Календарь'!D372</f>
        <v/>
      </c>
      <c r="F2230">
        <f>INT((C2230-Нед_Начало)/7)+1</f>
        <v/>
      </c>
      <c r="G2230">
        <f>IF(E2230=0,0,INDEX('Планы менеджеров'!$B$5:$M$16,B2230,D2230)/INDEX(Мес_Раб,D2230))</f>
        <v/>
      </c>
    </row>
    <row r="2231">
      <c r="A2231" t="inlineStr">
        <is>
          <t>Волков</t>
        </is>
      </c>
      <c r="B2231" t="n">
        <v>11</v>
      </c>
      <c r="C2231" s="18">
        <f>'Календарь'!A2</f>
        <v/>
      </c>
      <c r="D2231">
        <f>MONTH(C2231)</f>
        <v/>
      </c>
      <c r="E2231">
        <f>'Календарь'!D2</f>
        <v/>
      </c>
      <c r="F2231">
        <f>INT((C2231-Нед_Начало)/7)+1</f>
        <v/>
      </c>
      <c r="G2231">
        <f>IF(E2231=0,0,INDEX('Планы менеджеров'!$B$5:$M$16,B2231,D2231)/INDEX(Мес_Раб,D2231))</f>
        <v/>
      </c>
    </row>
    <row r="2232">
      <c r="A2232" t="inlineStr">
        <is>
          <t>Волков</t>
        </is>
      </c>
      <c r="B2232" t="n">
        <v>11</v>
      </c>
      <c r="C2232" s="18">
        <f>'Календарь'!A3</f>
        <v/>
      </c>
      <c r="D2232">
        <f>MONTH(C2232)</f>
        <v/>
      </c>
      <c r="E2232">
        <f>'Календарь'!D3</f>
        <v/>
      </c>
      <c r="F2232">
        <f>INT((C2232-Нед_Начало)/7)+1</f>
        <v/>
      </c>
      <c r="G2232">
        <f>IF(E2232=0,0,INDEX('Планы менеджеров'!$B$5:$M$16,B2232,D2232)/INDEX(Мес_Раб,D2232))</f>
        <v/>
      </c>
    </row>
    <row r="2233">
      <c r="A2233" t="inlineStr">
        <is>
          <t>Волков</t>
        </is>
      </c>
      <c r="B2233" t="n">
        <v>11</v>
      </c>
      <c r="C2233" s="18">
        <f>'Календарь'!A4</f>
        <v/>
      </c>
      <c r="D2233">
        <f>MONTH(C2233)</f>
        <v/>
      </c>
      <c r="E2233">
        <f>'Календарь'!D4</f>
        <v/>
      </c>
      <c r="F2233">
        <f>INT((C2233-Нед_Начало)/7)+1</f>
        <v/>
      </c>
      <c r="G2233">
        <f>IF(E2233=0,0,INDEX('Планы менеджеров'!$B$5:$M$16,B2233,D2233)/INDEX(Мес_Раб,D2233))</f>
        <v/>
      </c>
    </row>
    <row r="2234">
      <c r="A2234" t="inlineStr">
        <is>
          <t>Волков</t>
        </is>
      </c>
      <c r="B2234" t="n">
        <v>11</v>
      </c>
      <c r="C2234" s="18">
        <f>'Календарь'!A5</f>
        <v/>
      </c>
      <c r="D2234">
        <f>MONTH(C2234)</f>
        <v/>
      </c>
      <c r="E2234">
        <f>'Календарь'!D5</f>
        <v/>
      </c>
      <c r="F2234">
        <f>INT((C2234-Нед_Начало)/7)+1</f>
        <v/>
      </c>
      <c r="G2234">
        <f>IF(E2234=0,0,INDEX('Планы менеджеров'!$B$5:$M$16,B2234,D2234)/INDEX(Мес_Раб,D2234))</f>
        <v/>
      </c>
    </row>
    <row r="2235">
      <c r="A2235" t="inlineStr">
        <is>
          <t>Волков</t>
        </is>
      </c>
      <c r="B2235" t="n">
        <v>11</v>
      </c>
      <c r="C2235" s="18">
        <f>'Календарь'!A6</f>
        <v/>
      </c>
      <c r="D2235">
        <f>MONTH(C2235)</f>
        <v/>
      </c>
      <c r="E2235">
        <f>'Календарь'!D6</f>
        <v/>
      </c>
      <c r="F2235">
        <f>INT((C2235-Нед_Начало)/7)+1</f>
        <v/>
      </c>
      <c r="G2235">
        <f>IF(E2235=0,0,INDEX('Планы менеджеров'!$B$5:$M$16,B2235,D2235)/INDEX(Мес_Раб,D2235))</f>
        <v/>
      </c>
    </row>
    <row r="2236">
      <c r="A2236" t="inlineStr">
        <is>
          <t>Волков</t>
        </is>
      </c>
      <c r="B2236" t="n">
        <v>11</v>
      </c>
      <c r="C2236" s="18">
        <f>'Календарь'!A7</f>
        <v/>
      </c>
      <c r="D2236">
        <f>MONTH(C2236)</f>
        <v/>
      </c>
      <c r="E2236">
        <f>'Календарь'!D7</f>
        <v/>
      </c>
      <c r="F2236">
        <f>INT((C2236-Нед_Начало)/7)+1</f>
        <v/>
      </c>
      <c r="G2236">
        <f>IF(E2236=0,0,INDEX('Планы менеджеров'!$B$5:$M$16,B2236,D2236)/INDEX(Мес_Раб,D2236))</f>
        <v/>
      </c>
    </row>
    <row r="2237">
      <c r="A2237" t="inlineStr">
        <is>
          <t>Волков</t>
        </is>
      </c>
      <c r="B2237" t="n">
        <v>11</v>
      </c>
      <c r="C2237" s="18">
        <f>'Календарь'!A8</f>
        <v/>
      </c>
      <c r="D2237">
        <f>MONTH(C2237)</f>
        <v/>
      </c>
      <c r="E2237">
        <f>'Календарь'!D8</f>
        <v/>
      </c>
      <c r="F2237">
        <f>INT((C2237-Нед_Начало)/7)+1</f>
        <v/>
      </c>
      <c r="G2237">
        <f>IF(E2237=0,0,INDEX('Планы менеджеров'!$B$5:$M$16,B2237,D2237)/INDEX(Мес_Раб,D2237))</f>
        <v/>
      </c>
    </row>
    <row r="2238">
      <c r="A2238" t="inlineStr">
        <is>
          <t>Волков</t>
        </is>
      </c>
      <c r="B2238" t="n">
        <v>11</v>
      </c>
      <c r="C2238" s="18">
        <f>'Календарь'!A9</f>
        <v/>
      </c>
      <c r="D2238">
        <f>MONTH(C2238)</f>
        <v/>
      </c>
      <c r="E2238">
        <f>'Календарь'!D9</f>
        <v/>
      </c>
      <c r="F2238">
        <f>INT((C2238-Нед_Начало)/7)+1</f>
        <v/>
      </c>
      <c r="G2238">
        <f>IF(E2238=0,0,INDEX('Планы менеджеров'!$B$5:$M$16,B2238,D2238)/INDEX(Мес_Раб,D2238))</f>
        <v/>
      </c>
    </row>
    <row r="2239">
      <c r="A2239" t="inlineStr">
        <is>
          <t>Волков</t>
        </is>
      </c>
      <c r="B2239" t="n">
        <v>11</v>
      </c>
      <c r="C2239" s="18">
        <f>'Календарь'!A10</f>
        <v/>
      </c>
      <c r="D2239">
        <f>MONTH(C2239)</f>
        <v/>
      </c>
      <c r="E2239">
        <f>'Календарь'!D10</f>
        <v/>
      </c>
      <c r="F2239">
        <f>INT((C2239-Нед_Начало)/7)+1</f>
        <v/>
      </c>
      <c r="G2239">
        <f>IF(E2239=0,0,INDEX('Планы менеджеров'!$B$5:$M$16,B2239,D2239)/INDEX(Мес_Раб,D2239))</f>
        <v/>
      </c>
    </row>
    <row r="2240">
      <c r="A2240" t="inlineStr">
        <is>
          <t>Волков</t>
        </is>
      </c>
      <c r="B2240" t="n">
        <v>11</v>
      </c>
      <c r="C2240" s="18">
        <f>'Календарь'!A11</f>
        <v/>
      </c>
      <c r="D2240">
        <f>MONTH(C2240)</f>
        <v/>
      </c>
      <c r="E2240">
        <f>'Календарь'!D11</f>
        <v/>
      </c>
      <c r="F2240">
        <f>INT((C2240-Нед_Начало)/7)+1</f>
        <v/>
      </c>
      <c r="G2240">
        <f>IF(E2240=0,0,INDEX('Планы менеджеров'!$B$5:$M$16,B2240,D2240)/INDEX(Мес_Раб,D2240))</f>
        <v/>
      </c>
    </row>
    <row r="2241">
      <c r="A2241" t="inlineStr">
        <is>
          <t>Волков</t>
        </is>
      </c>
      <c r="B2241" t="n">
        <v>11</v>
      </c>
      <c r="C2241" s="18">
        <f>'Календарь'!A12</f>
        <v/>
      </c>
      <c r="D2241">
        <f>MONTH(C2241)</f>
        <v/>
      </c>
      <c r="E2241">
        <f>'Календарь'!D12</f>
        <v/>
      </c>
      <c r="F2241">
        <f>INT((C2241-Нед_Начало)/7)+1</f>
        <v/>
      </c>
      <c r="G2241">
        <f>IF(E2241=0,0,INDEX('Планы менеджеров'!$B$5:$M$16,B2241,D2241)/INDEX(Мес_Раб,D2241))</f>
        <v/>
      </c>
    </row>
    <row r="2242">
      <c r="A2242" t="inlineStr">
        <is>
          <t>Волков</t>
        </is>
      </c>
      <c r="B2242" t="n">
        <v>11</v>
      </c>
      <c r="C2242" s="18">
        <f>'Календарь'!A13</f>
        <v/>
      </c>
      <c r="D2242">
        <f>MONTH(C2242)</f>
        <v/>
      </c>
      <c r="E2242">
        <f>'Календарь'!D13</f>
        <v/>
      </c>
      <c r="F2242">
        <f>INT((C2242-Нед_Начало)/7)+1</f>
        <v/>
      </c>
      <c r="G2242">
        <f>IF(E2242=0,0,INDEX('Планы менеджеров'!$B$5:$M$16,B2242,D2242)/INDEX(Мес_Раб,D2242))</f>
        <v/>
      </c>
    </row>
    <row r="2243">
      <c r="A2243" t="inlineStr">
        <is>
          <t>Волков</t>
        </is>
      </c>
      <c r="B2243" t="n">
        <v>11</v>
      </c>
      <c r="C2243" s="18">
        <f>'Календарь'!A14</f>
        <v/>
      </c>
      <c r="D2243">
        <f>MONTH(C2243)</f>
        <v/>
      </c>
      <c r="E2243">
        <f>'Календарь'!D14</f>
        <v/>
      </c>
      <c r="F2243">
        <f>INT((C2243-Нед_Начало)/7)+1</f>
        <v/>
      </c>
      <c r="G2243">
        <f>IF(E2243=0,0,INDEX('Планы менеджеров'!$B$5:$M$16,B2243,D2243)/INDEX(Мес_Раб,D2243))</f>
        <v/>
      </c>
    </row>
    <row r="2244">
      <c r="A2244" t="inlineStr">
        <is>
          <t>Волков</t>
        </is>
      </c>
      <c r="B2244" t="n">
        <v>11</v>
      </c>
      <c r="C2244" s="18">
        <f>'Календарь'!A15</f>
        <v/>
      </c>
      <c r="D2244">
        <f>MONTH(C2244)</f>
        <v/>
      </c>
      <c r="E2244">
        <f>'Календарь'!D15</f>
        <v/>
      </c>
      <c r="F2244">
        <f>INT((C2244-Нед_Начало)/7)+1</f>
        <v/>
      </c>
      <c r="G2244">
        <f>IF(E2244=0,0,INDEX('Планы менеджеров'!$B$5:$M$16,B2244,D2244)/INDEX(Мес_Раб,D2244))</f>
        <v/>
      </c>
    </row>
    <row r="2245">
      <c r="A2245" t="inlineStr">
        <is>
          <t>Волков</t>
        </is>
      </c>
      <c r="B2245" t="n">
        <v>11</v>
      </c>
      <c r="C2245" s="18">
        <f>'Календарь'!A16</f>
        <v/>
      </c>
      <c r="D2245">
        <f>MONTH(C2245)</f>
        <v/>
      </c>
      <c r="E2245">
        <f>'Календарь'!D16</f>
        <v/>
      </c>
      <c r="F2245">
        <f>INT((C2245-Нед_Начало)/7)+1</f>
        <v/>
      </c>
      <c r="G2245">
        <f>IF(E2245=0,0,INDEX('Планы менеджеров'!$B$5:$M$16,B2245,D2245)/INDEX(Мес_Раб,D2245))</f>
        <v/>
      </c>
    </row>
    <row r="2246">
      <c r="A2246" t="inlineStr">
        <is>
          <t>Волков</t>
        </is>
      </c>
      <c r="B2246" t="n">
        <v>11</v>
      </c>
      <c r="C2246" s="18">
        <f>'Календарь'!A17</f>
        <v/>
      </c>
      <c r="D2246">
        <f>MONTH(C2246)</f>
        <v/>
      </c>
      <c r="E2246">
        <f>'Календарь'!D17</f>
        <v/>
      </c>
      <c r="F2246">
        <f>INT((C2246-Нед_Начало)/7)+1</f>
        <v/>
      </c>
      <c r="G2246">
        <f>IF(E2246=0,0,INDEX('Планы менеджеров'!$B$5:$M$16,B2246,D2246)/INDEX(Мес_Раб,D2246))</f>
        <v/>
      </c>
    </row>
    <row r="2247">
      <c r="A2247" t="inlineStr">
        <is>
          <t>Волков</t>
        </is>
      </c>
      <c r="B2247" t="n">
        <v>11</v>
      </c>
      <c r="C2247" s="18">
        <f>'Календарь'!A18</f>
        <v/>
      </c>
      <c r="D2247">
        <f>MONTH(C2247)</f>
        <v/>
      </c>
      <c r="E2247">
        <f>'Календарь'!D18</f>
        <v/>
      </c>
      <c r="F2247">
        <f>INT((C2247-Нед_Начало)/7)+1</f>
        <v/>
      </c>
      <c r="G2247">
        <f>IF(E2247=0,0,INDEX('Планы менеджеров'!$B$5:$M$16,B2247,D2247)/INDEX(Мес_Раб,D2247))</f>
        <v/>
      </c>
    </row>
    <row r="2248">
      <c r="A2248" t="inlineStr">
        <is>
          <t>Волков</t>
        </is>
      </c>
      <c r="B2248" t="n">
        <v>11</v>
      </c>
      <c r="C2248" s="18">
        <f>'Календарь'!A19</f>
        <v/>
      </c>
      <c r="D2248">
        <f>MONTH(C2248)</f>
        <v/>
      </c>
      <c r="E2248">
        <f>'Календарь'!D19</f>
        <v/>
      </c>
      <c r="F2248">
        <f>INT((C2248-Нед_Начало)/7)+1</f>
        <v/>
      </c>
      <c r="G2248">
        <f>IF(E2248=0,0,INDEX('Планы менеджеров'!$B$5:$M$16,B2248,D2248)/INDEX(Мес_Раб,D2248))</f>
        <v/>
      </c>
    </row>
    <row r="2249">
      <c r="A2249" t="inlineStr">
        <is>
          <t>Волков</t>
        </is>
      </c>
      <c r="B2249" t="n">
        <v>11</v>
      </c>
      <c r="C2249" s="18">
        <f>'Календарь'!A20</f>
        <v/>
      </c>
      <c r="D2249">
        <f>MONTH(C2249)</f>
        <v/>
      </c>
      <c r="E2249">
        <f>'Календарь'!D20</f>
        <v/>
      </c>
      <c r="F2249">
        <f>INT((C2249-Нед_Начало)/7)+1</f>
        <v/>
      </c>
      <c r="G2249">
        <f>IF(E2249=0,0,INDEX('Планы менеджеров'!$B$5:$M$16,B2249,D2249)/INDEX(Мес_Раб,D2249))</f>
        <v/>
      </c>
    </row>
    <row r="2250">
      <c r="A2250" t="inlineStr">
        <is>
          <t>Волков</t>
        </is>
      </c>
      <c r="B2250" t="n">
        <v>11</v>
      </c>
      <c r="C2250" s="18">
        <f>'Календарь'!A21</f>
        <v/>
      </c>
      <c r="D2250">
        <f>MONTH(C2250)</f>
        <v/>
      </c>
      <c r="E2250">
        <f>'Календарь'!D21</f>
        <v/>
      </c>
      <c r="F2250">
        <f>INT((C2250-Нед_Начало)/7)+1</f>
        <v/>
      </c>
      <c r="G2250">
        <f>IF(E2250=0,0,INDEX('Планы менеджеров'!$B$5:$M$16,B2250,D2250)/INDEX(Мес_Раб,D2250))</f>
        <v/>
      </c>
    </row>
    <row r="2251">
      <c r="A2251" t="inlineStr">
        <is>
          <t>Волков</t>
        </is>
      </c>
      <c r="B2251" t="n">
        <v>11</v>
      </c>
      <c r="C2251" s="18">
        <f>'Календарь'!A22</f>
        <v/>
      </c>
      <c r="D2251">
        <f>MONTH(C2251)</f>
        <v/>
      </c>
      <c r="E2251">
        <f>'Календарь'!D22</f>
        <v/>
      </c>
      <c r="F2251">
        <f>INT((C2251-Нед_Начало)/7)+1</f>
        <v/>
      </c>
      <c r="G2251">
        <f>IF(E2251=0,0,INDEX('Планы менеджеров'!$B$5:$M$16,B2251,D2251)/INDEX(Мес_Раб,D2251))</f>
        <v/>
      </c>
    </row>
    <row r="2252">
      <c r="A2252" t="inlineStr">
        <is>
          <t>Волков</t>
        </is>
      </c>
      <c r="B2252" t="n">
        <v>11</v>
      </c>
      <c r="C2252" s="18">
        <f>'Календарь'!A23</f>
        <v/>
      </c>
      <c r="D2252">
        <f>MONTH(C2252)</f>
        <v/>
      </c>
      <c r="E2252">
        <f>'Календарь'!D23</f>
        <v/>
      </c>
      <c r="F2252">
        <f>INT((C2252-Нед_Начало)/7)+1</f>
        <v/>
      </c>
      <c r="G2252">
        <f>IF(E2252=0,0,INDEX('Планы менеджеров'!$B$5:$M$16,B2252,D2252)/INDEX(Мес_Раб,D2252))</f>
        <v/>
      </c>
    </row>
    <row r="2253">
      <c r="A2253" t="inlineStr">
        <is>
          <t>Волков</t>
        </is>
      </c>
      <c r="B2253" t="n">
        <v>11</v>
      </c>
      <c r="C2253" s="18">
        <f>'Календарь'!A24</f>
        <v/>
      </c>
      <c r="D2253">
        <f>MONTH(C2253)</f>
        <v/>
      </c>
      <c r="E2253">
        <f>'Календарь'!D24</f>
        <v/>
      </c>
      <c r="F2253">
        <f>INT((C2253-Нед_Начало)/7)+1</f>
        <v/>
      </c>
      <c r="G2253">
        <f>IF(E2253=0,0,INDEX('Планы менеджеров'!$B$5:$M$16,B2253,D2253)/INDEX(Мес_Раб,D2253))</f>
        <v/>
      </c>
    </row>
    <row r="2254">
      <c r="A2254" t="inlineStr">
        <is>
          <t>Волков</t>
        </is>
      </c>
      <c r="B2254" t="n">
        <v>11</v>
      </c>
      <c r="C2254" s="18">
        <f>'Календарь'!A25</f>
        <v/>
      </c>
      <c r="D2254">
        <f>MONTH(C2254)</f>
        <v/>
      </c>
      <c r="E2254">
        <f>'Календарь'!D25</f>
        <v/>
      </c>
      <c r="F2254">
        <f>INT((C2254-Нед_Начало)/7)+1</f>
        <v/>
      </c>
      <c r="G2254">
        <f>IF(E2254=0,0,INDEX('Планы менеджеров'!$B$5:$M$16,B2254,D2254)/INDEX(Мес_Раб,D2254))</f>
        <v/>
      </c>
    </row>
    <row r="2255">
      <c r="A2255" t="inlineStr">
        <is>
          <t>Волков</t>
        </is>
      </c>
      <c r="B2255" t="n">
        <v>11</v>
      </c>
      <c r="C2255" s="18">
        <f>'Календарь'!A26</f>
        <v/>
      </c>
      <c r="D2255">
        <f>MONTH(C2255)</f>
        <v/>
      </c>
      <c r="E2255">
        <f>'Календарь'!D26</f>
        <v/>
      </c>
      <c r="F2255">
        <f>INT((C2255-Нед_Начало)/7)+1</f>
        <v/>
      </c>
      <c r="G2255">
        <f>IF(E2255=0,0,INDEX('Планы менеджеров'!$B$5:$M$16,B2255,D2255)/INDEX(Мес_Раб,D2255))</f>
        <v/>
      </c>
    </row>
    <row r="2256">
      <c r="A2256" t="inlineStr">
        <is>
          <t>Волков</t>
        </is>
      </c>
      <c r="B2256" t="n">
        <v>11</v>
      </c>
      <c r="C2256" s="18">
        <f>'Календарь'!A27</f>
        <v/>
      </c>
      <c r="D2256">
        <f>MONTH(C2256)</f>
        <v/>
      </c>
      <c r="E2256">
        <f>'Календарь'!D27</f>
        <v/>
      </c>
      <c r="F2256">
        <f>INT((C2256-Нед_Начало)/7)+1</f>
        <v/>
      </c>
      <c r="G2256">
        <f>IF(E2256=0,0,INDEX('Планы менеджеров'!$B$5:$M$16,B2256,D2256)/INDEX(Мес_Раб,D2256))</f>
        <v/>
      </c>
    </row>
    <row r="2257">
      <c r="A2257" t="inlineStr">
        <is>
          <t>Волков</t>
        </is>
      </c>
      <c r="B2257" t="n">
        <v>11</v>
      </c>
      <c r="C2257" s="18">
        <f>'Календарь'!A28</f>
        <v/>
      </c>
      <c r="D2257">
        <f>MONTH(C2257)</f>
        <v/>
      </c>
      <c r="E2257">
        <f>'Календарь'!D28</f>
        <v/>
      </c>
      <c r="F2257">
        <f>INT((C2257-Нед_Начало)/7)+1</f>
        <v/>
      </c>
      <c r="G2257">
        <f>IF(E2257=0,0,INDEX('Планы менеджеров'!$B$5:$M$16,B2257,D2257)/INDEX(Мес_Раб,D2257))</f>
        <v/>
      </c>
    </row>
    <row r="2258">
      <c r="A2258" t="inlineStr">
        <is>
          <t>Волков</t>
        </is>
      </c>
      <c r="B2258" t="n">
        <v>11</v>
      </c>
      <c r="C2258" s="18">
        <f>'Календарь'!A29</f>
        <v/>
      </c>
      <c r="D2258">
        <f>MONTH(C2258)</f>
        <v/>
      </c>
      <c r="E2258">
        <f>'Календарь'!D29</f>
        <v/>
      </c>
      <c r="F2258">
        <f>INT((C2258-Нед_Начало)/7)+1</f>
        <v/>
      </c>
      <c r="G2258">
        <f>IF(E2258=0,0,INDEX('Планы менеджеров'!$B$5:$M$16,B2258,D2258)/INDEX(Мес_Раб,D2258))</f>
        <v/>
      </c>
    </row>
    <row r="2259">
      <c r="A2259" t="inlineStr">
        <is>
          <t>Волков</t>
        </is>
      </c>
      <c r="B2259" t="n">
        <v>11</v>
      </c>
      <c r="C2259" s="18">
        <f>'Календарь'!A30</f>
        <v/>
      </c>
      <c r="D2259">
        <f>MONTH(C2259)</f>
        <v/>
      </c>
      <c r="E2259">
        <f>'Календарь'!D30</f>
        <v/>
      </c>
      <c r="F2259">
        <f>INT((C2259-Нед_Начало)/7)+1</f>
        <v/>
      </c>
      <c r="G2259">
        <f>IF(E2259=0,0,INDEX('Планы менеджеров'!$B$5:$M$16,B2259,D2259)/INDEX(Мес_Раб,D2259))</f>
        <v/>
      </c>
    </row>
    <row r="2260">
      <c r="A2260" t="inlineStr">
        <is>
          <t>Волков</t>
        </is>
      </c>
      <c r="B2260" t="n">
        <v>11</v>
      </c>
      <c r="C2260" s="18">
        <f>'Календарь'!A31</f>
        <v/>
      </c>
      <c r="D2260">
        <f>MONTH(C2260)</f>
        <v/>
      </c>
      <c r="E2260">
        <f>'Календарь'!D31</f>
        <v/>
      </c>
      <c r="F2260">
        <f>INT((C2260-Нед_Начало)/7)+1</f>
        <v/>
      </c>
      <c r="G2260">
        <f>IF(E2260=0,0,INDEX('Планы менеджеров'!$B$5:$M$16,B2260,D2260)/INDEX(Мес_Раб,D2260))</f>
        <v/>
      </c>
    </row>
    <row r="2261">
      <c r="A2261" t="inlineStr">
        <is>
          <t>Волков</t>
        </is>
      </c>
      <c r="B2261" t="n">
        <v>11</v>
      </c>
      <c r="C2261" s="18">
        <f>'Календарь'!A32</f>
        <v/>
      </c>
      <c r="D2261">
        <f>MONTH(C2261)</f>
        <v/>
      </c>
      <c r="E2261">
        <f>'Календарь'!D32</f>
        <v/>
      </c>
      <c r="F2261">
        <f>INT((C2261-Нед_Начало)/7)+1</f>
        <v/>
      </c>
      <c r="G2261">
        <f>IF(E2261=0,0,INDEX('Планы менеджеров'!$B$5:$M$16,B2261,D2261)/INDEX(Мес_Раб,D2261))</f>
        <v/>
      </c>
    </row>
    <row r="2262">
      <c r="A2262" t="inlineStr">
        <is>
          <t>Волков</t>
        </is>
      </c>
      <c r="B2262" t="n">
        <v>11</v>
      </c>
      <c r="C2262" s="18">
        <f>'Календарь'!A33</f>
        <v/>
      </c>
      <c r="D2262">
        <f>MONTH(C2262)</f>
        <v/>
      </c>
      <c r="E2262">
        <f>'Календарь'!D33</f>
        <v/>
      </c>
      <c r="F2262">
        <f>INT((C2262-Нед_Начало)/7)+1</f>
        <v/>
      </c>
      <c r="G2262">
        <f>IF(E2262=0,0,INDEX('Планы менеджеров'!$B$5:$M$16,B2262,D2262)/INDEX(Мес_Раб,D2262))</f>
        <v/>
      </c>
    </row>
    <row r="2263">
      <c r="A2263" t="inlineStr">
        <is>
          <t>Волков</t>
        </is>
      </c>
      <c r="B2263" t="n">
        <v>11</v>
      </c>
      <c r="C2263" s="18">
        <f>'Календарь'!A34</f>
        <v/>
      </c>
      <c r="D2263">
        <f>MONTH(C2263)</f>
        <v/>
      </c>
      <c r="E2263">
        <f>'Календарь'!D34</f>
        <v/>
      </c>
      <c r="F2263">
        <f>INT((C2263-Нед_Начало)/7)+1</f>
        <v/>
      </c>
      <c r="G2263">
        <f>IF(E2263=0,0,INDEX('Планы менеджеров'!$B$5:$M$16,B2263,D2263)/INDEX(Мес_Раб,D2263))</f>
        <v/>
      </c>
    </row>
    <row r="2264">
      <c r="A2264" t="inlineStr">
        <is>
          <t>Волков</t>
        </is>
      </c>
      <c r="B2264" t="n">
        <v>11</v>
      </c>
      <c r="C2264" s="18">
        <f>'Календарь'!A35</f>
        <v/>
      </c>
      <c r="D2264">
        <f>MONTH(C2264)</f>
        <v/>
      </c>
      <c r="E2264">
        <f>'Календарь'!D35</f>
        <v/>
      </c>
      <c r="F2264">
        <f>INT((C2264-Нед_Начало)/7)+1</f>
        <v/>
      </c>
      <c r="G2264">
        <f>IF(E2264=0,0,INDEX('Планы менеджеров'!$B$5:$M$16,B2264,D2264)/INDEX(Мес_Раб,D2264))</f>
        <v/>
      </c>
    </row>
    <row r="2265">
      <c r="A2265" t="inlineStr">
        <is>
          <t>Волков</t>
        </is>
      </c>
      <c r="B2265" t="n">
        <v>11</v>
      </c>
      <c r="C2265" s="18">
        <f>'Календарь'!A36</f>
        <v/>
      </c>
      <c r="D2265">
        <f>MONTH(C2265)</f>
        <v/>
      </c>
      <c r="E2265">
        <f>'Календарь'!D36</f>
        <v/>
      </c>
      <c r="F2265">
        <f>INT((C2265-Нед_Начало)/7)+1</f>
        <v/>
      </c>
      <c r="G2265">
        <f>IF(E2265=0,0,INDEX('Планы менеджеров'!$B$5:$M$16,B2265,D2265)/INDEX(Мес_Раб,D2265))</f>
        <v/>
      </c>
    </row>
    <row r="2266">
      <c r="A2266" t="inlineStr">
        <is>
          <t>Волков</t>
        </is>
      </c>
      <c r="B2266" t="n">
        <v>11</v>
      </c>
      <c r="C2266" s="18">
        <f>'Календарь'!A37</f>
        <v/>
      </c>
      <c r="D2266">
        <f>MONTH(C2266)</f>
        <v/>
      </c>
      <c r="E2266">
        <f>'Календарь'!D37</f>
        <v/>
      </c>
      <c r="F2266">
        <f>INT((C2266-Нед_Начало)/7)+1</f>
        <v/>
      </c>
      <c r="G2266">
        <f>IF(E2266=0,0,INDEX('Планы менеджеров'!$B$5:$M$16,B2266,D2266)/INDEX(Мес_Раб,D2266))</f>
        <v/>
      </c>
    </row>
    <row r="2267">
      <c r="A2267" t="inlineStr">
        <is>
          <t>Волков</t>
        </is>
      </c>
      <c r="B2267" t="n">
        <v>11</v>
      </c>
      <c r="C2267" s="18">
        <f>'Календарь'!A38</f>
        <v/>
      </c>
      <c r="D2267">
        <f>MONTH(C2267)</f>
        <v/>
      </c>
      <c r="E2267">
        <f>'Календарь'!D38</f>
        <v/>
      </c>
      <c r="F2267">
        <f>INT((C2267-Нед_Начало)/7)+1</f>
        <v/>
      </c>
      <c r="G2267">
        <f>IF(E2267=0,0,INDEX('Планы менеджеров'!$B$5:$M$16,B2267,D2267)/INDEX(Мес_Раб,D2267))</f>
        <v/>
      </c>
    </row>
    <row r="2268">
      <c r="A2268" t="inlineStr">
        <is>
          <t>Волков</t>
        </is>
      </c>
      <c r="B2268" t="n">
        <v>11</v>
      </c>
      <c r="C2268" s="18">
        <f>'Календарь'!A39</f>
        <v/>
      </c>
      <c r="D2268">
        <f>MONTH(C2268)</f>
        <v/>
      </c>
      <c r="E2268">
        <f>'Календарь'!D39</f>
        <v/>
      </c>
      <c r="F2268">
        <f>INT((C2268-Нед_Начало)/7)+1</f>
        <v/>
      </c>
      <c r="G2268">
        <f>IF(E2268=0,0,INDEX('Планы менеджеров'!$B$5:$M$16,B2268,D2268)/INDEX(Мес_Раб,D2268))</f>
        <v/>
      </c>
    </row>
    <row r="2269">
      <c r="A2269" t="inlineStr">
        <is>
          <t>Волков</t>
        </is>
      </c>
      <c r="B2269" t="n">
        <v>11</v>
      </c>
      <c r="C2269" s="18">
        <f>'Календарь'!A40</f>
        <v/>
      </c>
      <c r="D2269">
        <f>MONTH(C2269)</f>
        <v/>
      </c>
      <c r="E2269">
        <f>'Календарь'!D40</f>
        <v/>
      </c>
      <c r="F2269">
        <f>INT((C2269-Нед_Начало)/7)+1</f>
        <v/>
      </c>
      <c r="G2269">
        <f>IF(E2269=0,0,INDEX('Планы менеджеров'!$B$5:$M$16,B2269,D2269)/INDEX(Мес_Раб,D2269))</f>
        <v/>
      </c>
    </row>
    <row r="2270">
      <c r="A2270" t="inlineStr">
        <is>
          <t>Волков</t>
        </is>
      </c>
      <c r="B2270" t="n">
        <v>11</v>
      </c>
      <c r="C2270" s="18">
        <f>'Календарь'!A41</f>
        <v/>
      </c>
      <c r="D2270">
        <f>MONTH(C2270)</f>
        <v/>
      </c>
      <c r="E2270">
        <f>'Календарь'!D41</f>
        <v/>
      </c>
      <c r="F2270">
        <f>INT((C2270-Нед_Начало)/7)+1</f>
        <v/>
      </c>
      <c r="G2270">
        <f>IF(E2270=0,0,INDEX('Планы менеджеров'!$B$5:$M$16,B2270,D2270)/INDEX(Мес_Раб,D2270))</f>
        <v/>
      </c>
    </row>
    <row r="2271">
      <c r="A2271" t="inlineStr">
        <is>
          <t>Волков</t>
        </is>
      </c>
      <c r="B2271" t="n">
        <v>11</v>
      </c>
      <c r="C2271" s="18">
        <f>'Календарь'!A42</f>
        <v/>
      </c>
      <c r="D2271">
        <f>MONTH(C2271)</f>
        <v/>
      </c>
      <c r="E2271">
        <f>'Календарь'!D42</f>
        <v/>
      </c>
      <c r="F2271">
        <f>INT((C2271-Нед_Начало)/7)+1</f>
        <v/>
      </c>
      <c r="G2271">
        <f>IF(E2271=0,0,INDEX('Планы менеджеров'!$B$5:$M$16,B2271,D2271)/INDEX(Мес_Раб,D2271))</f>
        <v/>
      </c>
    </row>
    <row r="2272">
      <c r="A2272" t="inlineStr">
        <is>
          <t>Волков</t>
        </is>
      </c>
      <c r="B2272" t="n">
        <v>11</v>
      </c>
      <c r="C2272" s="18">
        <f>'Календарь'!A43</f>
        <v/>
      </c>
      <c r="D2272">
        <f>MONTH(C2272)</f>
        <v/>
      </c>
      <c r="E2272">
        <f>'Календарь'!D43</f>
        <v/>
      </c>
      <c r="F2272">
        <f>INT((C2272-Нед_Начало)/7)+1</f>
        <v/>
      </c>
      <c r="G2272">
        <f>IF(E2272=0,0,INDEX('Планы менеджеров'!$B$5:$M$16,B2272,D2272)/INDEX(Мес_Раб,D2272))</f>
        <v/>
      </c>
    </row>
    <row r="2273">
      <c r="A2273" t="inlineStr">
        <is>
          <t>Волков</t>
        </is>
      </c>
      <c r="B2273" t="n">
        <v>11</v>
      </c>
      <c r="C2273" s="18">
        <f>'Календарь'!A44</f>
        <v/>
      </c>
      <c r="D2273">
        <f>MONTH(C2273)</f>
        <v/>
      </c>
      <c r="E2273">
        <f>'Календарь'!D44</f>
        <v/>
      </c>
      <c r="F2273">
        <f>INT((C2273-Нед_Начало)/7)+1</f>
        <v/>
      </c>
      <c r="G2273">
        <f>IF(E2273=0,0,INDEX('Планы менеджеров'!$B$5:$M$16,B2273,D2273)/INDEX(Мес_Раб,D2273))</f>
        <v/>
      </c>
    </row>
    <row r="2274">
      <c r="A2274" t="inlineStr">
        <is>
          <t>Волков</t>
        </is>
      </c>
      <c r="B2274" t="n">
        <v>11</v>
      </c>
      <c r="C2274" s="18">
        <f>'Календарь'!A45</f>
        <v/>
      </c>
      <c r="D2274">
        <f>MONTH(C2274)</f>
        <v/>
      </c>
      <c r="E2274">
        <f>'Календарь'!D45</f>
        <v/>
      </c>
      <c r="F2274">
        <f>INT((C2274-Нед_Начало)/7)+1</f>
        <v/>
      </c>
      <c r="G2274">
        <f>IF(E2274=0,0,INDEX('Планы менеджеров'!$B$5:$M$16,B2274,D2274)/INDEX(Мес_Раб,D2274))</f>
        <v/>
      </c>
    </row>
    <row r="2275">
      <c r="A2275" t="inlineStr">
        <is>
          <t>Волков</t>
        </is>
      </c>
      <c r="B2275" t="n">
        <v>11</v>
      </c>
      <c r="C2275" s="18">
        <f>'Календарь'!A46</f>
        <v/>
      </c>
      <c r="D2275">
        <f>MONTH(C2275)</f>
        <v/>
      </c>
      <c r="E2275">
        <f>'Календарь'!D46</f>
        <v/>
      </c>
      <c r="F2275">
        <f>INT((C2275-Нед_Начало)/7)+1</f>
        <v/>
      </c>
      <c r="G2275">
        <f>IF(E2275=0,0,INDEX('Планы менеджеров'!$B$5:$M$16,B2275,D2275)/INDEX(Мес_Раб,D2275))</f>
        <v/>
      </c>
    </row>
    <row r="2276">
      <c r="A2276" t="inlineStr">
        <is>
          <t>Волков</t>
        </is>
      </c>
      <c r="B2276" t="n">
        <v>11</v>
      </c>
      <c r="C2276" s="18">
        <f>'Календарь'!A47</f>
        <v/>
      </c>
      <c r="D2276">
        <f>MONTH(C2276)</f>
        <v/>
      </c>
      <c r="E2276">
        <f>'Календарь'!D47</f>
        <v/>
      </c>
      <c r="F2276">
        <f>INT((C2276-Нед_Начало)/7)+1</f>
        <v/>
      </c>
      <c r="G2276">
        <f>IF(E2276=0,0,INDEX('Планы менеджеров'!$B$5:$M$16,B2276,D2276)/INDEX(Мес_Раб,D2276))</f>
        <v/>
      </c>
    </row>
    <row r="2277">
      <c r="A2277" t="inlineStr">
        <is>
          <t>Волков</t>
        </is>
      </c>
      <c r="B2277" t="n">
        <v>11</v>
      </c>
      <c r="C2277" s="18">
        <f>'Календарь'!A48</f>
        <v/>
      </c>
      <c r="D2277">
        <f>MONTH(C2277)</f>
        <v/>
      </c>
      <c r="E2277">
        <f>'Календарь'!D48</f>
        <v/>
      </c>
      <c r="F2277">
        <f>INT((C2277-Нед_Начало)/7)+1</f>
        <v/>
      </c>
      <c r="G2277">
        <f>IF(E2277=0,0,INDEX('Планы менеджеров'!$B$5:$M$16,B2277,D2277)/INDEX(Мес_Раб,D2277))</f>
        <v/>
      </c>
    </row>
    <row r="2278">
      <c r="A2278" t="inlineStr">
        <is>
          <t>Волков</t>
        </is>
      </c>
      <c r="B2278" t="n">
        <v>11</v>
      </c>
      <c r="C2278" s="18">
        <f>'Календарь'!A49</f>
        <v/>
      </c>
      <c r="D2278">
        <f>MONTH(C2278)</f>
        <v/>
      </c>
      <c r="E2278">
        <f>'Календарь'!D49</f>
        <v/>
      </c>
      <c r="F2278">
        <f>INT((C2278-Нед_Начало)/7)+1</f>
        <v/>
      </c>
      <c r="G2278">
        <f>IF(E2278=0,0,INDEX('Планы менеджеров'!$B$5:$M$16,B2278,D2278)/INDEX(Мес_Раб,D2278))</f>
        <v/>
      </c>
    </row>
    <row r="2279">
      <c r="A2279" t="inlineStr">
        <is>
          <t>Волков</t>
        </is>
      </c>
      <c r="B2279" t="n">
        <v>11</v>
      </c>
      <c r="C2279" s="18">
        <f>'Календарь'!A50</f>
        <v/>
      </c>
      <c r="D2279">
        <f>MONTH(C2279)</f>
        <v/>
      </c>
      <c r="E2279">
        <f>'Календарь'!D50</f>
        <v/>
      </c>
      <c r="F2279">
        <f>INT((C2279-Нед_Начало)/7)+1</f>
        <v/>
      </c>
      <c r="G2279">
        <f>IF(E2279=0,0,INDEX('Планы менеджеров'!$B$5:$M$16,B2279,D2279)/INDEX(Мес_Раб,D2279))</f>
        <v/>
      </c>
    </row>
    <row r="2280">
      <c r="A2280" t="inlineStr">
        <is>
          <t>Волков</t>
        </is>
      </c>
      <c r="B2280" t="n">
        <v>11</v>
      </c>
      <c r="C2280" s="18">
        <f>'Календарь'!A51</f>
        <v/>
      </c>
      <c r="D2280">
        <f>MONTH(C2280)</f>
        <v/>
      </c>
      <c r="E2280">
        <f>'Календарь'!D51</f>
        <v/>
      </c>
      <c r="F2280">
        <f>INT((C2280-Нед_Начало)/7)+1</f>
        <v/>
      </c>
      <c r="G2280">
        <f>IF(E2280=0,0,INDEX('Планы менеджеров'!$B$5:$M$16,B2280,D2280)/INDEX(Мес_Раб,D2280))</f>
        <v/>
      </c>
    </row>
    <row r="2281">
      <c r="A2281" t="inlineStr">
        <is>
          <t>Волков</t>
        </is>
      </c>
      <c r="B2281" t="n">
        <v>11</v>
      </c>
      <c r="C2281" s="18">
        <f>'Календарь'!A52</f>
        <v/>
      </c>
      <c r="D2281">
        <f>MONTH(C2281)</f>
        <v/>
      </c>
      <c r="E2281">
        <f>'Календарь'!D52</f>
        <v/>
      </c>
      <c r="F2281">
        <f>INT((C2281-Нед_Начало)/7)+1</f>
        <v/>
      </c>
      <c r="G2281">
        <f>IF(E2281=0,0,INDEX('Планы менеджеров'!$B$5:$M$16,B2281,D2281)/INDEX(Мес_Раб,D2281))</f>
        <v/>
      </c>
    </row>
    <row r="2282">
      <c r="A2282" t="inlineStr">
        <is>
          <t>Волков</t>
        </is>
      </c>
      <c r="B2282" t="n">
        <v>11</v>
      </c>
      <c r="C2282" s="18">
        <f>'Календарь'!A53</f>
        <v/>
      </c>
      <c r="D2282">
        <f>MONTH(C2282)</f>
        <v/>
      </c>
      <c r="E2282">
        <f>'Календарь'!D53</f>
        <v/>
      </c>
      <c r="F2282">
        <f>INT((C2282-Нед_Начало)/7)+1</f>
        <v/>
      </c>
      <c r="G2282">
        <f>IF(E2282=0,0,INDEX('Планы менеджеров'!$B$5:$M$16,B2282,D2282)/INDEX(Мес_Раб,D2282))</f>
        <v/>
      </c>
    </row>
    <row r="2283">
      <c r="A2283" t="inlineStr">
        <is>
          <t>Волков</t>
        </is>
      </c>
      <c r="B2283" t="n">
        <v>11</v>
      </c>
      <c r="C2283" s="18">
        <f>'Календарь'!A54</f>
        <v/>
      </c>
      <c r="D2283">
        <f>MONTH(C2283)</f>
        <v/>
      </c>
      <c r="E2283">
        <f>'Календарь'!D54</f>
        <v/>
      </c>
      <c r="F2283">
        <f>INT((C2283-Нед_Начало)/7)+1</f>
        <v/>
      </c>
      <c r="G2283">
        <f>IF(E2283=0,0,INDEX('Планы менеджеров'!$B$5:$M$16,B2283,D2283)/INDEX(Мес_Раб,D2283))</f>
        <v/>
      </c>
    </row>
    <row r="2284">
      <c r="A2284" t="inlineStr">
        <is>
          <t>Волков</t>
        </is>
      </c>
      <c r="B2284" t="n">
        <v>11</v>
      </c>
      <c r="C2284" s="18">
        <f>'Календарь'!A55</f>
        <v/>
      </c>
      <c r="D2284">
        <f>MONTH(C2284)</f>
        <v/>
      </c>
      <c r="E2284">
        <f>'Календарь'!D55</f>
        <v/>
      </c>
      <c r="F2284">
        <f>INT((C2284-Нед_Начало)/7)+1</f>
        <v/>
      </c>
      <c r="G2284">
        <f>IF(E2284=0,0,INDEX('Планы менеджеров'!$B$5:$M$16,B2284,D2284)/INDEX(Мес_Раб,D2284))</f>
        <v/>
      </c>
    </row>
    <row r="2285">
      <c r="A2285" t="inlineStr">
        <is>
          <t>Волков</t>
        </is>
      </c>
      <c r="B2285" t="n">
        <v>11</v>
      </c>
      <c r="C2285" s="18">
        <f>'Календарь'!A56</f>
        <v/>
      </c>
      <c r="D2285">
        <f>MONTH(C2285)</f>
        <v/>
      </c>
      <c r="E2285">
        <f>'Календарь'!D56</f>
        <v/>
      </c>
      <c r="F2285">
        <f>INT((C2285-Нед_Начало)/7)+1</f>
        <v/>
      </c>
      <c r="G2285">
        <f>IF(E2285=0,0,INDEX('Планы менеджеров'!$B$5:$M$16,B2285,D2285)/INDEX(Мес_Раб,D2285))</f>
        <v/>
      </c>
    </row>
    <row r="2286">
      <c r="A2286" t="inlineStr">
        <is>
          <t>Волков</t>
        </is>
      </c>
      <c r="B2286" t="n">
        <v>11</v>
      </c>
      <c r="C2286" s="18">
        <f>'Календарь'!A57</f>
        <v/>
      </c>
      <c r="D2286">
        <f>MONTH(C2286)</f>
        <v/>
      </c>
      <c r="E2286">
        <f>'Календарь'!D57</f>
        <v/>
      </c>
      <c r="F2286">
        <f>INT((C2286-Нед_Начало)/7)+1</f>
        <v/>
      </c>
      <c r="G2286">
        <f>IF(E2286=0,0,INDEX('Планы менеджеров'!$B$5:$M$16,B2286,D2286)/INDEX(Мес_Раб,D2286))</f>
        <v/>
      </c>
    </row>
    <row r="2287">
      <c r="A2287" t="inlineStr">
        <is>
          <t>Волков</t>
        </is>
      </c>
      <c r="B2287" t="n">
        <v>11</v>
      </c>
      <c r="C2287" s="18">
        <f>'Календарь'!A58</f>
        <v/>
      </c>
      <c r="D2287">
        <f>MONTH(C2287)</f>
        <v/>
      </c>
      <c r="E2287">
        <f>'Календарь'!D58</f>
        <v/>
      </c>
      <c r="F2287">
        <f>INT((C2287-Нед_Начало)/7)+1</f>
        <v/>
      </c>
      <c r="G2287">
        <f>IF(E2287=0,0,INDEX('Планы менеджеров'!$B$5:$M$16,B2287,D2287)/INDEX(Мес_Раб,D2287))</f>
        <v/>
      </c>
    </row>
    <row r="2288">
      <c r="A2288" t="inlineStr">
        <is>
          <t>Волков</t>
        </is>
      </c>
      <c r="B2288" t="n">
        <v>11</v>
      </c>
      <c r="C2288" s="18">
        <f>'Календарь'!A59</f>
        <v/>
      </c>
      <c r="D2288">
        <f>MONTH(C2288)</f>
        <v/>
      </c>
      <c r="E2288">
        <f>'Календарь'!D59</f>
        <v/>
      </c>
      <c r="F2288">
        <f>INT((C2288-Нед_Начало)/7)+1</f>
        <v/>
      </c>
      <c r="G2288">
        <f>IF(E2288=0,0,INDEX('Планы менеджеров'!$B$5:$M$16,B2288,D2288)/INDEX(Мес_Раб,D2288))</f>
        <v/>
      </c>
    </row>
    <row r="2289">
      <c r="A2289" t="inlineStr">
        <is>
          <t>Волков</t>
        </is>
      </c>
      <c r="B2289" t="n">
        <v>11</v>
      </c>
      <c r="C2289" s="18">
        <f>'Календарь'!A60</f>
        <v/>
      </c>
      <c r="D2289">
        <f>MONTH(C2289)</f>
        <v/>
      </c>
      <c r="E2289">
        <f>'Календарь'!D60</f>
        <v/>
      </c>
      <c r="F2289">
        <f>INT((C2289-Нед_Начало)/7)+1</f>
        <v/>
      </c>
      <c r="G2289">
        <f>IF(E2289=0,0,INDEX('Планы менеджеров'!$B$5:$M$16,B2289,D2289)/INDEX(Мес_Раб,D2289))</f>
        <v/>
      </c>
    </row>
    <row r="2290">
      <c r="A2290" t="inlineStr">
        <is>
          <t>Волков</t>
        </is>
      </c>
      <c r="B2290" t="n">
        <v>11</v>
      </c>
      <c r="C2290" s="18">
        <f>'Календарь'!A61</f>
        <v/>
      </c>
      <c r="D2290">
        <f>MONTH(C2290)</f>
        <v/>
      </c>
      <c r="E2290">
        <f>'Календарь'!D61</f>
        <v/>
      </c>
      <c r="F2290">
        <f>INT((C2290-Нед_Начало)/7)+1</f>
        <v/>
      </c>
      <c r="G2290">
        <f>IF(E2290=0,0,INDEX('Планы менеджеров'!$B$5:$M$16,B2290,D2290)/INDEX(Мес_Раб,D2290))</f>
        <v/>
      </c>
    </row>
    <row r="2291">
      <c r="A2291" t="inlineStr">
        <is>
          <t>Волков</t>
        </is>
      </c>
      <c r="B2291" t="n">
        <v>11</v>
      </c>
      <c r="C2291" s="18">
        <f>'Календарь'!A62</f>
        <v/>
      </c>
      <c r="D2291">
        <f>MONTH(C2291)</f>
        <v/>
      </c>
      <c r="E2291">
        <f>'Календарь'!D62</f>
        <v/>
      </c>
      <c r="F2291">
        <f>INT((C2291-Нед_Начало)/7)+1</f>
        <v/>
      </c>
      <c r="G2291">
        <f>IF(E2291=0,0,INDEX('Планы менеджеров'!$B$5:$M$16,B2291,D2291)/INDEX(Мес_Раб,D2291))</f>
        <v/>
      </c>
    </row>
    <row r="2292">
      <c r="A2292" t="inlineStr">
        <is>
          <t>Волков</t>
        </is>
      </c>
      <c r="B2292" t="n">
        <v>11</v>
      </c>
      <c r="C2292" s="18">
        <f>'Календарь'!A63</f>
        <v/>
      </c>
      <c r="D2292">
        <f>MONTH(C2292)</f>
        <v/>
      </c>
      <c r="E2292">
        <f>'Календарь'!D63</f>
        <v/>
      </c>
      <c r="F2292">
        <f>INT((C2292-Нед_Начало)/7)+1</f>
        <v/>
      </c>
      <c r="G2292">
        <f>IF(E2292=0,0,INDEX('Планы менеджеров'!$B$5:$M$16,B2292,D2292)/INDEX(Мес_Раб,D2292))</f>
        <v/>
      </c>
    </row>
    <row r="2293">
      <c r="A2293" t="inlineStr">
        <is>
          <t>Волков</t>
        </is>
      </c>
      <c r="B2293" t="n">
        <v>11</v>
      </c>
      <c r="C2293" s="18">
        <f>'Календарь'!A64</f>
        <v/>
      </c>
      <c r="D2293">
        <f>MONTH(C2293)</f>
        <v/>
      </c>
      <c r="E2293">
        <f>'Календарь'!D64</f>
        <v/>
      </c>
      <c r="F2293">
        <f>INT((C2293-Нед_Начало)/7)+1</f>
        <v/>
      </c>
      <c r="G2293">
        <f>IF(E2293=0,0,INDEX('Планы менеджеров'!$B$5:$M$16,B2293,D2293)/INDEX(Мес_Раб,D2293))</f>
        <v/>
      </c>
    </row>
    <row r="2294">
      <c r="A2294" t="inlineStr">
        <is>
          <t>Волков</t>
        </is>
      </c>
      <c r="B2294" t="n">
        <v>11</v>
      </c>
      <c r="C2294" s="18">
        <f>'Календарь'!A65</f>
        <v/>
      </c>
      <c r="D2294">
        <f>MONTH(C2294)</f>
        <v/>
      </c>
      <c r="E2294">
        <f>'Календарь'!D65</f>
        <v/>
      </c>
      <c r="F2294">
        <f>INT((C2294-Нед_Начало)/7)+1</f>
        <v/>
      </c>
      <c r="G2294">
        <f>IF(E2294=0,0,INDEX('Планы менеджеров'!$B$5:$M$16,B2294,D2294)/INDEX(Мес_Раб,D2294))</f>
        <v/>
      </c>
    </row>
    <row r="2295">
      <c r="A2295" t="inlineStr">
        <is>
          <t>Волков</t>
        </is>
      </c>
      <c r="B2295" t="n">
        <v>11</v>
      </c>
      <c r="C2295" s="18">
        <f>'Календарь'!A66</f>
        <v/>
      </c>
      <c r="D2295">
        <f>MONTH(C2295)</f>
        <v/>
      </c>
      <c r="E2295">
        <f>'Календарь'!D66</f>
        <v/>
      </c>
      <c r="F2295">
        <f>INT((C2295-Нед_Начало)/7)+1</f>
        <v/>
      </c>
      <c r="G2295">
        <f>IF(E2295=0,0,INDEX('Планы менеджеров'!$B$5:$M$16,B2295,D2295)/INDEX(Мес_Раб,D2295))</f>
        <v/>
      </c>
    </row>
    <row r="2296">
      <c r="A2296" t="inlineStr">
        <is>
          <t>Волков</t>
        </is>
      </c>
      <c r="B2296" t="n">
        <v>11</v>
      </c>
      <c r="C2296" s="18">
        <f>'Календарь'!A67</f>
        <v/>
      </c>
      <c r="D2296">
        <f>MONTH(C2296)</f>
        <v/>
      </c>
      <c r="E2296">
        <f>'Календарь'!D67</f>
        <v/>
      </c>
      <c r="F2296">
        <f>INT((C2296-Нед_Начало)/7)+1</f>
        <v/>
      </c>
      <c r="G2296">
        <f>IF(E2296=0,0,INDEX('Планы менеджеров'!$B$5:$M$16,B2296,D2296)/INDEX(Мес_Раб,D2296))</f>
        <v/>
      </c>
    </row>
    <row r="2297">
      <c r="A2297" t="inlineStr">
        <is>
          <t>Волков</t>
        </is>
      </c>
      <c r="B2297" t="n">
        <v>11</v>
      </c>
      <c r="C2297" s="18">
        <f>'Календарь'!A68</f>
        <v/>
      </c>
      <c r="D2297">
        <f>MONTH(C2297)</f>
        <v/>
      </c>
      <c r="E2297">
        <f>'Календарь'!D68</f>
        <v/>
      </c>
      <c r="F2297">
        <f>INT((C2297-Нед_Начало)/7)+1</f>
        <v/>
      </c>
      <c r="G2297">
        <f>IF(E2297=0,0,INDEX('Планы менеджеров'!$B$5:$M$16,B2297,D2297)/INDEX(Мес_Раб,D2297))</f>
        <v/>
      </c>
    </row>
    <row r="2298">
      <c r="A2298" t="inlineStr">
        <is>
          <t>Волков</t>
        </is>
      </c>
      <c r="B2298" t="n">
        <v>11</v>
      </c>
      <c r="C2298" s="18">
        <f>'Календарь'!A69</f>
        <v/>
      </c>
      <c r="D2298">
        <f>MONTH(C2298)</f>
        <v/>
      </c>
      <c r="E2298">
        <f>'Календарь'!D69</f>
        <v/>
      </c>
      <c r="F2298">
        <f>INT((C2298-Нед_Начало)/7)+1</f>
        <v/>
      </c>
      <c r="G2298">
        <f>IF(E2298=0,0,INDEX('Планы менеджеров'!$B$5:$M$16,B2298,D2298)/INDEX(Мес_Раб,D2298))</f>
        <v/>
      </c>
    </row>
    <row r="2299">
      <c r="A2299" t="inlineStr">
        <is>
          <t>Волков</t>
        </is>
      </c>
      <c r="B2299" t="n">
        <v>11</v>
      </c>
      <c r="C2299" s="18">
        <f>'Календарь'!A70</f>
        <v/>
      </c>
      <c r="D2299">
        <f>MONTH(C2299)</f>
        <v/>
      </c>
      <c r="E2299">
        <f>'Календарь'!D70</f>
        <v/>
      </c>
      <c r="F2299">
        <f>INT((C2299-Нед_Начало)/7)+1</f>
        <v/>
      </c>
      <c r="G2299">
        <f>IF(E2299=0,0,INDEX('Планы менеджеров'!$B$5:$M$16,B2299,D2299)/INDEX(Мес_Раб,D2299))</f>
        <v/>
      </c>
    </row>
    <row r="2300">
      <c r="A2300" t="inlineStr">
        <is>
          <t>Волков</t>
        </is>
      </c>
      <c r="B2300" t="n">
        <v>11</v>
      </c>
      <c r="C2300" s="18">
        <f>'Календарь'!A71</f>
        <v/>
      </c>
      <c r="D2300">
        <f>MONTH(C2300)</f>
        <v/>
      </c>
      <c r="E2300">
        <f>'Календарь'!D71</f>
        <v/>
      </c>
      <c r="F2300">
        <f>INT((C2300-Нед_Начало)/7)+1</f>
        <v/>
      </c>
      <c r="G2300">
        <f>IF(E2300=0,0,INDEX('Планы менеджеров'!$B$5:$M$16,B2300,D2300)/INDEX(Мес_Раб,D2300))</f>
        <v/>
      </c>
    </row>
    <row r="2301">
      <c r="A2301" t="inlineStr">
        <is>
          <t>Волков</t>
        </is>
      </c>
      <c r="B2301" t="n">
        <v>11</v>
      </c>
      <c r="C2301" s="18">
        <f>'Календарь'!A72</f>
        <v/>
      </c>
      <c r="D2301">
        <f>MONTH(C2301)</f>
        <v/>
      </c>
      <c r="E2301">
        <f>'Календарь'!D72</f>
        <v/>
      </c>
      <c r="F2301">
        <f>INT((C2301-Нед_Начало)/7)+1</f>
        <v/>
      </c>
      <c r="G2301">
        <f>IF(E2301=0,0,INDEX('Планы менеджеров'!$B$5:$M$16,B2301,D2301)/INDEX(Мес_Раб,D2301))</f>
        <v/>
      </c>
    </row>
    <row r="2302">
      <c r="A2302" t="inlineStr">
        <is>
          <t>Волков</t>
        </is>
      </c>
      <c r="B2302" t="n">
        <v>11</v>
      </c>
      <c r="C2302" s="18">
        <f>'Календарь'!A73</f>
        <v/>
      </c>
      <c r="D2302">
        <f>MONTH(C2302)</f>
        <v/>
      </c>
      <c r="E2302">
        <f>'Календарь'!D73</f>
        <v/>
      </c>
      <c r="F2302">
        <f>INT((C2302-Нед_Начало)/7)+1</f>
        <v/>
      </c>
      <c r="G2302">
        <f>IF(E2302=0,0,INDEX('Планы менеджеров'!$B$5:$M$16,B2302,D2302)/INDEX(Мес_Раб,D2302))</f>
        <v/>
      </c>
    </row>
    <row r="2303">
      <c r="A2303" t="inlineStr">
        <is>
          <t>Волков</t>
        </is>
      </c>
      <c r="B2303" t="n">
        <v>11</v>
      </c>
      <c r="C2303" s="18">
        <f>'Календарь'!A74</f>
        <v/>
      </c>
      <c r="D2303">
        <f>MONTH(C2303)</f>
        <v/>
      </c>
      <c r="E2303">
        <f>'Календарь'!D74</f>
        <v/>
      </c>
      <c r="F2303">
        <f>INT((C2303-Нед_Начало)/7)+1</f>
        <v/>
      </c>
      <c r="G2303">
        <f>IF(E2303=0,0,INDEX('Планы менеджеров'!$B$5:$M$16,B2303,D2303)/INDEX(Мес_Раб,D2303))</f>
        <v/>
      </c>
    </row>
    <row r="2304">
      <c r="A2304" t="inlineStr">
        <is>
          <t>Волков</t>
        </is>
      </c>
      <c r="B2304" t="n">
        <v>11</v>
      </c>
      <c r="C2304" s="18">
        <f>'Календарь'!A75</f>
        <v/>
      </c>
      <c r="D2304">
        <f>MONTH(C2304)</f>
        <v/>
      </c>
      <c r="E2304">
        <f>'Календарь'!D75</f>
        <v/>
      </c>
      <c r="F2304">
        <f>INT((C2304-Нед_Начало)/7)+1</f>
        <v/>
      </c>
      <c r="G2304">
        <f>IF(E2304=0,0,INDEX('Планы менеджеров'!$B$5:$M$16,B2304,D2304)/INDEX(Мес_Раб,D2304))</f>
        <v/>
      </c>
    </row>
    <row r="2305">
      <c r="A2305" t="inlineStr">
        <is>
          <t>Волков</t>
        </is>
      </c>
      <c r="B2305" t="n">
        <v>11</v>
      </c>
      <c r="C2305" s="18">
        <f>'Календарь'!A76</f>
        <v/>
      </c>
      <c r="D2305">
        <f>MONTH(C2305)</f>
        <v/>
      </c>
      <c r="E2305">
        <f>'Календарь'!D76</f>
        <v/>
      </c>
      <c r="F2305">
        <f>INT((C2305-Нед_Начало)/7)+1</f>
        <v/>
      </c>
      <c r="G2305">
        <f>IF(E2305=0,0,INDEX('Планы менеджеров'!$B$5:$M$16,B2305,D2305)/INDEX(Мес_Раб,D2305))</f>
        <v/>
      </c>
    </row>
    <row r="2306">
      <c r="A2306" t="inlineStr">
        <is>
          <t>Волков</t>
        </is>
      </c>
      <c r="B2306" t="n">
        <v>11</v>
      </c>
      <c r="C2306" s="18">
        <f>'Календарь'!A77</f>
        <v/>
      </c>
      <c r="D2306">
        <f>MONTH(C2306)</f>
        <v/>
      </c>
      <c r="E2306">
        <f>'Календарь'!D77</f>
        <v/>
      </c>
      <c r="F2306">
        <f>INT((C2306-Нед_Начало)/7)+1</f>
        <v/>
      </c>
      <c r="G2306">
        <f>IF(E2306=0,0,INDEX('Планы менеджеров'!$B$5:$M$16,B2306,D2306)/INDEX(Мес_Раб,D2306))</f>
        <v/>
      </c>
    </row>
    <row r="2307">
      <c r="A2307" t="inlineStr">
        <is>
          <t>Волков</t>
        </is>
      </c>
      <c r="B2307" t="n">
        <v>11</v>
      </c>
      <c r="C2307" s="18">
        <f>'Календарь'!A78</f>
        <v/>
      </c>
      <c r="D2307">
        <f>MONTH(C2307)</f>
        <v/>
      </c>
      <c r="E2307">
        <f>'Календарь'!D78</f>
        <v/>
      </c>
      <c r="F2307">
        <f>INT((C2307-Нед_Начало)/7)+1</f>
        <v/>
      </c>
      <c r="G2307">
        <f>IF(E2307=0,0,INDEX('Планы менеджеров'!$B$5:$M$16,B2307,D2307)/INDEX(Мес_Раб,D2307))</f>
        <v/>
      </c>
    </row>
    <row r="2308">
      <c r="A2308" t="inlineStr">
        <is>
          <t>Волков</t>
        </is>
      </c>
      <c r="B2308" t="n">
        <v>11</v>
      </c>
      <c r="C2308" s="18">
        <f>'Календарь'!A79</f>
        <v/>
      </c>
      <c r="D2308">
        <f>MONTH(C2308)</f>
        <v/>
      </c>
      <c r="E2308">
        <f>'Календарь'!D79</f>
        <v/>
      </c>
      <c r="F2308">
        <f>INT((C2308-Нед_Начало)/7)+1</f>
        <v/>
      </c>
      <c r="G2308">
        <f>IF(E2308=0,0,INDEX('Планы менеджеров'!$B$5:$M$16,B2308,D2308)/INDEX(Мес_Раб,D2308))</f>
        <v/>
      </c>
    </row>
    <row r="2309">
      <c r="A2309" t="inlineStr">
        <is>
          <t>Волков</t>
        </is>
      </c>
      <c r="B2309" t="n">
        <v>11</v>
      </c>
      <c r="C2309" s="18">
        <f>'Календарь'!A80</f>
        <v/>
      </c>
      <c r="D2309">
        <f>MONTH(C2309)</f>
        <v/>
      </c>
      <c r="E2309">
        <f>'Календарь'!D80</f>
        <v/>
      </c>
      <c r="F2309">
        <f>INT((C2309-Нед_Начало)/7)+1</f>
        <v/>
      </c>
      <c r="G2309">
        <f>IF(E2309=0,0,INDEX('Планы менеджеров'!$B$5:$M$16,B2309,D2309)/INDEX(Мес_Раб,D2309))</f>
        <v/>
      </c>
    </row>
    <row r="2310">
      <c r="A2310" t="inlineStr">
        <is>
          <t>Волков</t>
        </is>
      </c>
      <c r="B2310" t="n">
        <v>11</v>
      </c>
      <c r="C2310" s="18">
        <f>'Календарь'!A81</f>
        <v/>
      </c>
      <c r="D2310">
        <f>MONTH(C2310)</f>
        <v/>
      </c>
      <c r="E2310">
        <f>'Календарь'!D81</f>
        <v/>
      </c>
      <c r="F2310">
        <f>INT((C2310-Нед_Начало)/7)+1</f>
        <v/>
      </c>
      <c r="G2310">
        <f>IF(E2310=0,0,INDEX('Планы менеджеров'!$B$5:$M$16,B2310,D2310)/INDEX(Мес_Раб,D2310))</f>
        <v/>
      </c>
    </row>
    <row r="2311">
      <c r="A2311" t="inlineStr">
        <is>
          <t>Волков</t>
        </is>
      </c>
      <c r="B2311" t="n">
        <v>11</v>
      </c>
      <c r="C2311" s="18">
        <f>'Календарь'!A82</f>
        <v/>
      </c>
      <c r="D2311">
        <f>MONTH(C2311)</f>
        <v/>
      </c>
      <c r="E2311">
        <f>'Календарь'!D82</f>
        <v/>
      </c>
      <c r="F2311">
        <f>INT((C2311-Нед_Начало)/7)+1</f>
        <v/>
      </c>
      <c r="G2311">
        <f>IF(E2311=0,0,INDEX('Планы менеджеров'!$B$5:$M$16,B2311,D2311)/INDEX(Мес_Раб,D2311))</f>
        <v/>
      </c>
    </row>
    <row r="2312">
      <c r="A2312" t="inlineStr">
        <is>
          <t>Волков</t>
        </is>
      </c>
      <c r="B2312" t="n">
        <v>11</v>
      </c>
      <c r="C2312" s="18">
        <f>'Календарь'!A83</f>
        <v/>
      </c>
      <c r="D2312">
        <f>MONTH(C2312)</f>
        <v/>
      </c>
      <c r="E2312">
        <f>'Календарь'!D83</f>
        <v/>
      </c>
      <c r="F2312">
        <f>INT((C2312-Нед_Начало)/7)+1</f>
        <v/>
      </c>
      <c r="G2312">
        <f>IF(E2312=0,0,INDEX('Планы менеджеров'!$B$5:$M$16,B2312,D2312)/INDEX(Мес_Раб,D2312))</f>
        <v/>
      </c>
    </row>
    <row r="2313">
      <c r="A2313" t="inlineStr">
        <is>
          <t>Волков</t>
        </is>
      </c>
      <c r="B2313" t="n">
        <v>11</v>
      </c>
      <c r="C2313" s="18">
        <f>'Календарь'!A84</f>
        <v/>
      </c>
      <c r="D2313">
        <f>MONTH(C2313)</f>
        <v/>
      </c>
      <c r="E2313">
        <f>'Календарь'!D84</f>
        <v/>
      </c>
      <c r="F2313">
        <f>INT((C2313-Нед_Начало)/7)+1</f>
        <v/>
      </c>
      <c r="G2313">
        <f>IF(E2313=0,0,INDEX('Планы менеджеров'!$B$5:$M$16,B2313,D2313)/INDEX(Мес_Раб,D2313))</f>
        <v/>
      </c>
    </row>
    <row r="2314">
      <c r="A2314" t="inlineStr">
        <is>
          <t>Волков</t>
        </is>
      </c>
      <c r="B2314" t="n">
        <v>11</v>
      </c>
      <c r="C2314" s="18">
        <f>'Календарь'!A85</f>
        <v/>
      </c>
      <c r="D2314">
        <f>MONTH(C2314)</f>
        <v/>
      </c>
      <c r="E2314">
        <f>'Календарь'!D85</f>
        <v/>
      </c>
      <c r="F2314">
        <f>INT((C2314-Нед_Начало)/7)+1</f>
        <v/>
      </c>
      <c r="G2314">
        <f>IF(E2314=0,0,INDEX('Планы менеджеров'!$B$5:$M$16,B2314,D2314)/INDEX(Мес_Раб,D2314))</f>
        <v/>
      </c>
    </row>
    <row r="2315">
      <c r="A2315" t="inlineStr">
        <is>
          <t>Волков</t>
        </is>
      </c>
      <c r="B2315" t="n">
        <v>11</v>
      </c>
      <c r="C2315" s="18">
        <f>'Календарь'!A86</f>
        <v/>
      </c>
      <c r="D2315">
        <f>MONTH(C2315)</f>
        <v/>
      </c>
      <c r="E2315">
        <f>'Календарь'!D86</f>
        <v/>
      </c>
      <c r="F2315">
        <f>INT((C2315-Нед_Начало)/7)+1</f>
        <v/>
      </c>
      <c r="G2315">
        <f>IF(E2315=0,0,INDEX('Планы менеджеров'!$B$5:$M$16,B2315,D2315)/INDEX(Мес_Раб,D2315))</f>
        <v/>
      </c>
    </row>
    <row r="2316">
      <c r="A2316" t="inlineStr">
        <is>
          <t>Волков</t>
        </is>
      </c>
      <c r="B2316" t="n">
        <v>11</v>
      </c>
      <c r="C2316" s="18">
        <f>'Календарь'!A87</f>
        <v/>
      </c>
      <c r="D2316">
        <f>MONTH(C2316)</f>
        <v/>
      </c>
      <c r="E2316">
        <f>'Календарь'!D87</f>
        <v/>
      </c>
      <c r="F2316">
        <f>INT((C2316-Нед_Начало)/7)+1</f>
        <v/>
      </c>
      <c r="G2316">
        <f>IF(E2316=0,0,INDEX('Планы менеджеров'!$B$5:$M$16,B2316,D2316)/INDEX(Мес_Раб,D2316))</f>
        <v/>
      </c>
    </row>
    <row r="2317">
      <c r="A2317" t="inlineStr">
        <is>
          <t>Волков</t>
        </is>
      </c>
      <c r="B2317" t="n">
        <v>11</v>
      </c>
      <c r="C2317" s="18">
        <f>'Календарь'!A88</f>
        <v/>
      </c>
      <c r="D2317">
        <f>MONTH(C2317)</f>
        <v/>
      </c>
      <c r="E2317">
        <f>'Календарь'!D88</f>
        <v/>
      </c>
      <c r="F2317">
        <f>INT((C2317-Нед_Начало)/7)+1</f>
        <v/>
      </c>
      <c r="G2317">
        <f>IF(E2317=0,0,INDEX('Планы менеджеров'!$B$5:$M$16,B2317,D2317)/INDEX(Мес_Раб,D2317))</f>
        <v/>
      </c>
    </row>
    <row r="2318">
      <c r="A2318" t="inlineStr">
        <is>
          <t>Волков</t>
        </is>
      </c>
      <c r="B2318" t="n">
        <v>11</v>
      </c>
      <c r="C2318" s="18">
        <f>'Календарь'!A89</f>
        <v/>
      </c>
      <c r="D2318">
        <f>MONTH(C2318)</f>
        <v/>
      </c>
      <c r="E2318">
        <f>'Календарь'!D89</f>
        <v/>
      </c>
      <c r="F2318">
        <f>INT((C2318-Нед_Начало)/7)+1</f>
        <v/>
      </c>
      <c r="G2318">
        <f>IF(E2318=0,0,INDEX('Планы менеджеров'!$B$5:$M$16,B2318,D2318)/INDEX(Мес_Раб,D2318))</f>
        <v/>
      </c>
    </row>
    <row r="2319">
      <c r="A2319" t="inlineStr">
        <is>
          <t>Волков</t>
        </is>
      </c>
      <c r="B2319" t="n">
        <v>11</v>
      </c>
      <c r="C2319" s="18">
        <f>'Календарь'!A90</f>
        <v/>
      </c>
      <c r="D2319">
        <f>MONTH(C2319)</f>
        <v/>
      </c>
      <c r="E2319">
        <f>'Календарь'!D90</f>
        <v/>
      </c>
      <c r="F2319">
        <f>INT((C2319-Нед_Начало)/7)+1</f>
        <v/>
      </c>
      <c r="G2319">
        <f>IF(E2319=0,0,INDEX('Планы менеджеров'!$B$5:$M$16,B2319,D2319)/INDEX(Мес_Раб,D2319))</f>
        <v/>
      </c>
    </row>
    <row r="2320">
      <c r="A2320" t="inlineStr">
        <is>
          <t>Волков</t>
        </is>
      </c>
      <c r="B2320" t="n">
        <v>11</v>
      </c>
      <c r="C2320" s="18">
        <f>'Календарь'!A91</f>
        <v/>
      </c>
      <c r="D2320">
        <f>MONTH(C2320)</f>
        <v/>
      </c>
      <c r="E2320">
        <f>'Календарь'!D91</f>
        <v/>
      </c>
      <c r="F2320">
        <f>INT((C2320-Нед_Начало)/7)+1</f>
        <v/>
      </c>
      <c r="G2320">
        <f>IF(E2320=0,0,INDEX('Планы менеджеров'!$B$5:$M$16,B2320,D2320)/INDEX(Мес_Раб,D2320))</f>
        <v/>
      </c>
    </row>
    <row r="2321">
      <c r="A2321" t="inlineStr">
        <is>
          <t>Волков</t>
        </is>
      </c>
      <c r="B2321" t="n">
        <v>11</v>
      </c>
      <c r="C2321" s="18">
        <f>'Календарь'!A92</f>
        <v/>
      </c>
      <c r="D2321">
        <f>MONTH(C2321)</f>
        <v/>
      </c>
      <c r="E2321">
        <f>'Календарь'!D92</f>
        <v/>
      </c>
      <c r="F2321">
        <f>INT((C2321-Нед_Начало)/7)+1</f>
        <v/>
      </c>
      <c r="G2321">
        <f>IF(E2321=0,0,INDEX('Планы менеджеров'!$B$5:$M$16,B2321,D2321)/INDEX(Мес_Раб,D2321))</f>
        <v/>
      </c>
    </row>
    <row r="2322">
      <c r="A2322" t="inlineStr">
        <is>
          <t>Волков</t>
        </is>
      </c>
      <c r="B2322" t="n">
        <v>11</v>
      </c>
      <c r="C2322" s="18">
        <f>'Календарь'!A93</f>
        <v/>
      </c>
      <c r="D2322">
        <f>MONTH(C2322)</f>
        <v/>
      </c>
      <c r="E2322">
        <f>'Календарь'!D93</f>
        <v/>
      </c>
      <c r="F2322">
        <f>INT((C2322-Нед_Начало)/7)+1</f>
        <v/>
      </c>
      <c r="G2322">
        <f>IF(E2322=0,0,INDEX('Планы менеджеров'!$B$5:$M$16,B2322,D2322)/INDEX(Мес_Раб,D2322))</f>
        <v/>
      </c>
    </row>
    <row r="2323">
      <c r="A2323" t="inlineStr">
        <is>
          <t>Волков</t>
        </is>
      </c>
      <c r="B2323" t="n">
        <v>11</v>
      </c>
      <c r="C2323" s="18">
        <f>'Календарь'!A94</f>
        <v/>
      </c>
      <c r="D2323">
        <f>MONTH(C2323)</f>
        <v/>
      </c>
      <c r="E2323">
        <f>'Календарь'!D94</f>
        <v/>
      </c>
      <c r="F2323">
        <f>INT((C2323-Нед_Начало)/7)+1</f>
        <v/>
      </c>
      <c r="G2323">
        <f>IF(E2323=0,0,INDEX('Планы менеджеров'!$B$5:$M$16,B2323,D2323)/INDEX(Мес_Раб,D2323))</f>
        <v/>
      </c>
    </row>
    <row r="2324">
      <c r="A2324" t="inlineStr">
        <is>
          <t>Волков</t>
        </is>
      </c>
      <c r="B2324" t="n">
        <v>11</v>
      </c>
      <c r="C2324" s="18">
        <f>'Календарь'!A95</f>
        <v/>
      </c>
      <c r="D2324">
        <f>MONTH(C2324)</f>
        <v/>
      </c>
      <c r="E2324">
        <f>'Календарь'!D95</f>
        <v/>
      </c>
      <c r="F2324">
        <f>INT((C2324-Нед_Начало)/7)+1</f>
        <v/>
      </c>
      <c r="G2324">
        <f>IF(E2324=0,0,INDEX('Планы менеджеров'!$B$5:$M$16,B2324,D2324)/INDEX(Мес_Раб,D2324))</f>
        <v/>
      </c>
    </row>
    <row r="2325">
      <c r="A2325" t="inlineStr">
        <is>
          <t>Волков</t>
        </is>
      </c>
      <c r="B2325" t="n">
        <v>11</v>
      </c>
      <c r="C2325" s="18">
        <f>'Календарь'!A96</f>
        <v/>
      </c>
      <c r="D2325">
        <f>MONTH(C2325)</f>
        <v/>
      </c>
      <c r="E2325">
        <f>'Календарь'!D96</f>
        <v/>
      </c>
      <c r="F2325">
        <f>INT((C2325-Нед_Начало)/7)+1</f>
        <v/>
      </c>
      <c r="G2325">
        <f>IF(E2325=0,0,INDEX('Планы менеджеров'!$B$5:$M$16,B2325,D2325)/INDEX(Мес_Раб,D2325))</f>
        <v/>
      </c>
    </row>
    <row r="2326">
      <c r="A2326" t="inlineStr">
        <is>
          <t>Волков</t>
        </is>
      </c>
      <c r="B2326" t="n">
        <v>11</v>
      </c>
      <c r="C2326" s="18">
        <f>'Календарь'!A97</f>
        <v/>
      </c>
      <c r="D2326">
        <f>MONTH(C2326)</f>
        <v/>
      </c>
      <c r="E2326">
        <f>'Календарь'!D97</f>
        <v/>
      </c>
      <c r="F2326">
        <f>INT((C2326-Нед_Начало)/7)+1</f>
        <v/>
      </c>
      <c r="G2326">
        <f>IF(E2326=0,0,INDEX('Планы менеджеров'!$B$5:$M$16,B2326,D2326)/INDEX(Мес_Раб,D2326))</f>
        <v/>
      </c>
    </row>
    <row r="2327">
      <c r="A2327" t="inlineStr">
        <is>
          <t>Волков</t>
        </is>
      </c>
      <c r="B2327" t="n">
        <v>11</v>
      </c>
      <c r="C2327" s="18">
        <f>'Календарь'!A98</f>
        <v/>
      </c>
      <c r="D2327">
        <f>MONTH(C2327)</f>
        <v/>
      </c>
      <c r="E2327">
        <f>'Календарь'!D98</f>
        <v/>
      </c>
      <c r="F2327">
        <f>INT((C2327-Нед_Начало)/7)+1</f>
        <v/>
      </c>
      <c r="G2327">
        <f>IF(E2327=0,0,INDEX('Планы менеджеров'!$B$5:$M$16,B2327,D2327)/INDEX(Мес_Раб,D2327))</f>
        <v/>
      </c>
    </row>
    <row r="2328">
      <c r="A2328" t="inlineStr">
        <is>
          <t>Волков</t>
        </is>
      </c>
      <c r="B2328" t="n">
        <v>11</v>
      </c>
      <c r="C2328" s="18">
        <f>'Календарь'!A99</f>
        <v/>
      </c>
      <c r="D2328">
        <f>MONTH(C2328)</f>
        <v/>
      </c>
      <c r="E2328">
        <f>'Календарь'!D99</f>
        <v/>
      </c>
      <c r="F2328">
        <f>INT((C2328-Нед_Начало)/7)+1</f>
        <v/>
      </c>
      <c r="G2328">
        <f>IF(E2328=0,0,INDEX('Планы менеджеров'!$B$5:$M$16,B2328,D2328)/INDEX(Мес_Раб,D2328))</f>
        <v/>
      </c>
    </row>
    <row r="2329">
      <c r="A2329" t="inlineStr">
        <is>
          <t>Волков</t>
        </is>
      </c>
      <c r="B2329" t="n">
        <v>11</v>
      </c>
      <c r="C2329" s="18">
        <f>'Календарь'!A100</f>
        <v/>
      </c>
      <c r="D2329">
        <f>MONTH(C2329)</f>
        <v/>
      </c>
      <c r="E2329">
        <f>'Календарь'!D100</f>
        <v/>
      </c>
      <c r="F2329">
        <f>INT((C2329-Нед_Начало)/7)+1</f>
        <v/>
      </c>
      <c r="G2329">
        <f>IF(E2329=0,0,INDEX('Планы менеджеров'!$B$5:$M$16,B2329,D2329)/INDEX(Мес_Раб,D2329))</f>
        <v/>
      </c>
    </row>
    <row r="2330">
      <c r="A2330" t="inlineStr">
        <is>
          <t>Волков</t>
        </is>
      </c>
      <c r="B2330" t="n">
        <v>11</v>
      </c>
      <c r="C2330" s="18">
        <f>'Календарь'!A101</f>
        <v/>
      </c>
      <c r="D2330">
        <f>MONTH(C2330)</f>
        <v/>
      </c>
      <c r="E2330">
        <f>'Календарь'!D101</f>
        <v/>
      </c>
      <c r="F2330">
        <f>INT((C2330-Нед_Начало)/7)+1</f>
        <v/>
      </c>
      <c r="G2330">
        <f>IF(E2330=0,0,INDEX('Планы менеджеров'!$B$5:$M$16,B2330,D2330)/INDEX(Мес_Раб,D2330))</f>
        <v/>
      </c>
    </row>
    <row r="2331">
      <c r="A2331" t="inlineStr">
        <is>
          <t>Волков</t>
        </is>
      </c>
      <c r="B2331" t="n">
        <v>11</v>
      </c>
      <c r="C2331" s="18">
        <f>'Календарь'!A102</f>
        <v/>
      </c>
      <c r="D2331">
        <f>MONTH(C2331)</f>
        <v/>
      </c>
      <c r="E2331">
        <f>'Календарь'!D102</f>
        <v/>
      </c>
      <c r="F2331">
        <f>INT((C2331-Нед_Начало)/7)+1</f>
        <v/>
      </c>
      <c r="G2331">
        <f>IF(E2331=0,0,INDEX('Планы менеджеров'!$B$5:$M$16,B2331,D2331)/INDEX(Мес_Раб,D2331))</f>
        <v/>
      </c>
    </row>
    <row r="2332">
      <c r="A2332" t="inlineStr">
        <is>
          <t>Волков</t>
        </is>
      </c>
      <c r="B2332" t="n">
        <v>11</v>
      </c>
      <c r="C2332" s="18">
        <f>'Календарь'!A103</f>
        <v/>
      </c>
      <c r="D2332">
        <f>MONTH(C2332)</f>
        <v/>
      </c>
      <c r="E2332">
        <f>'Календарь'!D103</f>
        <v/>
      </c>
      <c r="F2332">
        <f>INT((C2332-Нед_Начало)/7)+1</f>
        <v/>
      </c>
      <c r="G2332">
        <f>IF(E2332=0,0,INDEX('Планы менеджеров'!$B$5:$M$16,B2332,D2332)/INDEX(Мес_Раб,D2332))</f>
        <v/>
      </c>
    </row>
    <row r="2333">
      <c r="A2333" t="inlineStr">
        <is>
          <t>Волков</t>
        </is>
      </c>
      <c r="B2333" t="n">
        <v>11</v>
      </c>
      <c r="C2333" s="18">
        <f>'Календарь'!A104</f>
        <v/>
      </c>
      <c r="D2333">
        <f>MONTH(C2333)</f>
        <v/>
      </c>
      <c r="E2333">
        <f>'Календарь'!D104</f>
        <v/>
      </c>
      <c r="F2333">
        <f>INT((C2333-Нед_Начало)/7)+1</f>
        <v/>
      </c>
      <c r="G2333">
        <f>IF(E2333=0,0,INDEX('Планы менеджеров'!$B$5:$M$16,B2333,D2333)/INDEX(Мес_Раб,D2333))</f>
        <v/>
      </c>
    </row>
    <row r="2334">
      <c r="A2334" t="inlineStr">
        <is>
          <t>Волков</t>
        </is>
      </c>
      <c r="B2334" t="n">
        <v>11</v>
      </c>
      <c r="C2334" s="18">
        <f>'Календарь'!A105</f>
        <v/>
      </c>
      <c r="D2334">
        <f>MONTH(C2334)</f>
        <v/>
      </c>
      <c r="E2334">
        <f>'Календарь'!D105</f>
        <v/>
      </c>
      <c r="F2334">
        <f>INT((C2334-Нед_Начало)/7)+1</f>
        <v/>
      </c>
      <c r="G2334">
        <f>IF(E2334=0,0,INDEX('Планы менеджеров'!$B$5:$M$16,B2334,D2334)/INDEX(Мес_Раб,D2334))</f>
        <v/>
      </c>
    </row>
    <row r="2335">
      <c r="A2335" t="inlineStr">
        <is>
          <t>Волков</t>
        </is>
      </c>
      <c r="B2335" t="n">
        <v>11</v>
      </c>
      <c r="C2335" s="18">
        <f>'Календарь'!A106</f>
        <v/>
      </c>
      <c r="D2335">
        <f>MONTH(C2335)</f>
        <v/>
      </c>
      <c r="E2335">
        <f>'Календарь'!D106</f>
        <v/>
      </c>
      <c r="F2335">
        <f>INT((C2335-Нед_Начало)/7)+1</f>
        <v/>
      </c>
      <c r="G2335">
        <f>IF(E2335=0,0,INDEX('Планы менеджеров'!$B$5:$M$16,B2335,D2335)/INDEX(Мес_Раб,D2335))</f>
        <v/>
      </c>
    </row>
    <row r="2336">
      <c r="A2336" t="inlineStr">
        <is>
          <t>Волков</t>
        </is>
      </c>
      <c r="B2336" t="n">
        <v>11</v>
      </c>
      <c r="C2336" s="18">
        <f>'Календарь'!A107</f>
        <v/>
      </c>
      <c r="D2336">
        <f>MONTH(C2336)</f>
        <v/>
      </c>
      <c r="E2336">
        <f>'Календарь'!D107</f>
        <v/>
      </c>
      <c r="F2336">
        <f>INT((C2336-Нед_Начало)/7)+1</f>
        <v/>
      </c>
      <c r="G2336">
        <f>IF(E2336=0,0,INDEX('Планы менеджеров'!$B$5:$M$16,B2336,D2336)/INDEX(Мес_Раб,D2336))</f>
        <v/>
      </c>
    </row>
    <row r="2337">
      <c r="A2337" t="inlineStr">
        <is>
          <t>Волков</t>
        </is>
      </c>
      <c r="B2337" t="n">
        <v>11</v>
      </c>
      <c r="C2337" s="18">
        <f>'Календарь'!A108</f>
        <v/>
      </c>
      <c r="D2337">
        <f>MONTH(C2337)</f>
        <v/>
      </c>
      <c r="E2337">
        <f>'Календарь'!D108</f>
        <v/>
      </c>
      <c r="F2337">
        <f>INT((C2337-Нед_Начало)/7)+1</f>
        <v/>
      </c>
      <c r="G2337">
        <f>IF(E2337=0,0,INDEX('Планы менеджеров'!$B$5:$M$16,B2337,D2337)/INDEX(Мес_Раб,D2337))</f>
        <v/>
      </c>
    </row>
    <row r="2338">
      <c r="A2338" t="inlineStr">
        <is>
          <t>Волков</t>
        </is>
      </c>
      <c r="B2338" t="n">
        <v>11</v>
      </c>
      <c r="C2338" s="18">
        <f>'Календарь'!A109</f>
        <v/>
      </c>
      <c r="D2338">
        <f>MONTH(C2338)</f>
        <v/>
      </c>
      <c r="E2338">
        <f>'Календарь'!D109</f>
        <v/>
      </c>
      <c r="F2338">
        <f>INT((C2338-Нед_Начало)/7)+1</f>
        <v/>
      </c>
      <c r="G2338">
        <f>IF(E2338=0,0,INDEX('Планы менеджеров'!$B$5:$M$16,B2338,D2338)/INDEX(Мес_Раб,D2338))</f>
        <v/>
      </c>
    </row>
    <row r="2339">
      <c r="A2339" t="inlineStr">
        <is>
          <t>Волков</t>
        </is>
      </c>
      <c r="B2339" t="n">
        <v>11</v>
      </c>
      <c r="C2339" s="18">
        <f>'Календарь'!A110</f>
        <v/>
      </c>
      <c r="D2339">
        <f>MONTH(C2339)</f>
        <v/>
      </c>
      <c r="E2339">
        <f>'Календарь'!D110</f>
        <v/>
      </c>
      <c r="F2339">
        <f>INT((C2339-Нед_Начало)/7)+1</f>
        <v/>
      </c>
      <c r="G2339">
        <f>IF(E2339=0,0,INDEX('Планы менеджеров'!$B$5:$M$16,B2339,D2339)/INDEX(Мес_Раб,D2339))</f>
        <v/>
      </c>
    </row>
    <row r="2340">
      <c r="A2340" t="inlineStr">
        <is>
          <t>Волков</t>
        </is>
      </c>
      <c r="B2340" t="n">
        <v>11</v>
      </c>
      <c r="C2340" s="18">
        <f>'Календарь'!A111</f>
        <v/>
      </c>
      <c r="D2340">
        <f>MONTH(C2340)</f>
        <v/>
      </c>
      <c r="E2340">
        <f>'Календарь'!D111</f>
        <v/>
      </c>
      <c r="F2340">
        <f>INT((C2340-Нед_Начало)/7)+1</f>
        <v/>
      </c>
      <c r="G2340">
        <f>IF(E2340=0,0,INDEX('Планы менеджеров'!$B$5:$M$16,B2340,D2340)/INDEX(Мес_Раб,D2340))</f>
        <v/>
      </c>
    </row>
    <row r="2341">
      <c r="A2341" t="inlineStr">
        <is>
          <t>Волков</t>
        </is>
      </c>
      <c r="B2341" t="n">
        <v>11</v>
      </c>
      <c r="C2341" s="18">
        <f>'Календарь'!A112</f>
        <v/>
      </c>
      <c r="D2341">
        <f>MONTH(C2341)</f>
        <v/>
      </c>
      <c r="E2341">
        <f>'Календарь'!D112</f>
        <v/>
      </c>
      <c r="F2341">
        <f>INT((C2341-Нед_Начало)/7)+1</f>
        <v/>
      </c>
      <c r="G2341">
        <f>IF(E2341=0,0,INDEX('Планы менеджеров'!$B$5:$M$16,B2341,D2341)/INDEX(Мес_Раб,D2341))</f>
        <v/>
      </c>
    </row>
    <row r="2342">
      <c r="A2342" t="inlineStr">
        <is>
          <t>Волков</t>
        </is>
      </c>
      <c r="B2342" t="n">
        <v>11</v>
      </c>
      <c r="C2342" s="18">
        <f>'Календарь'!A113</f>
        <v/>
      </c>
      <c r="D2342">
        <f>MONTH(C2342)</f>
        <v/>
      </c>
      <c r="E2342">
        <f>'Календарь'!D113</f>
        <v/>
      </c>
      <c r="F2342">
        <f>INT((C2342-Нед_Начало)/7)+1</f>
        <v/>
      </c>
      <c r="G2342">
        <f>IF(E2342=0,0,INDEX('Планы менеджеров'!$B$5:$M$16,B2342,D2342)/INDEX(Мес_Раб,D2342))</f>
        <v/>
      </c>
    </row>
    <row r="2343">
      <c r="A2343" t="inlineStr">
        <is>
          <t>Волков</t>
        </is>
      </c>
      <c r="B2343" t="n">
        <v>11</v>
      </c>
      <c r="C2343" s="18">
        <f>'Календарь'!A114</f>
        <v/>
      </c>
      <c r="D2343">
        <f>MONTH(C2343)</f>
        <v/>
      </c>
      <c r="E2343">
        <f>'Календарь'!D114</f>
        <v/>
      </c>
      <c r="F2343">
        <f>INT((C2343-Нед_Начало)/7)+1</f>
        <v/>
      </c>
      <c r="G2343">
        <f>IF(E2343=0,0,INDEX('Планы менеджеров'!$B$5:$M$16,B2343,D2343)/INDEX(Мес_Раб,D2343))</f>
        <v/>
      </c>
    </row>
    <row r="2344">
      <c r="A2344" t="inlineStr">
        <is>
          <t>Волков</t>
        </is>
      </c>
      <c r="B2344" t="n">
        <v>11</v>
      </c>
      <c r="C2344" s="18">
        <f>'Календарь'!A115</f>
        <v/>
      </c>
      <c r="D2344">
        <f>MONTH(C2344)</f>
        <v/>
      </c>
      <c r="E2344">
        <f>'Календарь'!D115</f>
        <v/>
      </c>
      <c r="F2344">
        <f>INT((C2344-Нед_Начало)/7)+1</f>
        <v/>
      </c>
      <c r="G2344">
        <f>IF(E2344=0,0,INDEX('Планы менеджеров'!$B$5:$M$16,B2344,D2344)/INDEX(Мес_Раб,D2344))</f>
        <v/>
      </c>
    </row>
    <row r="2345">
      <c r="A2345" t="inlineStr">
        <is>
          <t>Волков</t>
        </is>
      </c>
      <c r="B2345" t="n">
        <v>11</v>
      </c>
      <c r="C2345" s="18">
        <f>'Календарь'!A116</f>
        <v/>
      </c>
      <c r="D2345">
        <f>MONTH(C2345)</f>
        <v/>
      </c>
      <c r="E2345">
        <f>'Календарь'!D116</f>
        <v/>
      </c>
      <c r="F2345">
        <f>INT((C2345-Нед_Начало)/7)+1</f>
        <v/>
      </c>
      <c r="G2345">
        <f>IF(E2345=0,0,INDEX('Планы менеджеров'!$B$5:$M$16,B2345,D2345)/INDEX(Мес_Раб,D2345))</f>
        <v/>
      </c>
    </row>
    <row r="2346">
      <c r="A2346" t="inlineStr">
        <is>
          <t>Волков</t>
        </is>
      </c>
      <c r="B2346" t="n">
        <v>11</v>
      </c>
      <c r="C2346" s="18">
        <f>'Календарь'!A117</f>
        <v/>
      </c>
      <c r="D2346">
        <f>MONTH(C2346)</f>
        <v/>
      </c>
      <c r="E2346">
        <f>'Календарь'!D117</f>
        <v/>
      </c>
      <c r="F2346">
        <f>INT((C2346-Нед_Начало)/7)+1</f>
        <v/>
      </c>
      <c r="G2346">
        <f>IF(E2346=0,0,INDEX('Планы менеджеров'!$B$5:$M$16,B2346,D2346)/INDEX(Мес_Раб,D2346))</f>
        <v/>
      </c>
    </row>
    <row r="2347">
      <c r="A2347" t="inlineStr">
        <is>
          <t>Волков</t>
        </is>
      </c>
      <c r="B2347" t="n">
        <v>11</v>
      </c>
      <c r="C2347" s="18">
        <f>'Календарь'!A118</f>
        <v/>
      </c>
      <c r="D2347">
        <f>MONTH(C2347)</f>
        <v/>
      </c>
      <c r="E2347">
        <f>'Календарь'!D118</f>
        <v/>
      </c>
      <c r="F2347">
        <f>INT((C2347-Нед_Начало)/7)+1</f>
        <v/>
      </c>
      <c r="G2347">
        <f>IF(E2347=0,0,INDEX('Планы менеджеров'!$B$5:$M$16,B2347,D2347)/INDEX(Мес_Раб,D2347))</f>
        <v/>
      </c>
    </row>
    <row r="2348">
      <c r="A2348" t="inlineStr">
        <is>
          <t>Волков</t>
        </is>
      </c>
      <c r="B2348" t="n">
        <v>11</v>
      </c>
      <c r="C2348" s="18">
        <f>'Календарь'!A119</f>
        <v/>
      </c>
      <c r="D2348">
        <f>MONTH(C2348)</f>
        <v/>
      </c>
      <c r="E2348">
        <f>'Календарь'!D119</f>
        <v/>
      </c>
      <c r="F2348">
        <f>INT((C2348-Нед_Начало)/7)+1</f>
        <v/>
      </c>
      <c r="G2348">
        <f>IF(E2348=0,0,INDEX('Планы менеджеров'!$B$5:$M$16,B2348,D2348)/INDEX(Мес_Раб,D2348))</f>
        <v/>
      </c>
    </row>
    <row r="2349">
      <c r="A2349" t="inlineStr">
        <is>
          <t>Волков</t>
        </is>
      </c>
      <c r="B2349" t="n">
        <v>11</v>
      </c>
      <c r="C2349" s="18">
        <f>'Календарь'!A120</f>
        <v/>
      </c>
      <c r="D2349">
        <f>MONTH(C2349)</f>
        <v/>
      </c>
      <c r="E2349">
        <f>'Календарь'!D120</f>
        <v/>
      </c>
      <c r="F2349">
        <f>INT((C2349-Нед_Начало)/7)+1</f>
        <v/>
      </c>
      <c r="G2349">
        <f>IF(E2349=0,0,INDEX('Планы менеджеров'!$B$5:$M$16,B2349,D2349)/INDEX(Мес_Раб,D2349))</f>
        <v/>
      </c>
    </row>
    <row r="2350">
      <c r="A2350" t="inlineStr">
        <is>
          <t>Волков</t>
        </is>
      </c>
      <c r="B2350" t="n">
        <v>11</v>
      </c>
      <c r="C2350" s="18">
        <f>'Календарь'!A121</f>
        <v/>
      </c>
      <c r="D2350">
        <f>MONTH(C2350)</f>
        <v/>
      </c>
      <c r="E2350">
        <f>'Календарь'!D121</f>
        <v/>
      </c>
      <c r="F2350">
        <f>INT((C2350-Нед_Начало)/7)+1</f>
        <v/>
      </c>
      <c r="G2350">
        <f>IF(E2350=0,0,INDEX('Планы менеджеров'!$B$5:$M$16,B2350,D2350)/INDEX(Мес_Раб,D2350))</f>
        <v/>
      </c>
    </row>
    <row r="2351">
      <c r="A2351" t="inlineStr">
        <is>
          <t>Волков</t>
        </is>
      </c>
      <c r="B2351" t="n">
        <v>11</v>
      </c>
      <c r="C2351" s="18">
        <f>'Календарь'!A122</f>
        <v/>
      </c>
      <c r="D2351">
        <f>MONTH(C2351)</f>
        <v/>
      </c>
      <c r="E2351">
        <f>'Календарь'!D122</f>
        <v/>
      </c>
      <c r="F2351">
        <f>INT((C2351-Нед_Начало)/7)+1</f>
        <v/>
      </c>
      <c r="G2351">
        <f>IF(E2351=0,0,INDEX('Планы менеджеров'!$B$5:$M$16,B2351,D2351)/INDEX(Мес_Раб,D2351))</f>
        <v/>
      </c>
    </row>
    <row r="2352">
      <c r="A2352" t="inlineStr">
        <is>
          <t>Волков</t>
        </is>
      </c>
      <c r="B2352" t="n">
        <v>11</v>
      </c>
      <c r="C2352" s="18">
        <f>'Календарь'!A123</f>
        <v/>
      </c>
      <c r="D2352">
        <f>MONTH(C2352)</f>
        <v/>
      </c>
      <c r="E2352">
        <f>'Календарь'!D123</f>
        <v/>
      </c>
      <c r="F2352">
        <f>INT((C2352-Нед_Начало)/7)+1</f>
        <v/>
      </c>
      <c r="G2352">
        <f>IF(E2352=0,0,INDEX('Планы менеджеров'!$B$5:$M$16,B2352,D2352)/INDEX(Мес_Раб,D2352))</f>
        <v/>
      </c>
    </row>
    <row r="2353">
      <c r="A2353" t="inlineStr">
        <is>
          <t>Волков</t>
        </is>
      </c>
      <c r="B2353" t="n">
        <v>11</v>
      </c>
      <c r="C2353" s="18">
        <f>'Календарь'!A124</f>
        <v/>
      </c>
      <c r="D2353">
        <f>MONTH(C2353)</f>
        <v/>
      </c>
      <c r="E2353">
        <f>'Календарь'!D124</f>
        <v/>
      </c>
      <c r="F2353">
        <f>INT((C2353-Нед_Начало)/7)+1</f>
        <v/>
      </c>
      <c r="G2353">
        <f>IF(E2353=0,0,INDEX('Планы менеджеров'!$B$5:$M$16,B2353,D2353)/INDEX(Мес_Раб,D2353))</f>
        <v/>
      </c>
    </row>
    <row r="2354">
      <c r="A2354" t="inlineStr">
        <is>
          <t>Волков</t>
        </is>
      </c>
      <c r="B2354" t="n">
        <v>11</v>
      </c>
      <c r="C2354" s="18">
        <f>'Календарь'!A125</f>
        <v/>
      </c>
      <c r="D2354">
        <f>MONTH(C2354)</f>
        <v/>
      </c>
      <c r="E2354">
        <f>'Календарь'!D125</f>
        <v/>
      </c>
      <c r="F2354">
        <f>INT((C2354-Нед_Начало)/7)+1</f>
        <v/>
      </c>
      <c r="G2354">
        <f>IF(E2354=0,0,INDEX('Планы менеджеров'!$B$5:$M$16,B2354,D2354)/INDEX(Мес_Раб,D2354))</f>
        <v/>
      </c>
    </row>
    <row r="2355">
      <c r="A2355" t="inlineStr">
        <is>
          <t>Волков</t>
        </is>
      </c>
      <c r="B2355" t="n">
        <v>11</v>
      </c>
      <c r="C2355" s="18">
        <f>'Календарь'!A126</f>
        <v/>
      </c>
      <c r="D2355">
        <f>MONTH(C2355)</f>
        <v/>
      </c>
      <c r="E2355">
        <f>'Календарь'!D126</f>
        <v/>
      </c>
      <c r="F2355">
        <f>INT((C2355-Нед_Начало)/7)+1</f>
        <v/>
      </c>
      <c r="G2355">
        <f>IF(E2355=0,0,INDEX('Планы менеджеров'!$B$5:$M$16,B2355,D2355)/INDEX(Мес_Раб,D2355))</f>
        <v/>
      </c>
    </row>
    <row r="2356">
      <c r="A2356" t="inlineStr">
        <is>
          <t>Волков</t>
        </is>
      </c>
      <c r="B2356" t="n">
        <v>11</v>
      </c>
      <c r="C2356" s="18">
        <f>'Календарь'!A127</f>
        <v/>
      </c>
      <c r="D2356">
        <f>MONTH(C2356)</f>
        <v/>
      </c>
      <c r="E2356">
        <f>'Календарь'!D127</f>
        <v/>
      </c>
      <c r="F2356">
        <f>INT((C2356-Нед_Начало)/7)+1</f>
        <v/>
      </c>
      <c r="G2356">
        <f>IF(E2356=0,0,INDEX('Планы менеджеров'!$B$5:$M$16,B2356,D2356)/INDEX(Мес_Раб,D2356))</f>
        <v/>
      </c>
    </row>
    <row r="2357">
      <c r="A2357" t="inlineStr">
        <is>
          <t>Волков</t>
        </is>
      </c>
      <c r="B2357" t="n">
        <v>11</v>
      </c>
      <c r="C2357" s="18">
        <f>'Календарь'!A128</f>
        <v/>
      </c>
      <c r="D2357">
        <f>MONTH(C2357)</f>
        <v/>
      </c>
      <c r="E2357">
        <f>'Календарь'!D128</f>
        <v/>
      </c>
      <c r="F2357">
        <f>INT((C2357-Нед_Начало)/7)+1</f>
        <v/>
      </c>
      <c r="G2357">
        <f>IF(E2357=0,0,INDEX('Планы менеджеров'!$B$5:$M$16,B2357,D2357)/INDEX(Мес_Раб,D2357))</f>
        <v/>
      </c>
    </row>
    <row r="2358">
      <c r="A2358" t="inlineStr">
        <is>
          <t>Волков</t>
        </is>
      </c>
      <c r="B2358" t="n">
        <v>11</v>
      </c>
      <c r="C2358" s="18">
        <f>'Календарь'!A129</f>
        <v/>
      </c>
      <c r="D2358">
        <f>MONTH(C2358)</f>
        <v/>
      </c>
      <c r="E2358">
        <f>'Календарь'!D129</f>
        <v/>
      </c>
      <c r="F2358">
        <f>INT((C2358-Нед_Начало)/7)+1</f>
        <v/>
      </c>
      <c r="G2358">
        <f>IF(E2358=0,0,INDEX('Планы менеджеров'!$B$5:$M$16,B2358,D2358)/INDEX(Мес_Раб,D2358))</f>
        <v/>
      </c>
    </row>
    <row r="2359">
      <c r="A2359" t="inlineStr">
        <is>
          <t>Волков</t>
        </is>
      </c>
      <c r="B2359" t="n">
        <v>11</v>
      </c>
      <c r="C2359" s="18">
        <f>'Календарь'!A130</f>
        <v/>
      </c>
      <c r="D2359">
        <f>MONTH(C2359)</f>
        <v/>
      </c>
      <c r="E2359">
        <f>'Календарь'!D130</f>
        <v/>
      </c>
      <c r="F2359">
        <f>INT((C2359-Нед_Начало)/7)+1</f>
        <v/>
      </c>
      <c r="G2359">
        <f>IF(E2359=0,0,INDEX('Планы менеджеров'!$B$5:$M$16,B2359,D2359)/INDEX(Мес_Раб,D2359))</f>
        <v/>
      </c>
    </row>
    <row r="2360">
      <c r="A2360" t="inlineStr">
        <is>
          <t>Волков</t>
        </is>
      </c>
      <c r="B2360" t="n">
        <v>11</v>
      </c>
      <c r="C2360" s="18">
        <f>'Календарь'!A131</f>
        <v/>
      </c>
      <c r="D2360">
        <f>MONTH(C2360)</f>
        <v/>
      </c>
      <c r="E2360">
        <f>'Календарь'!D131</f>
        <v/>
      </c>
      <c r="F2360">
        <f>INT((C2360-Нед_Начало)/7)+1</f>
        <v/>
      </c>
      <c r="G2360">
        <f>IF(E2360=0,0,INDEX('Планы менеджеров'!$B$5:$M$16,B2360,D2360)/INDEX(Мес_Раб,D2360))</f>
        <v/>
      </c>
    </row>
    <row r="2361">
      <c r="A2361" t="inlineStr">
        <is>
          <t>Волков</t>
        </is>
      </c>
      <c r="B2361" t="n">
        <v>11</v>
      </c>
      <c r="C2361" s="18">
        <f>'Календарь'!A132</f>
        <v/>
      </c>
      <c r="D2361">
        <f>MONTH(C2361)</f>
        <v/>
      </c>
      <c r="E2361">
        <f>'Календарь'!D132</f>
        <v/>
      </c>
      <c r="F2361">
        <f>INT((C2361-Нед_Начало)/7)+1</f>
        <v/>
      </c>
      <c r="G2361">
        <f>IF(E2361=0,0,INDEX('Планы менеджеров'!$B$5:$M$16,B2361,D2361)/INDEX(Мес_Раб,D2361))</f>
        <v/>
      </c>
    </row>
    <row r="2362">
      <c r="A2362" t="inlineStr">
        <is>
          <t>Волков</t>
        </is>
      </c>
      <c r="B2362" t="n">
        <v>11</v>
      </c>
      <c r="C2362" s="18">
        <f>'Календарь'!A133</f>
        <v/>
      </c>
      <c r="D2362">
        <f>MONTH(C2362)</f>
        <v/>
      </c>
      <c r="E2362">
        <f>'Календарь'!D133</f>
        <v/>
      </c>
      <c r="F2362">
        <f>INT((C2362-Нед_Начало)/7)+1</f>
        <v/>
      </c>
      <c r="G2362">
        <f>IF(E2362=0,0,INDEX('Планы менеджеров'!$B$5:$M$16,B2362,D2362)/INDEX(Мес_Раб,D2362))</f>
        <v/>
      </c>
    </row>
    <row r="2363">
      <c r="A2363" t="inlineStr">
        <is>
          <t>Волков</t>
        </is>
      </c>
      <c r="B2363" t="n">
        <v>11</v>
      </c>
      <c r="C2363" s="18">
        <f>'Календарь'!A134</f>
        <v/>
      </c>
      <c r="D2363">
        <f>MONTH(C2363)</f>
        <v/>
      </c>
      <c r="E2363">
        <f>'Календарь'!D134</f>
        <v/>
      </c>
      <c r="F2363">
        <f>INT((C2363-Нед_Начало)/7)+1</f>
        <v/>
      </c>
      <c r="G2363">
        <f>IF(E2363=0,0,INDEX('Планы менеджеров'!$B$5:$M$16,B2363,D2363)/INDEX(Мес_Раб,D2363))</f>
        <v/>
      </c>
    </row>
    <row r="2364">
      <c r="A2364" t="inlineStr">
        <is>
          <t>Волков</t>
        </is>
      </c>
      <c r="B2364" t="n">
        <v>11</v>
      </c>
      <c r="C2364" s="18">
        <f>'Календарь'!A135</f>
        <v/>
      </c>
      <c r="D2364">
        <f>MONTH(C2364)</f>
        <v/>
      </c>
      <c r="E2364">
        <f>'Календарь'!D135</f>
        <v/>
      </c>
      <c r="F2364">
        <f>INT((C2364-Нед_Начало)/7)+1</f>
        <v/>
      </c>
      <c r="G2364">
        <f>IF(E2364=0,0,INDEX('Планы менеджеров'!$B$5:$M$16,B2364,D2364)/INDEX(Мес_Раб,D2364))</f>
        <v/>
      </c>
    </row>
    <row r="2365">
      <c r="A2365" t="inlineStr">
        <is>
          <t>Волков</t>
        </is>
      </c>
      <c r="B2365" t="n">
        <v>11</v>
      </c>
      <c r="C2365" s="18">
        <f>'Календарь'!A136</f>
        <v/>
      </c>
      <c r="D2365">
        <f>MONTH(C2365)</f>
        <v/>
      </c>
      <c r="E2365">
        <f>'Календарь'!D136</f>
        <v/>
      </c>
      <c r="F2365">
        <f>INT((C2365-Нед_Начало)/7)+1</f>
        <v/>
      </c>
      <c r="G2365">
        <f>IF(E2365=0,0,INDEX('Планы менеджеров'!$B$5:$M$16,B2365,D2365)/INDEX(Мес_Раб,D2365))</f>
        <v/>
      </c>
    </row>
    <row r="2366">
      <c r="A2366" t="inlineStr">
        <is>
          <t>Волков</t>
        </is>
      </c>
      <c r="B2366" t="n">
        <v>11</v>
      </c>
      <c r="C2366" s="18">
        <f>'Календарь'!A137</f>
        <v/>
      </c>
      <c r="D2366">
        <f>MONTH(C2366)</f>
        <v/>
      </c>
      <c r="E2366">
        <f>'Календарь'!D137</f>
        <v/>
      </c>
      <c r="F2366">
        <f>INT((C2366-Нед_Начало)/7)+1</f>
        <v/>
      </c>
      <c r="G2366">
        <f>IF(E2366=0,0,INDEX('Планы менеджеров'!$B$5:$M$16,B2366,D2366)/INDEX(Мес_Раб,D2366))</f>
        <v/>
      </c>
    </row>
    <row r="2367">
      <c r="A2367" t="inlineStr">
        <is>
          <t>Волков</t>
        </is>
      </c>
      <c r="B2367" t="n">
        <v>11</v>
      </c>
      <c r="C2367" s="18">
        <f>'Календарь'!A138</f>
        <v/>
      </c>
      <c r="D2367">
        <f>MONTH(C2367)</f>
        <v/>
      </c>
      <c r="E2367">
        <f>'Календарь'!D138</f>
        <v/>
      </c>
      <c r="F2367">
        <f>INT((C2367-Нед_Начало)/7)+1</f>
        <v/>
      </c>
      <c r="G2367">
        <f>IF(E2367=0,0,INDEX('Планы менеджеров'!$B$5:$M$16,B2367,D2367)/INDEX(Мес_Раб,D2367))</f>
        <v/>
      </c>
    </row>
    <row r="2368">
      <c r="A2368" t="inlineStr">
        <is>
          <t>Волков</t>
        </is>
      </c>
      <c r="B2368" t="n">
        <v>11</v>
      </c>
      <c r="C2368" s="18">
        <f>'Календарь'!A139</f>
        <v/>
      </c>
      <c r="D2368">
        <f>MONTH(C2368)</f>
        <v/>
      </c>
      <c r="E2368">
        <f>'Календарь'!D139</f>
        <v/>
      </c>
      <c r="F2368">
        <f>INT((C2368-Нед_Начало)/7)+1</f>
        <v/>
      </c>
      <c r="G2368">
        <f>IF(E2368=0,0,INDEX('Планы менеджеров'!$B$5:$M$16,B2368,D2368)/INDEX(Мес_Раб,D2368))</f>
        <v/>
      </c>
    </row>
    <row r="2369">
      <c r="A2369" t="inlineStr">
        <is>
          <t>Волков</t>
        </is>
      </c>
      <c r="B2369" t="n">
        <v>11</v>
      </c>
      <c r="C2369" s="18">
        <f>'Календарь'!A140</f>
        <v/>
      </c>
      <c r="D2369">
        <f>MONTH(C2369)</f>
        <v/>
      </c>
      <c r="E2369">
        <f>'Календарь'!D140</f>
        <v/>
      </c>
      <c r="F2369">
        <f>INT((C2369-Нед_Начало)/7)+1</f>
        <v/>
      </c>
      <c r="G2369">
        <f>IF(E2369=0,0,INDEX('Планы менеджеров'!$B$5:$M$16,B2369,D2369)/INDEX(Мес_Раб,D2369))</f>
        <v/>
      </c>
    </row>
    <row r="2370">
      <c r="A2370" t="inlineStr">
        <is>
          <t>Волков</t>
        </is>
      </c>
      <c r="B2370" t="n">
        <v>11</v>
      </c>
      <c r="C2370" s="18">
        <f>'Календарь'!A141</f>
        <v/>
      </c>
      <c r="D2370">
        <f>MONTH(C2370)</f>
        <v/>
      </c>
      <c r="E2370">
        <f>'Календарь'!D141</f>
        <v/>
      </c>
      <c r="F2370">
        <f>INT((C2370-Нед_Начало)/7)+1</f>
        <v/>
      </c>
      <c r="G2370">
        <f>IF(E2370=0,0,INDEX('Планы менеджеров'!$B$5:$M$16,B2370,D2370)/INDEX(Мес_Раб,D2370))</f>
        <v/>
      </c>
    </row>
    <row r="2371">
      <c r="A2371" t="inlineStr">
        <is>
          <t>Волков</t>
        </is>
      </c>
      <c r="B2371" t="n">
        <v>11</v>
      </c>
      <c r="C2371" s="18">
        <f>'Календарь'!A142</f>
        <v/>
      </c>
      <c r="D2371">
        <f>MONTH(C2371)</f>
        <v/>
      </c>
      <c r="E2371">
        <f>'Календарь'!D142</f>
        <v/>
      </c>
      <c r="F2371">
        <f>INT((C2371-Нед_Начало)/7)+1</f>
        <v/>
      </c>
      <c r="G2371">
        <f>IF(E2371=0,0,INDEX('Планы менеджеров'!$B$5:$M$16,B2371,D2371)/INDEX(Мес_Раб,D2371))</f>
        <v/>
      </c>
    </row>
    <row r="2372">
      <c r="A2372" t="inlineStr">
        <is>
          <t>Волков</t>
        </is>
      </c>
      <c r="B2372" t="n">
        <v>11</v>
      </c>
      <c r="C2372" s="18">
        <f>'Календарь'!A143</f>
        <v/>
      </c>
      <c r="D2372">
        <f>MONTH(C2372)</f>
        <v/>
      </c>
      <c r="E2372">
        <f>'Календарь'!D143</f>
        <v/>
      </c>
      <c r="F2372">
        <f>INT((C2372-Нед_Начало)/7)+1</f>
        <v/>
      </c>
      <c r="G2372">
        <f>IF(E2372=0,0,INDEX('Планы менеджеров'!$B$5:$M$16,B2372,D2372)/INDEX(Мес_Раб,D2372))</f>
        <v/>
      </c>
    </row>
    <row r="2373">
      <c r="A2373" t="inlineStr">
        <is>
          <t>Волков</t>
        </is>
      </c>
      <c r="B2373" t="n">
        <v>11</v>
      </c>
      <c r="C2373" s="18">
        <f>'Календарь'!A144</f>
        <v/>
      </c>
      <c r="D2373">
        <f>MONTH(C2373)</f>
        <v/>
      </c>
      <c r="E2373">
        <f>'Календарь'!D144</f>
        <v/>
      </c>
      <c r="F2373">
        <f>INT((C2373-Нед_Начало)/7)+1</f>
        <v/>
      </c>
      <c r="G2373">
        <f>IF(E2373=0,0,INDEX('Планы менеджеров'!$B$5:$M$16,B2373,D2373)/INDEX(Мес_Раб,D2373))</f>
        <v/>
      </c>
    </row>
    <row r="2374">
      <c r="A2374" t="inlineStr">
        <is>
          <t>Волков</t>
        </is>
      </c>
      <c r="B2374" t="n">
        <v>11</v>
      </c>
      <c r="C2374" s="18">
        <f>'Календарь'!A145</f>
        <v/>
      </c>
      <c r="D2374">
        <f>MONTH(C2374)</f>
        <v/>
      </c>
      <c r="E2374">
        <f>'Календарь'!D145</f>
        <v/>
      </c>
      <c r="F2374">
        <f>INT((C2374-Нед_Начало)/7)+1</f>
        <v/>
      </c>
      <c r="G2374">
        <f>IF(E2374=0,0,INDEX('Планы менеджеров'!$B$5:$M$16,B2374,D2374)/INDEX(Мес_Раб,D2374))</f>
        <v/>
      </c>
    </row>
    <row r="2375">
      <c r="A2375" t="inlineStr">
        <is>
          <t>Волков</t>
        </is>
      </c>
      <c r="B2375" t="n">
        <v>11</v>
      </c>
      <c r="C2375" s="18">
        <f>'Календарь'!A146</f>
        <v/>
      </c>
      <c r="D2375">
        <f>MONTH(C2375)</f>
        <v/>
      </c>
      <c r="E2375">
        <f>'Календарь'!D146</f>
        <v/>
      </c>
      <c r="F2375">
        <f>INT((C2375-Нед_Начало)/7)+1</f>
        <v/>
      </c>
      <c r="G2375">
        <f>IF(E2375=0,0,INDEX('Планы менеджеров'!$B$5:$M$16,B2375,D2375)/INDEX(Мес_Раб,D2375))</f>
        <v/>
      </c>
    </row>
    <row r="2376">
      <c r="A2376" t="inlineStr">
        <is>
          <t>Волков</t>
        </is>
      </c>
      <c r="B2376" t="n">
        <v>11</v>
      </c>
      <c r="C2376" s="18">
        <f>'Календарь'!A147</f>
        <v/>
      </c>
      <c r="D2376">
        <f>MONTH(C2376)</f>
        <v/>
      </c>
      <c r="E2376">
        <f>'Календарь'!D147</f>
        <v/>
      </c>
      <c r="F2376">
        <f>INT((C2376-Нед_Начало)/7)+1</f>
        <v/>
      </c>
      <c r="G2376">
        <f>IF(E2376=0,0,INDEX('Планы менеджеров'!$B$5:$M$16,B2376,D2376)/INDEX(Мес_Раб,D2376))</f>
        <v/>
      </c>
    </row>
    <row r="2377">
      <c r="A2377" t="inlineStr">
        <is>
          <t>Волков</t>
        </is>
      </c>
      <c r="B2377" t="n">
        <v>11</v>
      </c>
      <c r="C2377" s="18">
        <f>'Календарь'!A148</f>
        <v/>
      </c>
      <c r="D2377">
        <f>MONTH(C2377)</f>
        <v/>
      </c>
      <c r="E2377">
        <f>'Календарь'!D148</f>
        <v/>
      </c>
      <c r="F2377">
        <f>INT((C2377-Нед_Начало)/7)+1</f>
        <v/>
      </c>
      <c r="G2377">
        <f>IF(E2377=0,0,INDEX('Планы менеджеров'!$B$5:$M$16,B2377,D2377)/INDEX(Мес_Раб,D2377))</f>
        <v/>
      </c>
    </row>
    <row r="2378">
      <c r="A2378" t="inlineStr">
        <is>
          <t>Волков</t>
        </is>
      </c>
      <c r="B2378" t="n">
        <v>11</v>
      </c>
      <c r="C2378" s="18">
        <f>'Календарь'!A149</f>
        <v/>
      </c>
      <c r="D2378">
        <f>MONTH(C2378)</f>
        <v/>
      </c>
      <c r="E2378">
        <f>'Календарь'!D149</f>
        <v/>
      </c>
      <c r="F2378">
        <f>INT((C2378-Нед_Начало)/7)+1</f>
        <v/>
      </c>
      <c r="G2378">
        <f>IF(E2378=0,0,INDEX('Планы менеджеров'!$B$5:$M$16,B2378,D2378)/INDEX(Мес_Раб,D2378))</f>
        <v/>
      </c>
    </row>
    <row r="2379">
      <c r="A2379" t="inlineStr">
        <is>
          <t>Волков</t>
        </is>
      </c>
      <c r="B2379" t="n">
        <v>11</v>
      </c>
      <c r="C2379" s="18">
        <f>'Календарь'!A150</f>
        <v/>
      </c>
      <c r="D2379">
        <f>MONTH(C2379)</f>
        <v/>
      </c>
      <c r="E2379">
        <f>'Календарь'!D150</f>
        <v/>
      </c>
      <c r="F2379">
        <f>INT((C2379-Нед_Начало)/7)+1</f>
        <v/>
      </c>
      <c r="G2379">
        <f>IF(E2379=0,0,INDEX('Планы менеджеров'!$B$5:$M$16,B2379,D2379)/INDEX(Мес_Раб,D2379))</f>
        <v/>
      </c>
    </row>
    <row r="2380">
      <c r="A2380" t="inlineStr">
        <is>
          <t>Волков</t>
        </is>
      </c>
      <c r="B2380" t="n">
        <v>11</v>
      </c>
      <c r="C2380" s="18">
        <f>'Календарь'!A151</f>
        <v/>
      </c>
      <c r="D2380">
        <f>MONTH(C2380)</f>
        <v/>
      </c>
      <c r="E2380">
        <f>'Календарь'!D151</f>
        <v/>
      </c>
      <c r="F2380">
        <f>INT((C2380-Нед_Начало)/7)+1</f>
        <v/>
      </c>
      <c r="G2380">
        <f>IF(E2380=0,0,INDEX('Планы менеджеров'!$B$5:$M$16,B2380,D2380)/INDEX(Мес_Раб,D2380))</f>
        <v/>
      </c>
    </row>
    <row r="2381">
      <c r="A2381" t="inlineStr">
        <is>
          <t>Волков</t>
        </is>
      </c>
      <c r="B2381" t="n">
        <v>11</v>
      </c>
      <c r="C2381" s="18">
        <f>'Календарь'!A152</f>
        <v/>
      </c>
      <c r="D2381">
        <f>MONTH(C2381)</f>
        <v/>
      </c>
      <c r="E2381">
        <f>'Календарь'!D152</f>
        <v/>
      </c>
      <c r="F2381">
        <f>INT((C2381-Нед_Начало)/7)+1</f>
        <v/>
      </c>
      <c r="G2381">
        <f>IF(E2381=0,0,INDEX('Планы менеджеров'!$B$5:$M$16,B2381,D2381)/INDEX(Мес_Раб,D2381))</f>
        <v/>
      </c>
    </row>
    <row r="2382">
      <c r="A2382" t="inlineStr">
        <is>
          <t>Волков</t>
        </is>
      </c>
      <c r="B2382" t="n">
        <v>11</v>
      </c>
      <c r="C2382" s="18">
        <f>'Календарь'!A153</f>
        <v/>
      </c>
      <c r="D2382">
        <f>MONTH(C2382)</f>
        <v/>
      </c>
      <c r="E2382">
        <f>'Календарь'!D153</f>
        <v/>
      </c>
      <c r="F2382">
        <f>INT((C2382-Нед_Начало)/7)+1</f>
        <v/>
      </c>
      <c r="G2382">
        <f>IF(E2382=0,0,INDEX('Планы менеджеров'!$B$5:$M$16,B2382,D2382)/INDEX(Мес_Раб,D2382))</f>
        <v/>
      </c>
    </row>
    <row r="2383">
      <c r="A2383" t="inlineStr">
        <is>
          <t>Волков</t>
        </is>
      </c>
      <c r="B2383" t="n">
        <v>11</v>
      </c>
      <c r="C2383" s="18">
        <f>'Календарь'!A154</f>
        <v/>
      </c>
      <c r="D2383">
        <f>MONTH(C2383)</f>
        <v/>
      </c>
      <c r="E2383">
        <f>'Календарь'!D154</f>
        <v/>
      </c>
      <c r="F2383">
        <f>INT((C2383-Нед_Начало)/7)+1</f>
        <v/>
      </c>
      <c r="G2383">
        <f>IF(E2383=0,0,INDEX('Планы менеджеров'!$B$5:$M$16,B2383,D2383)/INDEX(Мес_Раб,D2383))</f>
        <v/>
      </c>
    </row>
    <row r="2384">
      <c r="A2384" t="inlineStr">
        <is>
          <t>Волков</t>
        </is>
      </c>
      <c r="B2384" t="n">
        <v>11</v>
      </c>
      <c r="C2384" s="18">
        <f>'Календарь'!A155</f>
        <v/>
      </c>
      <c r="D2384">
        <f>MONTH(C2384)</f>
        <v/>
      </c>
      <c r="E2384">
        <f>'Календарь'!D155</f>
        <v/>
      </c>
      <c r="F2384">
        <f>INT((C2384-Нед_Начало)/7)+1</f>
        <v/>
      </c>
      <c r="G2384">
        <f>IF(E2384=0,0,INDEX('Планы менеджеров'!$B$5:$M$16,B2384,D2384)/INDEX(Мес_Раб,D2384))</f>
        <v/>
      </c>
    </row>
    <row r="2385">
      <c r="A2385" t="inlineStr">
        <is>
          <t>Волков</t>
        </is>
      </c>
      <c r="B2385" t="n">
        <v>11</v>
      </c>
      <c r="C2385" s="18">
        <f>'Календарь'!A156</f>
        <v/>
      </c>
      <c r="D2385">
        <f>MONTH(C2385)</f>
        <v/>
      </c>
      <c r="E2385">
        <f>'Календарь'!D156</f>
        <v/>
      </c>
      <c r="F2385">
        <f>INT((C2385-Нед_Начало)/7)+1</f>
        <v/>
      </c>
      <c r="G2385">
        <f>IF(E2385=0,0,INDEX('Планы менеджеров'!$B$5:$M$16,B2385,D2385)/INDEX(Мес_Раб,D2385))</f>
        <v/>
      </c>
    </row>
    <row r="2386">
      <c r="A2386" t="inlineStr">
        <is>
          <t>Волков</t>
        </is>
      </c>
      <c r="B2386" t="n">
        <v>11</v>
      </c>
      <c r="C2386" s="18">
        <f>'Календарь'!A157</f>
        <v/>
      </c>
      <c r="D2386">
        <f>MONTH(C2386)</f>
        <v/>
      </c>
      <c r="E2386">
        <f>'Календарь'!D157</f>
        <v/>
      </c>
      <c r="F2386">
        <f>INT((C2386-Нед_Начало)/7)+1</f>
        <v/>
      </c>
      <c r="G2386">
        <f>IF(E2386=0,0,INDEX('Планы менеджеров'!$B$5:$M$16,B2386,D2386)/INDEX(Мес_Раб,D2386))</f>
        <v/>
      </c>
    </row>
    <row r="2387">
      <c r="A2387" t="inlineStr">
        <is>
          <t>Волков</t>
        </is>
      </c>
      <c r="B2387" t="n">
        <v>11</v>
      </c>
      <c r="C2387" s="18">
        <f>'Календарь'!A158</f>
        <v/>
      </c>
      <c r="D2387">
        <f>MONTH(C2387)</f>
        <v/>
      </c>
      <c r="E2387">
        <f>'Календарь'!D158</f>
        <v/>
      </c>
      <c r="F2387">
        <f>INT((C2387-Нед_Начало)/7)+1</f>
        <v/>
      </c>
      <c r="G2387">
        <f>IF(E2387=0,0,INDEX('Планы менеджеров'!$B$5:$M$16,B2387,D2387)/INDEX(Мес_Раб,D2387))</f>
        <v/>
      </c>
    </row>
    <row r="2388">
      <c r="A2388" t="inlineStr">
        <is>
          <t>Волков</t>
        </is>
      </c>
      <c r="B2388" t="n">
        <v>11</v>
      </c>
      <c r="C2388" s="18">
        <f>'Календарь'!A159</f>
        <v/>
      </c>
      <c r="D2388">
        <f>MONTH(C2388)</f>
        <v/>
      </c>
      <c r="E2388">
        <f>'Календарь'!D159</f>
        <v/>
      </c>
      <c r="F2388">
        <f>INT((C2388-Нед_Начало)/7)+1</f>
        <v/>
      </c>
      <c r="G2388">
        <f>IF(E2388=0,0,INDEX('Планы менеджеров'!$B$5:$M$16,B2388,D2388)/INDEX(Мес_Раб,D2388))</f>
        <v/>
      </c>
    </row>
    <row r="2389">
      <c r="A2389" t="inlineStr">
        <is>
          <t>Волков</t>
        </is>
      </c>
      <c r="B2389" t="n">
        <v>11</v>
      </c>
      <c r="C2389" s="18">
        <f>'Календарь'!A160</f>
        <v/>
      </c>
      <c r="D2389">
        <f>MONTH(C2389)</f>
        <v/>
      </c>
      <c r="E2389">
        <f>'Календарь'!D160</f>
        <v/>
      </c>
      <c r="F2389">
        <f>INT((C2389-Нед_Начало)/7)+1</f>
        <v/>
      </c>
      <c r="G2389">
        <f>IF(E2389=0,0,INDEX('Планы менеджеров'!$B$5:$M$16,B2389,D2389)/INDEX(Мес_Раб,D2389))</f>
        <v/>
      </c>
    </row>
    <row r="2390">
      <c r="A2390" t="inlineStr">
        <is>
          <t>Волков</t>
        </is>
      </c>
      <c r="B2390" t="n">
        <v>11</v>
      </c>
      <c r="C2390" s="18">
        <f>'Календарь'!A161</f>
        <v/>
      </c>
      <c r="D2390">
        <f>MONTH(C2390)</f>
        <v/>
      </c>
      <c r="E2390">
        <f>'Календарь'!D161</f>
        <v/>
      </c>
      <c r="F2390">
        <f>INT((C2390-Нед_Начало)/7)+1</f>
        <v/>
      </c>
      <c r="G2390">
        <f>IF(E2390=0,0,INDEX('Планы менеджеров'!$B$5:$M$16,B2390,D2390)/INDEX(Мес_Раб,D2390))</f>
        <v/>
      </c>
    </row>
    <row r="2391">
      <c r="A2391" t="inlineStr">
        <is>
          <t>Волков</t>
        </is>
      </c>
      <c r="B2391" t="n">
        <v>11</v>
      </c>
      <c r="C2391" s="18">
        <f>'Календарь'!A162</f>
        <v/>
      </c>
      <c r="D2391">
        <f>MONTH(C2391)</f>
        <v/>
      </c>
      <c r="E2391">
        <f>'Календарь'!D162</f>
        <v/>
      </c>
      <c r="F2391">
        <f>INT((C2391-Нед_Начало)/7)+1</f>
        <v/>
      </c>
      <c r="G2391">
        <f>IF(E2391=0,0,INDEX('Планы менеджеров'!$B$5:$M$16,B2391,D2391)/INDEX(Мес_Раб,D2391))</f>
        <v/>
      </c>
    </row>
    <row r="2392">
      <c r="A2392" t="inlineStr">
        <is>
          <t>Волков</t>
        </is>
      </c>
      <c r="B2392" t="n">
        <v>11</v>
      </c>
      <c r="C2392" s="18">
        <f>'Календарь'!A163</f>
        <v/>
      </c>
      <c r="D2392">
        <f>MONTH(C2392)</f>
        <v/>
      </c>
      <c r="E2392">
        <f>'Календарь'!D163</f>
        <v/>
      </c>
      <c r="F2392">
        <f>INT((C2392-Нед_Начало)/7)+1</f>
        <v/>
      </c>
      <c r="G2392">
        <f>IF(E2392=0,0,INDEX('Планы менеджеров'!$B$5:$M$16,B2392,D2392)/INDEX(Мес_Раб,D2392))</f>
        <v/>
      </c>
    </row>
    <row r="2393">
      <c r="A2393" t="inlineStr">
        <is>
          <t>Волков</t>
        </is>
      </c>
      <c r="B2393" t="n">
        <v>11</v>
      </c>
      <c r="C2393" s="18">
        <f>'Календарь'!A164</f>
        <v/>
      </c>
      <c r="D2393">
        <f>MONTH(C2393)</f>
        <v/>
      </c>
      <c r="E2393">
        <f>'Календарь'!D164</f>
        <v/>
      </c>
      <c r="F2393">
        <f>INT((C2393-Нед_Начало)/7)+1</f>
        <v/>
      </c>
      <c r="G2393">
        <f>IF(E2393=0,0,INDEX('Планы менеджеров'!$B$5:$M$16,B2393,D2393)/INDEX(Мес_Раб,D2393))</f>
        <v/>
      </c>
    </row>
    <row r="2394">
      <c r="A2394" t="inlineStr">
        <is>
          <t>Волков</t>
        </is>
      </c>
      <c r="B2394" t="n">
        <v>11</v>
      </c>
      <c r="C2394" s="18">
        <f>'Календарь'!A165</f>
        <v/>
      </c>
      <c r="D2394">
        <f>MONTH(C2394)</f>
        <v/>
      </c>
      <c r="E2394">
        <f>'Календарь'!D165</f>
        <v/>
      </c>
      <c r="F2394">
        <f>INT((C2394-Нед_Начало)/7)+1</f>
        <v/>
      </c>
      <c r="G2394">
        <f>IF(E2394=0,0,INDEX('Планы менеджеров'!$B$5:$M$16,B2394,D2394)/INDEX(Мес_Раб,D2394))</f>
        <v/>
      </c>
    </row>
    <row r="2395">
      <c r="A2395" t="inlineStr">
        <is>
          <t>Волков</t>
        </is>
      </c>
      <c r="B2395" t="n">
        <v>11</v>
      </c>
      <c r="C2395" s="18">
        <f>'Календарь'!A166</f>
        <v/>
      </c>
      <c r="D2395">
        <f>MONTH(C2395)</f>
        <v/>
      </c>
      <c r="E2395">
        <f>'Календарь'!D166</f>
        <v/>
      </c>
      <c r="F2395">
        <f>INT((C2395-Нед_Начало)/7)+1</f>
        <v/>
      </c>
      <c r="G2395">
        <f>IF(E2395=0,0,INDEX('Планы менеджеров'!$B$5:$M$16,B2395,D2395)/INDEX(Мес_Раб,D2395))</f>
        <v/>
      </c>
    </row>
    <row r="2396">
      <c r="A2396" t="inlineStr">
        <is>
          <t>Волков</t>
        </is>
      </c>
      <c r="B2396" t="n">
        <v>11</v>
      </c>
      <c r="C2396" s="18">
        <f>'Календарь'!A167</f>
        <v/>
      </c>
      <c r="D2396">
        <f>MONTH(C2396)</f>
        <v/>
      </c>
      <c r="E2396">
        <f>'Календарь'!D167</f>
        <v/>
      </c>
      <c r="F2396">
        <f>INT((C2396-Нед_Начало)/7)+1</f>
        <v/>
      </c>
      <c r="G2396">
        <f>IF(E2396=0,0,INDEX('Планы менеджеров'!$B$5:$M$16,B2396,D2396)/INDEX(Мес_Раб,D2396))</f>
        <v/>
      </c>
    </row>
    <row r="2397">
      <c r="A2397" t="inlineStr">
        <is>
          <t>Волков</t>
        </is>
      </c>
      <c r="B2397" t="n">
        <v>11</v>
      </c>
      <c r="C2397" s="18">
        <f>'Календарь'!A168</f>
        <v/>
      </c>
      <c r="D2397">
        <f>MONTH(C2397)</f>
        <v/>
      </c>
      <c r="E2397">
        <f>'Календарь'!D168</f>
        <v/>
      </c>
      <c r="F2397">
        <f>INT((C2397-Нед_Начало)/7)+1</f>
        <v/>
      </c>
      <c r="G2397">
        <f>IF(E2397=0,0,INDEX('Планы менеджеров'!$B$5:$M$16,B2397,D2397)/INDEX(Мес_Раб,D2397))</f>
        <v/>
      </c>
    </row>
    <row r="2398">
      <c r="A2398" t="inlineStr">
        <is>
          <t>Волков</t>
        </is>
      </c>
      <c r="B2398" t="n">
        <v>11</v>
      </c>
      <c r="C2398" s="18">
        <f>'Календарь'!A169</f>
        <v/>
      </c>
      <c r="D2398">
        <f>MONTH(C2398)</f>
        <v/>
      </c>
      <c r="E2398">
        <f>'Календарь'!D169</f>
        <v/>
      </c>
      <c r="F2398">
        <f>INT((C2398-Нед_Начало)/7)+1</f>
        <v/>
      </c>
      <c r="G2398">
        <f>IF(E2398=0,0,INDEX('Планы менеджеров'!$B$5:$M$16,B2398,D2398)/INDEX(Мес_Раб,D2398))</f>
        <v/>
      </c>
    </row>
    <row r="2399">
      <c r="A2399" t="inlineStr">
        <is>
          <t>Волков</t>
        </is>
      </c>
      <c r="B2399" t="n">
        <v>11</v>
      </c>
      <c r="C2399" s="18">
        <f>'Календарь'!A170</f>
        <v/>
      </c>
      <c r="D2399">
        <f>MONTH(C2399)</f>
        <v/>
      </c>
      <c r="E2399">
        <f>'Календарь'!D170</f>
        <v/>
      </c>
      <c r="F2399">
        <f>INT((C2399-Нед_Начало)/7)+1</f>
        <v/>
      </c>
      <c r="G2399">
        <f>IF(E2399=0,0,INDEX('Планы менеджеров'!$B$5:$M$16,B2399,D2399)/INDEX(Мес_Раб,D2399))</f>
        <v/>
      </c>
    </row>
    <row r="2400">
      <c r="A2400" t="inlineStr">
        <is>
          <t>Волков</t>
        </is>
      </c>
      <c r="B2400" t="n">
        <v>11</v>
      </c>
      <c r="C2400" s="18">
        <f>'Календарь'!A171</f>
        <v/>
      </c>
      <c r="D2400">
        <f>MONTH(C2400)</f>
        <v/>
      </c>
      <c r="E2400">
        <f>'Календарь'!D171</f>
        <v/>
      </c>
      <c r="F2400">
        <f>INT((C2400-Нед_Начало)/7)+1</f>
        <v/>
      </c>
      <c r="G2400">
        <f>IF(E2400=0,0,INDEX('Планы менеджеров'!$B$5:$M$16,B2400,D2400)/INDEX(Мес_Раб,D2400))</f>
        <v/>
      </c>
    </row>
    <row r="2401">
      <c r="A2401" t="inlineStr">
        <is>
          <t>Волков</t>
        </is>
      </c>
      <c r="B2401" t="n">
        <v>11</v>
      </c>
      <c r="C2401" s="18">
        <f>'Календарь'!A172</f>
        <v/>
      </c>
      <c r="D2401">
        <f>MONTH(C2401)</f>
        <v/>
      </c>
      <c r="E2401">
        <f>'Календарь'!D172</f>
        <v/>
      </c>
      <c r="F2401">
        <f>INT((C2401-Нед_Начало)/7)+1</f>
        <v/>
      </c>
      <c r="G2401">
        <f>IF(E2401=0,0,INDEX('Планы менеджеров'!$B$5:$M$16,B2401,D2401)/INDEX(Мес_Раб,D2401))</f>
        <v/>
      </c>
    </row>
    <row r="2402">
      <c r="A2402" t="inlineStr">
        <is>
          <t>Волков</t>
        </is>
      </c>
      <c r="B2402" t="n">
        <v>11</v>
      </c>
      <c r="C2402" s="18">
        <f>'Календарь'!A173</f>
        <v/>
      </c>
      <c r="D2402">
        <f>MONTH(C2402)</f>
        <v/>
      </c>
      <c r="E2402">
        <f>'Календарь'!D173</f>
        <v/>
      </c>
      <c r="F2402">
        <f>INT((C2402-Нед_Начало)/7)+1</f>
        <v/>
      </c>
      <c r="G2402">
        <f>IF(E2402=0,0,INDEX('Планы менеджеров'!$B$5:$M$16,B2402,D2402)/INDEX(Мес_Раб,D2402))</f>
        <v/>
      </c>
    </row>
    <row r="2403">
      <c r="A2403" t="inlineStr">
        <is>
          <t>Волков</t>
        </is>
      </c>
      <c r="B2403" t="n">
        <v>11</v>
      </c>
      <c r="C2403" s="18">
        <f>'Календарь'!A174</f>
        <v/>
      </c>
      <c r="D2403">
        <f>MONTH(C2403)</f>
        <v/>
      </c>
      <c r="E2403">
        <f>'Календарь'!D174</f>
        <v/>
      </c>
      <c r="F2403">
        <f>INT((C2403-Нед_Начало)/7)+1</f>
        <v/>
      </c>
      <c r="G2403">
        <f>IF(E2403=0,0,INDEX('Планы менеджеров'!$B$5:$M$16,B2403,D2403)/INDEX(Мес_Раб,D2403))</f>
        <v/>
      </c>
    </row>
    <row r="2404">
      <c r="A2404" t="inlineStr">
        <is>
          <t>Волков</t>
        </is>
      </c>
      <c r="B2404" t="n">
        <v>11</v>
      </c>
      <c r="C2404" s="18">
        <f>'Календарь'!A175</f>
        <v/>
      </c>
      <c r="D2404">
        <f>MONTH(C2404)</f>
        <v/>
      </c>
      <c r="E2404">
        <f>'Календарь'!D175</f>
        <v/>
      </c>
      <c r="F2404">
        <f>INT((C2404-Нед_Начало)/7)+1</f>
        <v/>
      </c>
      <c r="G2404">
        <f>IF(E2404=0,0,INDEX('Планы менеджеров'!$B$5:$M$16,B2404,D2404)/INDEX(Мес_Раб,D2404))</f>
        <v/>
      </c>
    </row>
    <row r="2405">
      <c r="A2405" t="inlineStr">
        <is>
          <t>Волков</t>
        </is>
      </c>
      <c r="B2405" t="n">
        <v>11</v>
      </c>
      <c r="C2405" s="18">
        <f>'Календарь'!A176</f>
        <v/>
      </c>
      <c r="D2405">
        <f>MONTH(C2405)</f>
        <v/>
      </c>
      <c r="E2405">
        <f>'Календарь'!D176</f>
        <v/>
      </c>
      <c r="F2405">
        <f>INT((C2405-Нед_Начало)/7)+1</f>
        <v/>
      </c>
      <c r="G2405">
        <f>IF(E2405=0,0,INDEX('Планы менеджеров'!$B$5:$M$16,B2405,D2405)/INDEX(Мес_Раб,D2405))</f>
        <v/>
      </c>
    </row>
    <row r="2406">
      <c r="A2406" t="inlineStr">
        <is>
          <t>Волков</t>
        </is>
      </c>
      <c r="B2406" t="n">
        <v>11</v>
      </c>
      <c r="C2406" s="18">
        <f>'Календарь'!A177</f>
        <v/>
      </c>
      <c r="D2406">
        <f>MONTH(C2406)</f>
        <v/>
      </c>
      <c r="E2406">
        <f>'Календарь'!D177</f>
        <v/>
      </c>
      <c r="F2406">
        <f>INT((C2406-Нед_Начало)/7)+1</f>
        <v/>
      </c>
      <c r="G2406">
        <f>IF(E2406=0,0,INDEX('Планы менеджеров'!$B$5:$M$16,B2406,D2406)/INDEX(Мес_Раб,D2406))</f>
        <v/>
      </c>
    </row>
    <row r="2407">
      <c r="A2407" t="inlineStr">
        <is>
          <t>Волков</t>
        </is>
      </c>
      <c r="B2407" t="n">
        <v>11</v>
      </c>
      <c r="C2407" s="18">
        <f>'Календарь'!A178</f>
        <v/>
      </c>
      <c r="D2407">
        <f>MONTH(C2407)</f>
        <v/>
      </c>
      <c r="E2407">
        <f>'Календарь'!D178</f>
        <v/>
      </c>
      <c r="F2407">
        <f>INT((C2407-Нед_Начало)/7)+1</f>
        <v/>
      </c>
      <c r="G2407">
        <f>IF(E2407=0,0,INDEX('Планы менеджеров'!$B$5:$M$16,B2407,D2407)/INDEX(Мес_Раб,D2407))</f>
        <v/>
      </c>
    </row>
    <row r="2408">
      <c r="A2408" t="inlineStr">
        <is>
          <t>Волков</t>
        </is>
      </c>
      <c r="B2408" t="n">
        <v>11</v>
      </c>
      <c r="C2408" s="18">
        <f>'Календарь'!A179</f>
        <v/>
      </c>
      <c r="D2408">
        <f>MONTH(C2408)</f>
        <v/>
      </c>
      <c r="E2408">
        <f>'Календарь'!D179</f>
        <v/>
      </c>
      <c r="F2408">
        <f>INT((C2408-Нед_Начало)/7)+1</f>
        <v/>
      </c>
      <c r="G2408">
        <f>IF(E2408=0,0,INDEX('Планы менеджеров'!$B$5:$M$16,B2408,D2408)/INDEX(Мес_Раб,D2408))</f>
        <v/>
      </c>
    </row>
    <row r="2409">
      <c r="A2409" t="inlineStr">
        <is>
          <t>Волков</t>
        </is>
      </c>
      <c r="B2409" t="n">
        <v>11</v>
      </c>
      <c r="C2409" s="18">
        <f>'Календарь'!A180</f>
        <v/>
      </c>
      <c r="D2409">
        <f>MONTH(C2409)</f>
        <v/>
      </c>
      <c r="E2409">
        <f>'Календарь'!D180</f>
        <v/>
      </c>
      <c r="F2409">
        <f>INT((C2409-Нед_Начало)/7)+1</f>
        <v/>
      </c>
      <c r="G2409">
        <f>IF(E2409=0,0,INDEX('Планы менеджеров'!$B$5:$M$16,B2409,D2409)/INDEX(Мес_Раб,D2409))</f>
        <v/>
      </c>
    </row>
    <row r="2410">
      <c r="A2410" t="inlineStr">
        <is>
          <t>Волков</t>
        </is>
      </c>
      <c r="B2410" t="n">
        <v>11</v>
      </c>
      <c r="C2410" s="18">
        <f>'Календарь'!A181</f>
        <v/>
      </c>
      <c r="D2410">
        <f>MONTH(C2410)</f>
        <v/>
      </c>
      <c r="E2410">
        <f>'Календарь'!D181</f>
        <v/>
      </c>
      <c r="F2410">
        <f>INT((C2410-Нед_Начало)/7)+1</f>
        <v/>
      </c>
      <c r="G2410">
        <f>IF(E2410=0,0,INDEX('Планы менеджеров'!$B$5:$M$16,B2410,D2410)/INDEX(Мес_Раб,D2410))</f>
        <v/>
      </c>
    </row>
    <row r="2411">
      <c r="A2411" t="inlineStr">
        <is>
          <t>Волков</t>
        </is>
      </c>
      <c r="B2411" t="n">
        <v>11</v>
      </c>
      <c r="C2411" s="18">
        <f>'Календарь'!A182</f>
        <v/>
      </c>
      <c r="D2411">
        <f>MONTH(C2411)</f>
        <v/>
      </c>
      <c r="E2411">
        <f>'Календарь'!D182</f>
        <v/>
      </c>
      <c r="F2411">
        <f>INT((C2411-Нед_Начало)/7)+1</f>
        <v/>
      </c>
      <c r="G2411">
        <f>IF(E2411=0,0,INDEX('Планы менеджеров'!$B$5:$M$16,B2411,D2411)/INDEX(Мес_Раб,D2411))</f>
        <v/>
      </c>
    </row>
    <row r="2412">
      <c r="A2412" t="inlineStr">
        <is>
          <t>Волков</t>
        </is>
      </c>
      <c r="B2412" t="n">
        <v>11</v>
      </c>
      <c r="C2412" s="18">
        <f>'Календарь'!A183</f>
        <v/>
      </c>
      <c r="D2412">
        <f>MONTH(C2412)</f>
        <v/>
      </c>
      <c r="E2412">
        <f>'Календарь'!D183</f>
        <v/>
      </c>
      <c r="F2412">
        <f>INT((C2412-Нед_Начало)/7)+1</f>
        <v/>
      </c>
      <c r="G2412">
        <f>IF(E2412=0,0,INDEX('Планы менеджеров'!$B$5:$M$16,B2412,D2412)/INDEX(Мес_Раб,D2412))</f>
        <v/>
      </c>
    </row>
    <row r="2413">
      <c r="A2413" t="inlineStr">
        <is>
          <t>Волков</t>
        </is>
      </c>
      <c r="B2413" t="n">
        <v>11</v>
      </c>
      <c r="C2413" s="18">
        <f>'Календарь'!A184</f>
        <v/>
      </c>
      <c r="D2413">
        <f>MONTH(C2413)</f>
        <v/>
      </c>
      <c r="E2413">
        <f>'Календарь'!D184</f>
        <v/>
      </c>
      <c r="F2413">
        <f>INT((C2413-Нед_Начало)/7)+1</f>
        <v/>
      </c>
      <c r="G2413">
        <f>IF(E2413=0,0,INDEX('Планы менеджеров'!$B$5:$M$16,B2413,D2413)/INDEX(Мес_Раб,D2413))</f>
        <v/>
      </c>
    </row>
    <row r="2414">
      <c r="A2414" t="inlineStr">
        <is>
          <t>Волков</t>
        </is>
      </c>
      <c r="B2414" t="n">
        <v>11</v>
      </c>
      <c r="C2414" s="18">
        <f>'Календарь'!A185</f>
        <v/>
      </c>
      <c r="D2414">
        <f>MONTH(C2414)</f>
        <v/>
      </c>
      <c r="E2414">
        <f>'Календарь'!D185</f>
        <v/>
      </c>
      <c r="F2414">
        <f>INT((C2414-Нед_Начало)/7)+1</f>
        <v/>
      </c>
      <c r="G2414">
        <f>IF(E2414=0,0,INDEX('Планы менеджеров'!$B$5:$M$16,B2414,D2414)/INDEX(Мес_Раб,D2414))</f>
        <v/>
      </c>
    </row>
    <row r="2415">
      <c r="A2415" t="inlineStr">
        <is>
          <t>Волков</t>
        </is>
      </c>
      <c r="B2415" t="n">
        <v>11</v>
      </c>
      <c r="C2415" s="18">
        <f>'Календарь'!A186</f>
        <v/>
      </c>
      <c r="D2415">
        <f>MONTH(C2415)</f>
        <v/>
      </c>
      <c r="E2415">
        <f>'Календарь'!D186</f>
        <v/>
      </c>
      <c r="F2415">
        <f>INT((C2415-Нед_Начало)/7)+1</f>
        <v/>
      </c>
      <c r="G2415">
        <f>IF(E2415=0,0,INDEX('Планы менеджеров'!$B$5:$M$16,B2415,D2415)/INDEX(Мес_Раб,D2415))</f>
        <v/>
      </c>
    </row>
    <row r="2416">
      <c r="A2416" t="inlineStr">
        <is>
          <t>Волков</t>
        </is>
      </c>
      <c r="B2416" t="n">
        <v>11</v>
      </c>
      <c r="C2416" s="18">
        <f>'Календарь'!A187</f>
        <v/>
      </c>
      <c r="D2416">
        <f>MONTH(C2416)</f>
        <v/>
      </c>
      <c r="E2416">
        <f>'Календарь'!D187</f>
        <v/>
      </c>
      <c r="F2416">
        <f>INT((C2416-Нед_Начало)/7)+1</f>
        <v/>
      </c>
      <c r="G2416">
        <f>IF(E2416=0,0,INDEX('Планы менеджеров'!$B$5:$M$16,B2416,D2416)/INDEX(Мес_Раб,D2416))</f>
        <v/>
      </c>
    </row>
    <row r="2417">
      <c r="A2417" t="inlineStr">
        <is>
          <t>Волков</t>
        </is>
      </c>
      <c r="B2417" t="n">
        <v>11</v>
      </c>
      <c r="C2417" s="18">
        <f>'Календарь'!A188</f>
        <v/>
      </c>
      <c r="D2417">
        <f>MONTH(C2417)</f>
        <v/>
      </c>
      <c r="E2417">
        <f>'Календарь'!D188</f>
        <v/>
      </c>
      <c r="F2417">
        <f>INT((C2417-Нед_Начало)/7)+1</f>
        <v/>
      </c>
      <c r="G2417">
        <f>IF(E2417=0,0,INDEX('Планы менеджеров'!$B$5:$M$16,B2417,D2417)/INDEX(Мес_Раб,D2417))</f>
        <v/>
      </c>
    </row>
    <row r="2418">
      <c r="A2418" t="inlineStr">
        <is>
          <t>Волков</t>
        </is>
      </c>
      <c r="B2418" t="n">
        <v>11</v>
      </c>
      <c r="C2418" s="18">
        <f>'Календарь'!A189</f>
        <v/>
      </c>
      <c r="D2418">
        <f>MONTH(C2418)</f>
        <v/>
      </c>
      <c r="E2418">
        <f>'Календарь'!D189</f>
        <v/>
      </c>
      <c r="F2418">
        <f>INT((C2418-Нед_Начало)/7)+1</f>
        <v/>
      </c>
      <c r="G2418">
        <f>IF(E2418=0,0,INDEX('Планы менеджеров'!$B$5:$M$16,B2418,D2418)/INDEX(Мес_Раб,D2418))</f>
        <v/>
      </c>
    </row>
    <row r="2419">
      <c r="A2419" t="inlineStr">
        <is>
          <t>Волков</t>
        </is>
      </c>
      <c r="B2419" t="n">
        <v>11</v>
      </c>
      <c r="C2419" s="18">
        <f>'Календарь'!A190</f>
        <v/>
      </c>
      <c r="D2419">
        <f>MONTH(C2419)</f>
        <v/>
      </c>
      <c r="E2419">
        <f>'Календарь'!D190</f>
        <v/>
      </c>
      <c r="F2419">
        <f>INT((C2419-Нед_Начало)/7)+1</f>
        <v/>
      </c>
      <c r="G2419">
        <f>IF(E2419=0,0,INDEX('Планы менеджеров'!$B$5:$M$16,B2419,D2419)/INDEX(Мес_Раб,D2419))</f>
        <v/>
      </c>
    </row>
    <row r="2420">
      <c r="A2420" t="inlineStr">
        <is>
          <t>Волков</t>
        </is>
      </c>
      <c r="B2420" t="n">
        <v>11</v>
      </c>
      <c r="C2420" s="18">
        <f>'Календарь'!A191</f>
        <v/>
      </c>
      <c r="D2420">
        <f>MONTH(C2420)</f>
        <v/>
      </c>
      <c r="E2420">
        <f>'Календарь'!D191</f>
        <v/>
      </c>
      <c r="F2420">
        <f>INT((C2420-Нед_Начало)/7)+1</f>
        <v/>
      </c>
      <c r="G2420">
        <f>IF(E2420=0,0,INDEX('Планы менеджеров'!$B$5:$M$16,B2420,D2420)/INDEX(Мес_Раб,D2420))</f>
        <v/>
      </c>
    </row>
    <row r="2421">
      <c r="A2421" t="inlineStr">
        <is>
          <t>Волков</t>
        </is>
      </c>
      <c r="B2421" t="n">
        <v>11</v>
      </c>
      <c r="C2421" s="18">
        <f>'Календарь'!A192</f>
        <v/>
      </c>
      <c r="D2421">
        <f>MONTH(C2421)</f>
        <v/>
      </c>
      <c r="E2421">
        <f>'Календарь'!D192</f>
        <v/>
      </c>
      <c r="F2421">
        <f>INT((C2421-Нед_Начало)/7)+1</f>
        <v/>
      </c>
      <c r="G2421">
        <f>IF(E2421=0,0,INDEX('Планы менеджеров'!$B$5:$M$16,B2421,D2421)/INDEX(Мес_Раб,D2421))</f>
        <v/>
      </c>
    </row>
    <row r="2422">
      <c r="A2422" t="inlineStr">
        <is>
          <t>Волков</t>
        </is>
      </c>
      <c r="B2422" t="n">
        <v>11</v>
      </c>
      <c r="C2422" s="18">
        <f>'Календарь'!A193</f>
        <v/>
      </c>
      <c r="D2422">
        <f>MONTH(C2422)</f>
        <v/>
      </c>
      <c r="E2422">
        <f>'Календарь'!D193</f>
        <v/>
      </c>
      <c r="F2422">
        <f>INT((C2422-Нед_Начало)/7)+1</f>
        <v/>
      </c>
      <c r="G2422">
        <f>IF(E2422=0,0,INDEX('Планы менеджеров'!$B$5:$M$16,B2422,D2422)/INDEX(Мес_Раб,D2422))</f>
        <v/>
      </c>
    </row>
    <row r="2423">
      <c r="A2423" t="inlineStr">
        <is>
          <t>Волков</t>
        </is>
      </c>
      <c r="B2423" t="n">
        <v>11</v>
      </c>
      <c r="C2423" s="18">
        <f>'Календарь'!A194</f>
        <v/>
      </c>
      <c r="D2423">
        <f>MONTH(C2423)</f>
        <v/>
      </c>
      <c r="E2423">
        <f>'Календарь'!D194</f>
        <v/>
      </c>
      <c r="F2423">
        <f>INT((C2423-Нед_Начало)/7)+1</f>
        <v/>
      </c>
      <c r="G2423">
        <f>IF(E2423=0,0,INDEX('Планы менеджеров'!$B$5:$M$16,B2423,D2423)/INDEX(Мес_Раб,D2423))</f>
        <v/>
      </c>
    </row>
    <row r="2424">
      <c r="A2424" t="inlineStr">
        <is>
          <t>Волков</t>
        </is>
      </c>
      <c r="B2424" t="n">
        <v>11</v>
      </c>
      <c r="C2424" s="18">
        <f>'Календарь'!A195</f>
        <v/>
      </c>
      <c r="D2424">
        <f>MONTH(C2424)</f>
        <v/>
      </c>
      <c r="E2424">
        <f>'Календарь'!D195</f>
        <v/>
      </c>
      <c r="F2424">
        <f>INT((C2424-Нед_Начало)/7)+1</f>
        <v/>
      </c>
      <c r="G2424">
        <f>IF(E2424=0,0,INDEX('Планы менеджеров'!$B$5:$M$16,B2424,D2424)/INDEX(Мес_Раб,D2424))</f>
        <v/>
      </c>
    </row>
    <row r="2425">
      <c r="A2425" t="inlineStr">
        <is>
          <t>Волков</t>
        </is>
      </c>
      <c r="B2425" t="n">
        <v>11</v>
      </c>
      <c r="C2425" s="18">
        <f>'Календарь'!A196</f>
        <v/>
      </c>
      <c r="D2425">
        <f>MONTH(C2425)</f>
        <v/>
      </c>
      <c r="E2425">
        <f>'Календарь'!D196</f>
        <v/>
      </c>
      <c r="F2425">
        <f>INT((C2425-Нед_Начало)/7)+1</f>
        <v/>
      </c>
      <c r="G2425">
        <f>IF(E2425=0,0,INDEX('Планы менеджеров'!$B$5:$M$16,B2425,D2425)/INDEX(Мес_Раб,D2425))</f>
        <v/>
      </c>
    </row>
    <row r="2426">
      <c r="A2426" t="inlineStr">
        <is>
          <t>Волков</t>
        </is>
      </c>
      <c r="B2426" t="n">
        <v>11</v>
      </c>
      <c r="C2426" s="18">
        <f>'Календарь'!A197</f>
        <v/>
      </c>
      <c r="D2426">
        <f>MONTH(C2426)</f>
        <v/>
      </c>
      <c r="E2426">
        <f>'Календарь'!D197</f>
        <v/>
      </c>
      <c r="F2426">
        <f>INT((C2426-Нед_Начало)/7)+1</f>
        <v/>
      </c>
      <c r="G2426">
        <f>IF(E2426=0,0,INDEX('Планы менеджеров'!$B$5:$M$16,B2426,D2426)/INDEX(Мес_Раб,D2426))</f>
        <v/>
      </c>
    </row>
    <row r="2427">
      <c r="A2427" t="inlineStr">
        <is>
          <t>Волков</t>
        </is>
      </c>
      <c r="B2427" t="n">
        <v>11</v>
      </c>
      <c r="C2427" s="18">
        <f>'Календарь'!A198</f>
        <v/>
      </c>
      <c r="D2427">
        <f>MONTH(C2427)</f>
        <v/>
      </c>
      <c r="E2427">
        <f>'Календарь'!D198</f>
        <v/>
      </c>
      <c r="F2427">
        <f>INT((C2427-Нед_Начало)/7)+1</f>
        <v/>
      </c>
      <c r="G2427">
        <f>IF(E2427=0,0,INDEX('Планы менеджеров'!$B$5:$M$16,B2427,D2427)/INDEX(Мес_Раб,D2427))</f>
        <v/>
      </c>
    </row>
    <row r="2428">
      <c r="A2428" t="inlineStr">
        <is>
          <t>Волков</t>
        </is>
      </c>
      <c r="B2428" t="n">
        <v>11</v>
      </c>
      <c r="C2428" s="18">
        <f>'Календарь'!A199</f>
        <v/>
      </c>
      <c r="D2428">
        <f>MONTH(C2428)</f>
        <v/>
      </c>
      <c r="E2428">
        <f>'Календарь'!D199</f>
        <v/>
      </c>
      <c r="F2428">
        <f>INT((C2428-Нед_Начало)/7)+1</f>
        <v/>
      </c>
      <c r="G2428">
        <f>IF(E2428=0,0,INDEX('Планы менеджеров'!$B$5:$M$16,B2428,D2428)/INDEX(Мес_Раб,D2428))</f>
        <v/>
      </c>
    </row>
    <row r="2429">
      <c r="A2429" t="inlineStr">
        <is>
          <t>Волков</t>
        </is>
      </c>
      <c r="B2429" t="n">
        <v>11</v>
      </c>
      <c r="C2429" s="18">
        <f>'Календарь'!A200</f>
        <v/>
      </c>
      <c r="D2429">
        <f>MONTH(C2429)</f>
        <v/>
      </c>
      <c r="E2429">
        <f>'Календарь'!D200</f>
        <v/>
      </c>
      <c r="F2429">
        <f>INT((C2429-Нед_Начало)/7)+1</f>
        <v/>
      </c>
      <c r="G2429">
        <f>IF(E2429=0,0,INDEX('Планы менеджеров'!$B$5:$M$16,B2429,D2429)/INDEX(Мес_Раб,D2429))</f>
        <v/>
      </c>
    </row>
    <row r="2430">
      <c r="A2430" t="inlineStr">
        <is>
          <t>Волков</t>
        </is>
      </c>
      <c r="B2430" t="n">
        <v>11</v>
      </c>
      <c r="C2430" s="18">
        <f>'Календарь'!A201</f>
        <v/>
      </c>
      <c r="D2430">
        <f>MONTH(C2430)</f>
        <v/>
      </c>
      <c r="E2430">
        <f>'Календарь'!D201</f>
        <v/>
      </c>
      <c r="F2430">
        <f>INT((C2430-Нед_Начало)/7)+1</f>
        <v/>
      </c>
      <c r="G2430">
        <f>IF(E2430=0,0,INDEX('Планы менеджеров'!$B$5:$M$16,B2430,D2430)/INDEX(Мес_Раб,D2430))</f>
        <v/>
      </c>
    </row>
    <row r="2431">
      <c r="A2431" t="inlineStr">
        <is>
          <t>Волков</t>
        </is>
      </c>
      <c r="B2431" t="n">
        <v>11</v>
      </c>
      <c r="C2431" s="18">
        <f>'Календарь'!A202</f>
        <v/>
      </c>
      <c r="D2431">
        <f>MONTH(C2431)</f>
        <v/>
      </c>
      <c r="E2431">
        <f>'Календарь'!D202</f>
        <v/>
      </c>
      <c r="F2431">
        <f>INT((C2431-Нед_Начало)/7)+1</f>
        <v/>
      </c>
      <c r="G2431">
        <f>IF(E2431=0,0,INDEX('Планы менеджеров'!$B$5:$M$16,B2431,D2431)/INDEX(Мес_Раб,D2431))</f>
        <v/>
      </c>
    </row>
    <row r="2432">
      <c r="A2432" t="inlineStr">
        <is>
          <t>Волков</t>
        </is>
      </c>
      <c r="B2432" t="n">
        <v>11</v>
      </c>
      <c r="C2432" s="18">
        <f>'Календарь'!A203</f>
        <v/>
      </c>
      <c r="D2432">
        <f>MONTH(C2432)</f>
        <v/>
      </c>
      <c r="E2432">
        <f>'Календарь'!D203</f>
        <v/>
      </c>
      <c r="F2432">
        <f>INT((C2432-Нед_Начало)/7)+1</f>
        <v/>
      </c>
      <c r="G2432">
        <f>IF(E2432=0,0,INDEX('Планы менеджеров'!$B$5:$M$16,B2432,D2432)/INDEX(Мес_Раб,D2432))</f>
        <v/>
      </c>
    </row>
    <row r="2433">
      <c r="A2433" t="inlineStr">
        <is>
          <t>Волков</t>
        </is>
      </c>
      <c r="B2433" t="n">
        <v>11</v>
      </c>
      <c r="C2433" s="18">
        <f>'Календарь'!A204</f>
        <v/>
      </c>
      <c r="D2433">
        <f>MONTH(C2433)</f>
        <v/>
      </c>
      <c r="E2433">
        <f>'Календарь'!D204</f>
        <v/>
      </c>
      <c r="F2433">
        <f>INT((C2433-Нед_Начало)/7)+1</f>
        <v/>
      </c>
      <c r="G2433">
        <f>IF(E2433=0,0,INDEX('Планы менеджеров'!$B$5:$M$16,B2433,D2433)/INDEX(Мес_Раб,D2433))</f>
        <v/>
      </c>
    </row>
    <row r="2434">
      <c r="A2434" t="inlineStr">
        <is>
          <t>Волков</t>
        </is>
      </c>
      <c r="B2434" t="n">
        <v>11</v>
      </c>
      <c r="C2434" s="18">
        <f>'Календарь'!A205</f>
        <v/>
      </c>
      <c r="D2434">
        <f>MONTH(C2434)</f>
        <v/>
      </c>
      <c r="E2434">
        <f>'Календарь'!D205</f>
        <v/>
      </c>
      <c r="F2434">
        <f>INT((C2434-Нед_Начало)/7)+1</f>
        <v/>
      </c>
      <c r="G2434">
        <f>IF(E2434=0,0,INDEX('Планы менеджеров'!$B$5:$M$16,B2434,D2434)/INDEX(Мес_Раб,D2434))</f>
        <v/>
      </c>
    </row>
    <row r="2435">
      <c r="A2435" t="inlineStr">
        <is>
          <t>Волков</t>
        </is>
      </c>
      <c r="B2435" t="n">
        <v>11</v>
      </c>
      <c r="C2435" s="18">
        <f>'Календарь'!A206</f>
        <v/>
      </c>
      <c r="D2435">
        <f>MONTH(C2435)</f>
        <v/>
      </c>
      <c r="E2435">
        <f>'Календарь'!D206</f>
        <v/>
      </c>
      <c r="F2435">
        <f>INT((C2435-Нед_Начало)/7)+1</f>
        <v/>
      </c>
      <c r="G2435">
        <f>IF(E2435=0,0,INDEX('Планы менеджеров'!$B$5:$M$16,B2435,D2435)/INDEX(Мес_Раб,D2435))</f>
        <v/>
      </c>
    </row>
    <row r="2436">
      <c r="A2436" t="inlineStr">
        <is>
          <t>Волков</t>
        </is>
      </c>
      <c r="B2436" t="n">
        <v>11</v>
      </c>
      <c r="C2436" s="18">
        <f>'Календарь'!A207</f>
        <v/>
      </c>
      <c r="D2436">
        <f>MONTH(C2436)</f>
        <v/>
      </c>
      <c r="E2436">
        <f>'Календарь'!D207</f>
        <v/>
      </c>
      <c r="F2436">
        <f>INT((C2436-Нед_Начало)/7)+1</f>
        <v/>
      </c>
      <c r="G2436">
        <f>IF(E2436=0,0,INDEX('Планы менеджеров'!$B$5:$M$16,B2436,D2436)/INDEX(Мес_Раб,D2436))</f>
        <v/>
      </c>
    </row>
    <row r="2437">
      <c r="A2437" t="inlineStr">
        <is>
          <t>Волков</t>
        </is>
      </c>
      <c r="B2437" t="n">
        <v>11</v>
      </c>
      <c r="C2437" s="18">
        <f>'Календарь'!A208</f>
        <v/>
      </c>
      <c r="D2437">
        <f>MONTH(C2437)</f>
        <v/>
      </c>
      <c r="E2437">
        <f>'Календарь'!D208</f>
        <v/>
      </c>
      <c r="F2437">
        <f>INT((C2437-Нед_Начало)/7)+1</f>
        <v/>
      </c>
      <c r="G2437">
        <f>IF(E2437=0,0,INDEX('Планы менеджеров'!$B$5:$M$16,B2437,D2437)/INDEX(Мес_Раб,D2437))</f>
        <v/>
      </c>
    </row>
    <row r="2438">
      <c r="A2438" t="inlineStr">
        <is>
          <t>Волков</t>
        </is>
      </c>
      <c r="B2438" t="n">
        <v>11</v>
      </c>
      <c r="C2438" s="18">
        <f>'Календарь'!A209</f>
        <v/>
      </c>
      <c r="D2438">
        <f>MONTH(C2438)</f>
        <v/>
      </c>
      <c r="E2438">
        <f>'Календарь'!D209</f>
        <v/>
      </c>
      <c r="F2438">
        <f>INT((C2438-Нед_Начало)/7)+1</f>
        <v/>
      </c>
      <c r="G2438">
        <f>IF(E2438=0,0,INDEX('Планы менеджеров'!$B$5:$M$16,B2438,D2438)/INDEX(Мес_Раб,D2438))</f>
        <v/>
      </c>
    </row>
    <row r="2439">
      <c r="A2439" t="inlineStr">
        <is>
          <t>Волков</t>
        </is>
      </c>
      <c r="B2439" t="n">
        <v>11</v>
      </c>
      <c r="C2439" s="18">
        <f>'Календарь'!A210</f>
        <v/>
      </c>
      <c r="D2439">
        <f>MONTH(C2439)</f>
        <v/>
      </c>
      <c r="E2439">
        <f>'Календарь'!D210</f>
        <v/>
      </c>
      <c r="F2439">
        <f>INT((C2439-Нед_Начало)/7)+1</f>
        <v/>
      </c>
      <c r="G2439">
        <f>IF(E2439=0,0,INDEX('Планы менеджеров'!$B$5:$M$16,B2439,D2439)/INDEX(Мес_Раб,D2439))</f>
        <v/>
      </c>
    </row>
    <row r="2440">
      <c r="A2440" t="inlineStr">
        <is>
          <t>Волков</t>
        </is>
      </c>
      <c r="B2440" t="n">
        <v>11</v>
      </c>
      <c r="C2440" s="18">
        <f>'Календарь'!A211</f>
        <v/>
      </c>
      <c r="D2440">
        <f>MONTH(C2440)</f>
        <v/>
      </c>
      <c r="E2440">
        <f>'Календарь'!D211</f>
        <v/>
      </c>
      <c r="F2440">
        <f>INT((C2440-Нед_Начало)/7)+1</f>
        <v/>
      </c>
      <c r="G2440">
        <f>IF(E2440=0,0,INDEX('Планы менеджеров'!$B$5:$M$16,B2440,D2440)/INDEX(Мес_Раб,D2440))</f>
        <v/>
      </c>
    </row>
    <row r="2441">
      <c r="A2441" t="inlineStr">
        <is>
          <t>Волков</t>
        </is>
      </c>
      <c r="B2441" t="n">
        <v>11</v>
      </c>
      <c r="C2441" s="18">
        <f>'Календарь'!A212</f>
        <v/>
      </c>
      <c r="D2441">
        <f>MONTH(C2441)</f>
        <v/>
      </c>
      <c r="E2441">
        <f>'Календарь'!D212</f>
        <v/>
      </c>
      <c r="F2441">
        <f>INT((C2441-Нед_Начало)/7)+1</f>
        <v/>
      </c>
      <c r="G2441">
        <f>IF(E2441=0,0,INDEX('Планы менеджеров'!$B$5:$M$16,B2441,D2441)/INDEX(Мес_Раб,D2441))</f>
        <v/>
      </c>
    </row>
    <row r="2442">
      <c r="A2442" t="inlineStr">
        <is>
          <t>Волков</t>
        </is>
      </c>
      <c r="B2442" t="n">
        <v>11</v>
      </c>
      <c r="C2442" s="18">
        <f>'Календарь'!A213</f>
        <v/>
      </c>
      <c r="D2442">
        <f>MONTH(C2442)</f>
        <v/>
      </c>
      <c r="E2442">
        <f>'Календарь'!D213</f>
        <v/>
      </c>
      <c r="F2442">
        <f>INT((C2442-Нед_Начало)/7)+1</f>
        <v/>
      </c>
      <c r="G2442">
        <f>IF(E2442=0,0,INDEX('Планы менеджеров'!$B$5:$M$16,B2442,D2442)/INDEX(Мес_Раб,D2442))</f>
        <v/>
      </c>
    </row>
    <row r="2443">
      <c r="A2443" t="inlineStr">
        <is>
          <t>Волков</t>
        </is>
      </c>
      <c r="B2443" t="n">
        <v>11</v>
      </c>
      <c r="C2443" s="18">
        <f>'Календарь'!A214</f>
        <v/>
      </c>
      <c r="D2443">
        <f>MONTH(C2443)</f>
        <v/>
      </c>
      <c r="E2443">
        <f>'Календарь'!D214</f>
        <v/>
      </c>
      <c r="F2443">
        <f>INT((C2443-Нед_Начало)/7)+1</f>
        <v/>
      </c>
      <c r="G2443">
        <f>IF(E2443=0,0,INDEX('Планы менеджеров'!$B$5:$M$16,B2443,D2443)/INDEX(Мес_Раб,D2443))</f>
        <v/>
      </c>
    </row>
    <row r="2444">
      <c r="A2444" t="inlineStr">
        <is>
          <t>Волков</t>
        </is>
      </c>
      <c r="B2444" t="n">
        <v>11</v>
      </c>
      <c r="C2444" s="18">
        <f>'Календарь'!A215</f>
        <v/>
      </c>
      <c r="D2444">
        <f>MONTH(C2444)</f>
        <v/>
      </c>
      <c r="E2444">
        <f>'Календарь'!D215</f>
        <v/>
      </c>
      <c r="F2444">
        <f>INT((C2444-Нед_Начало)/7)+1</f>
        <v/>
      </c>
      <c r="G2444">
        <f>IF(E2444=0,0,INDEX('Планы менеджеров'!$B$5:$M$16,B2444,D2444)/INDEX(Мес_Раб,D2444))</f>
        <v/>
      </c>
    </row>
    <row r="2445">
      <c r="A2445" t="inlineStr">
        <is>
          <t>Волков</t>
        </is>
      </c>
      <c r="B2445" t="n">
        <v>11</v>
      </c>
      <c r="C2445" s="18">
        <f>'Календарь'!A216</f>
        <v/>
      </c>
      <c r="D2445">
        <f>MONTH(C2445)</f>
        <v/>
      </c>
      <c r="E2445">
        <f>'Календарь'!D216</f>
        <v/>
      </c>
      <c r="F2445">
        <f>INT((C2445-Нед_Начало)/7)+1</f>
        <v/>
      </c>
      <c r="G2445">
        <f>IF(E2445=0,0,INDEX('Планы менеджеров'!$B$5:$M$16,B2445,D2445)/INDEX(Мес_Раб,D2445))</f>
        <v/>
      </c>
    </row>
    <row r="2446">
      <c r="A2446" t="inlineStr">
        <is>
          <t>Волков</t>
        </is>
      </c>
      <c r="B2446" t="n">
        <v>11</v>
      </c>
      <c r="C2446" s="18">
        <f>'Календарь'!A217</f>
        <v/>
      </c>
      <c r="D2446">
        <f>MONTH(C2446)</f>
        <v/>
      </c>
      <c r="E2446">
        <f>'Календарь'!D217</f>
        <v/>
      </c>
      <c r="F2446">
        <f>INT((C2446-Нед_Начало)/7)+1</f>
        <v/>
      </c>
      <c r="G2446">
        <f>IF(E2446=0,0,INDEX('Планы менеджеров'!$B$5:$M$16,B2446,D2446)/INDEX(Мес_Раб,D2446))</f>
        <v/>
      </c>
    </row>
    <row r="2447">
      <c r="A2447" t="inlineStr">
        <is>
          <t>Волков</t>
        </is>
      </c>
      <c r="B2447" t="n">
        <v>11</v>
      </c>
      <c r="C2447" s="18">
        <f>'Календарь'!A218</f>
        <v/>
      </c>
      <c r="D2447">
        <f>MONTH(C2447)</f>
        <v/>
      </c>
      <c r="E2447">
        <f>'Календарь'!D218</f>
        <v/>
      </c>
      <c r="F2447">
        <f>INT((C2447-Нед_Начало)/7)+1</f>
        <v/>
      </c>
      <c r="G2447">
        <f>IF(E2447=0,0,INDEX('Планы менеджеров'!$B$5:$M$16,B2447,D2447)/INDEX(Мес_Раб,D2447))</f>
        <v/>
      </c>
    </row>
    <row r="2448">
      <c r="A2448" t="inlineStr">
        <is>
          <t>Волков</t>
        </is>
      </c>
      <c r="B2448" t="n">
        <v>11</v>
      </c>
      <c r="C2448" s="18">
        <f>'Календарь'!A219</f>
        <v/>
      </c>
      <c r="D2448">
        <f>MONTH(C2448)</f>
        <v/>
      </c>
      <c r="E2448">
        <f>'Календарь'!D219</f>
        <v/>
      </c>
      <c r="F2448">
        <f>INT((C2448-Нед_Начало)/7)+1</f>
        <v/>
      </c>
      <c r="G2448">
        <f>IF(E2448=0,0,INDEX('Планы менеджеров'!$B$5:$M$16,B2448,D2448)/INDEX(Мес_Раб,D2448))</f>
        <v/>
      </c>
    </row>
    <row r="2449">
      <c r="A2449" t="inlineStr">
        <is>
          <t>Волков</t>
        </is>
      </c>
      <c r="B2449" t="n">
        <v>11</v>
      </c>
      <c r="C2449" s="18">
        <f>'Календарь'!A220</f>
        <v/>
      </c>
      <c r="D2449">
        <f>MONTH(C2449)</f>
        <v/>
      </c>
      <c r="E2449">
        <f>'Календарь'!D220</f>
        <v/>
      </c>
      <c r="F2449">
        <f>INT((C2449-Нед_Начало)/7)+1</f>
        <v/>
      </c>
      <c r="G2449">
        <f>IF(E2449=0,0,INDEX('Планы менеджеров'!$B$5:$M$16,B2449,D2449)/INDEX(Мес_Раб,D2449))</f>
        <v/>
      </c>
    </row>
    <row r="2450">
      <c r="A2450" t="inlineStr">
        <is>
          <t>Волков</t>
        </is>
      </c>
      <c r="B2450" t="n">
        <v>11</v>
      </c>
      <c r="C2450" s="18">
        <f>'Календарь'!A221</f>
        <v/>
      </c>
      <c r="D2450">
        <f>MONTH(C2450)</f>
        <v/>
      </c>
      <c r="E2450">
        <f>'Календарь'!D221</f>
        <v/>
      </c>
      <c r="F2450">
        <f>INT((C2450-Нед_Начало)/7)+1</f>
        <v/>
      </c>
      <c r="G2450">
        <f>IF(E2450=0,0,INDEX('Планы менеджеров'!$B$5:$M$16,B2450,D2450)/INDEX(Мес_Раб,D2450))</f>
        <v/>
      </c>
    </row>
    <row r="2451">
      <c r="A2451" t="inlineStr">
        <is>
          <t>Волков</t>
        </is>
      </c>
      <c r="B2451" t="n">
        <v>11</v>
      </c>
      <c r="C2451" s="18">
        <f>'Календарь'!A222</f>
        <v/>
      </c>
      <c r="D2451">
        <f>MONTH(C2451)</f>
        <v/>
      </c>
      <c r="E2451">
        <f>'Календарь'!D222</f>
        <v/>
      </c>
      <c r="F2451">
        <f>INT((C2451-Нед_Начало)/7)+1</f>
        <v/>
      </c>
      <c r="G2451">
        <f>IF(E2451=0,0,INDEX('Планы менеджеров'!$B$5:$M$16,B2451,D2451)/INDEX(Мес_Раб,D2451))</f>
        <v/>
      </c>
    </row>
    <row r="2452">
      <c r="A2452" t="inlineStr">
        <is>
          <t>Волков</t>
        </is>
      </c>
      <c r="B2452" t="n">
        <v>11</v>
      </c>
      <c r="C2452" s="18">
        <f>'Календарь'!A223</f>
        <v/>
      </c>
      <c r="D2452">
        <f>MONTH(C2452)</f>
        <v/>
      </c>
      <c r="E2452">
        <f>'Календарь'!D223</f>
        <v/>
      </c>
      <c r="F2452">
        <f>INT((C2452-Нед_Начало)/7)+1</f>
        <v/>
      </c>
      <c r="G2452">
        <f>IF(E2452=0,0,INDEX('Планы менеджеров'!$B$5:$M$16,B2452,D2452)/INDEX(Мес_Раб,D2452))</f>
        <v/>
      </c>
    </row>
    <row r="2453">
      <c r="A2453" t="inlineStr">
        <is>
          <t>Волков</t>
        </is>
      </c>
      <c r="B2453" t="n">
        <v>11</v>
      </c>
      <c r="C2453" s="18">
        <f>'Календарь'!A224</f>
        <v/>
      </c>
      <c r="D2453">
        <f>MONTH(C2453)</f>
        <v/>
      </c>
      <c r="E2453">
        <f>'Календарь'!D224</f>
        <v/>
      </c>
      <c r="F2453">
        <f>INT((C2453-Нед_Начало)/7)+1</f>
        <v/>
      </c>
      <c r="G2453">
        <f>IF(E2453=0,0,INDEX('Планы менеджеров'!$B$5:$M$16,B2453,D2453)/INDEX(Мес_Раб,D2453))</f>
        <v/>
      </c>
    </row>
    <row r="2454">
      <c r="A2454" t="inlineStr">
        <is>
          <t>Волков</t>
        </is>
      </c>
      <c r="B2454" t="n">
        <v>11</v>
      </c>
      <c r="C2454" s="18">
        <f>'Календарь'!A225</f>
        <v/>
      </c>
      <c r="D2454">
        <f>MONTH(C2454)</f>
        <v/>
      </c>
      <c r="E2454">
        <f>'Календарь'!D225</f>
        <v/>
      </c>
      <c r="F2454">
        <f>INT((C2454-Нед_Начало)/7)+1</f>
        <v/>
      </c>
      <c r="G2454">
        <f>IF(E2454=0,0,INDEX('Планы менеджеров'!$B$5:$M$16,B2454,D2454)/INDEX(Мес_Раб,D2454))</f>
        <v/>
      </c>
    </row>
    <row r="2455">
      <c r="A2455" t="inlineStr">
        <is>
          <t>Волков</t>
        </is>
      </c>
      <c r="B2455" t="n">
        <v>11</v>
      </c>
      <c r="C2455" s="18">
        <f>'Календарь'!A226</f>
        <v/>
      </c>
      <c r="D2455">
        <f>MONTH(C2455)</f>
        <v/>
      </c>
      <c r="E2455">
        <f>'Календарь'!D226</f>
        <v/>
      </c>
      <c r="F2455">
        <f>INT((C2455-Нед_Начало)/7)+1</f>
        <v/>
      </c>
      <c r="G2455">
        <f>IF(E2455=0,0,INDEX('Планы менеджеров'!$B$5:$M$16,B2455,D2455)/INDEX(Мес_Раб,D2455))</f>
        <v/>
      </c>
    </row>
    <row r="2456">
      <c r="A2456" t="inlineStr">
        <is>
          <t>Волков</t>
        </is>
      </c>
      <c r="B2456" t="n">
        <v>11</v>
      </c>
      <c r="C2456" s="18">
        <f>'Календарь'!A227</f>
        <v/>
      </c>
      <c r="D2456">
        <f>MONTH(C2456)</f>
        <v/>
      </c>
      <c r="E2456">
        <f>'Календарь'!D227</f>
        <v/>
      </c>
      <c r="F2456">
        <f>INT((C2456-Нед_Начало)/7)+1</f>
        <v/>
      </c>
      <c r="G2456">
        <f>IF(E2456=0,0,INDEX('Планы менеджеров'!$B$5:$M$16,B2456,D2456)/INDEX(Мес_Раб,D2456))</f>
        <v/>
      </c>
    </row>
    <row r="2457">
      <c r="A2457" t="inlineStr">
        <is>
          <t>Волков</t>
        </is>
      </c>
      <c r="B2457" t="n">
        <v>11</v>
      </c>
      <c r="C2457" s="18">
        <f>'Календарь'!A228</f>
        <v/>
      </c>
      <c r="D2457">
        <f>MONTH(C2457)</f>
        <v/>
      </c>
      <c r="E2457">
        <f>'Календарь'!D228</f>
        <v/>
      </c>
      <c r="F2457">
        <f>INT((C2457-Нед_Начало)/7)+1</f>
        <v/>
      </c>
      <c r="G2457">
        <f>IF(E2457=0,0,INDEX('Планы менеджеров'!$B$5:$M$16,B2457,D2457)/INDEX(Мес_Раб,D2457))</f>
        <v/>
      </c>
    </row>
    <row r="2458">
      <c r="A2458" t="inlineStr">
        <is>
          <t>Волков</t>
        </is>
      </c>
      <c r="B2458" t="n">
        <v>11</v>
      </c>
      <c r="C2458" s="18">
        <f>'Календарь'!A229</f>
        <v/>
      </c>
      <c r="D2458">
        <f>MONTH(C2458)</f>
        <v/>
      </c>
      <c r="E2458">
        <f>'Календарь'!D229</f>
        <v/>
      </c>
      <c r="F2458">
        <f>INT((C2458-Нед_Начало)/7)+1</f>
        <v/>
      </c>
      <c r="G2458">
        <f>IF(E2458=0,0,INDEX('Планы менеджеров'!$B$5:$M$16,B2458,D2458)/INDEX(Мес_Раб,D2458))</f>
        <v/>
      </c>
    </row>
    <row r="2459">
      <c r="A2459" t="inlineStr">
        <is>
          <t>Волков</t>
        </is>
      </c>
      <c r="B2459" t="n">
        <v>11</v>
      </c>
      <c r="C2459" s="18">
        <f>'Календарь'!A230</f>
        <v/>
      </c>
      <c r="D2459">
        <f>MONTH(C2459)</f>
        <v/>
      </c>
      <c r="E2459">
        <f>'Календарь'!D230</f>
        <v/>
      </c>
      <c r="F2459">
        <f>INT((C2459-Нед_Начало)/7)+1</f>
        <v/>
      </c>
      <c r="G2459">
        <f>IF(E2459=0,0,INDEX('Планы менеджеров'!$B$5:$M$16,B2459,D2459)/INDEX(Мес_Раб,D2459))</f>
        <v/>
      </c>
    </row>
    <row r="2460">
      <c r="A2460" t="inlineStr">
        <is>
          <t>Волков</t>
        </is>
      </c>
      <c r="B2460" t="n">
        <v>11</v>
      </c>
      <c r="C2460" s="18">
        <f>'Календарь'!A231</f>
        <v/>
      </c>
      <c r="D2460">
        <f>MONTH(C2460)</f>
        <v/>
      </c>
      <c r="E2460">
        <f>'Календарь'!D231</f>
        <v/>
      </c>
      <c r="F2460">
        <f>INT((C2460-Нед_Начало)/7)+1</f>
        <v/>
      </c>
      <c r="G2460">
        <f>IF(E2460=0,0,INDEX('Планы менеджеров'!$B$5:$M$16,B2460,D2460)/INDEX(Мес_Раб,D2460))</f>
        <v/>
      </c>
    </row>
    <row r="2461">
      <c r="A2461" t="inlineStr">
        <is>
          <t>Волков</t>
        </is>
      </c>
      <c r="B2461" t="n">
        <v>11</v>
      </c>
      <c r="C2461" s="18">
        <f>'Календарь'!A232</f>
        <v/>
      </c>
      <c r="D2461">
        <f>MONTH(C2461)</f>
        <v/>
      </c>
      <c r="E2461">
        <f>'Календарь'!D232</f>
        <v/>
      </c>
      <c r="F2461">
        <f>INT((C2461-Нед_Начало)/7)+1</f>
        <v/>
      </c>
      <c r="G2461">
        <f>IF(E2461=0,0,INDEX('Планы менеджеров'!$B$5:$M$16,B2461,D2461)/INDEX(Мес_Раб,D2461))</f>
        <v/>
      </c>
    </row>
    <row r="2462">
      <c r="A2462" t="inlineStr">
        <is>
          <t>Волков</t>
        </is>
      </c>
      <c r="B2462" t="n">
        <v>11</v>
      </c>
      <c r="C2462" s="18">
        <f>'Календарь'!A233</f>
        <v/>
      </c>
      <c r="D2462">
        <f>MONTH(C2462)</f>
        <v/>
      </c>
      <c r="E2462">
        <f>'Календарь'!D233</f>
        <v/>
      </c>
      <c r="F2462">
        <f>INT((C2462-Нед_Начало)/7)+1</f>
        <v/>
      </c>
      <c r="G2462">
        <f>IF(E2462=0,0,INDEX('Планы менеджеров'!$B$5:$M$16,B2462,D2462)/INDEX(Мес_Раб,D2462))</f>
        <v/>
      </c>
    </row>
    <row r="2463">
      <c r="A2463" t="inlineStr">
        <is>
          <t>Волков</t>
        </is>
      </c>
      <c r="B2463" t="n">
        <v>11</v>
      </c>
      <c r="C2463" s="18">
        <f>'Календарь'!A234</f>
        <v/>
      </c>
      <c r="D2463">
        <f>MONTH(C2463)</f>
        <v/>
      </c>
      <c r="E2463">
        <f>'Календарь'!D234</f>
        <v/>
      </c>
      <c r="F2463">
        <f>INT((C2463-Нед_Начало)/7)+1</f>
        <v/>
      </c>
      <c r="G2463">
        <f>IF(E2463=0,0,INDEX('Планы менеджеров'!$B$5:$M$16,B2463,D2463)/INDEX(Мес_Раб,D2463))</f>
        <v/>
      </c>
    </row>
    <row r="2464">
      <c r="A2464" t="inlineStr">
        <is>
          <t>Волков</t>
        </is>
      </c>
      <c r="B2464" t="n">
        <v>11</v>
      </c>
      <c r="C2464" s="18">
        <f>'Календарь'!A235</f>
        <v/>
      </c>
      <c r="D2464">
        <f>MONTH(C2464)</f>
        <v/>
      </c>
      <c r="E2464">
        <f>'Календарь'!D235</f>
        <v/>
      </c>
      <c r="F2464">
        <f>INT((C2464-Нед_Начало)/7)+1</f>
        <v/>
      </c>
      <c r="G2464">
        <f>IF(E2464=0,0,INDEX('Планы менеджеров'!$B$5:$M$16,B2464,D2464)/INDEX(Мес_Раб,D2464))</f>
        <v/>
      </c>
    </row>
    <row r="2465">
      <c r="A2465" t="inlineStr">
        <is>
          <t>Волков</t>
        </is>
      </c>
      <c r="B2465" t="n">
        <v>11</v>
      </c>
      <c r="C2465" s="18">
        <f>'Календарь'!A236</f>
        <v/>
      </c>
      <c r="D2465">
        <f>MONTH(C2465)</f>
        <v/>
      </c>
      <c r="E2465">
        <f>'Календарь'!D236</f>
        <v/>
      </c>
      <c r="F2465">
        <f>INT((C2465-Нед_Начало)/7)+1</f>
        <v/>
      </c>
      <c r="G2465">
        <f>IF(E2465=0,0,INDEX('Планы менеджеров'!$B$5:$M$16,B2465,D2465)/INDEX(Мес_Раб,D2465))</f>
        <v/>
      </c>
    </row>
    <row r="2466">
      <c r="A2466" t="inlineStr">
        <is>
          <t>Волков</t>
        </is>
      </c>
      <c r="B2466" t="n">
        <v>11</v>
      </c>
      <c r="C2466" s="18">
        <f>'Календарь'!A237</f>
        <v/>
      </c>
      <c r="D2466">
        <f>MONTH(C2466)</f>
        <v/>
      </c>
      <c r="E2466">
        <f>'Календарь'!D237</f>
        <v/>
      </c>
      <c r="F2466">
        <f>INT((C2466-Нед_Начало)/7)+1</f>
        <v/>
      </c>
      <c r="G2466">
        <f>IF(E2466=0,0,INDEX('Планы менеджеров'!$B$5:$M$16,B2466,D2466)/INDEX(Мес_Раб,D2466))</f>
        <v/>
      </c>
    </row>
    <row r="2467">
      <c r="A2467" t="inlineStr">
        <is>
          <t>Волков</t>
        </is>
      </c>
      <c r="B2467" t="n">
        <v>11</v>
      </c>
      <c r="C2467" s="18">
        <f>'Календарь'!A238</f>
        <v/>
      </c>
      <c r="D2467">
        <f>MONTH(C2467)</f>
        <v/>
      </c>
      <c r="E2467">
        <f>'Календарь'!D238</f>
        <v/>
      </c>
      <c r="F2467">
        <f>INT((C2467-Нед_Начало)/7)+1</f>
        <v/>
      </c>
      <c r="G2467">
        <f>IF(E2467=0,0,INDEX('Планы менеджеров'!$B$5:$M$16,B2467,D2467)/INDEX(Мес_Раб,D2467))</f>
        <v/>
      </c>
    </row>
    <row r="2468">
      <c r="A2468" t="inlineStr">
        <is>
          <t>Волков</t>
        </is>
      </c>
      <c r="B2468" t="n">
        <v>11</v>
      </c>
      <c r="C2468" s="18">
        <f>'Календарь'!A239</f>
        <v/>
      </c>
      <c r="D2468">
        <f>MONTH(C2468)</f>
        <v/>
      </c>
      <c r="E2468">
        <f>'Календарь'!D239</f>
        <v/>
      </c>
      <c r="F2468">
        <f>INT((C2468-Нед_Начало)/7)+1</f>
        <v/>
      </c>
      <c r="G2468">
        <f>IF(E2468=0,0,INDEX('Планы менеджеров'!$B$5:$M$16,B2468,D2468)/INDEX(Мес_Раб,D2468))</f>
        <v/>
      </c>
    </row>
    <row r="2469">
      <c r="A2469" t="inlineStr">
        <is>
          <t>Волков</t>
        </is>
      </c>
      <c r="B2469" t="n">
        <v>11</v>
      </c>
      <c r="C2469" s="18">
        <f>'Календарь'!A240</f>
        <v/>
      </c>
      <c r="D2469">
        <f>MONTH(C2469)</f>
        <v/>
      </c>
      <c r="E2469">
        <f>'Календарь'!D240</f>
        <v/>
      </c>
      <c r="F2469">
        <f>INT((C2469-Нед_Начало)/7)+1</f>
        <v/>
      </c>
      <c r="G2469">
        <f>IF(E2469=0,0,INDEX('Планы менеджеров'!$B$5:$M$16,B2469,D2469)/INDEX(Мес_Раб,D2469))</f>
        <v/>
      </c>
    </row>
    <row r="2470">
      <c r="A2470" t="inlineStr">
        <is>
          <t>Волков</t>
        </is>
      </c>
      <c r="B2470" t="n">
        <v>11</v>
      </c>
      <c r="C2470" s="18">
        <f>'Календарь'!A241</f>
        <v/>
      </c>
      <c r="D2470">
        <f>MONTH(C2470)</f>
        <v/>
      </c>
      <c r="E2470">
        <f>'Календарь'!D241</f>
        <v/>
      </c>
      <c r="F2470">
        <f>INT((C2470-Нед_Начало)/7)+1</f>
        <v/>
      </c>
      <c r="G2470">
        <f>IF(E2470=0,0,INDEX('Планы менеджеров'!$B$5:$M$16,B2470,D2470)/INDEX(Мес_Раб,D2470))</f>
        <v/>
      </c>
    </row>
    <row r="2471">
      <c r="A2471" t="inlineStr">
        <is>
          <t>Волков</t>
        </is>
      </c>
      <c r="B2471" t="n">
        <v>11</v>
      </c>
      <c r="C2471" s="18">
        <f>'Календарь'!A242</f>
        <v/>
      </c>
      <c r="D2471">
        <f>MONTH(C2471)</f>
        <v/>
      </c>
      <c r="E2471">
        <f>'Календарь'!D242</f>
        <v/>
      </c>
      <c r="F2471">
        <f>INT((C2471-Нед_Начало)/7)+1</f>
        <v/>
      </c>
      <c r="G2471">
        <f>IF(E2471=0,0,INDEX('Планы менеджеров'!$B$5:$M$16,B2471,D2471)/INDEX(Мес_Раб,D2471))</f>
        <v/>
      </c>
    </row>
    <row r="2472">
      <c r="A2472" t="inlineStr">
        <is>
          <t>Волков</t>
        </is>
      </c>
      <c r="B2472" t="n">
        <v>11</v>
      </c>
      <c r="C2472" s="18">
        <f>'Календарь'!A243</f>
        <v/>
      </c>
      <c r="D2472">
        <f>MONTH(C2472)</f>
        <v/>
      </c>
      <c r="E2472">
        <f>'Календарь'!D243</f>
        <v/>
      </c>
      <c r="F2472">
        <f>INT((C2472-Нед_Начало)/7)+1</f>
        <v/>
      </c>
      <c r="G2472">
        <f>IF(E2472=0,0,INDEX('Планы менеджеров'!$B$5:$M$16,B2472,D2472)/INDEX(Мес_Раб,D2472))</f>
        <v/>
      </c>
    </row>
    <row r="2473">
      <c r="A2473" t="inlineStr">
        <is>
          <t>Волков</t>
        </is>
      </c>
      <c r="B2473" t="n">
        <v>11</v>
      </c>
      <c r="C2473" s="18">
        <f>'Календарь'!A244</f>
        <v/>
      </c>
      <c r="D2473">
        <f>MONTH(C2473)</f>
        <v/>
      </c>
      <c r="E2473">
        <f>'Календарь'!D244</f>
        <v/>
      </c>
      <c r="F2473">
        <f>INT((C2473-Нед_Начало)/7)+1</f>
        <v/>
      </c>
      <c r="G2473">
        <f>IF(E2473=0,0,INDEX('Планы менеджеров'!$B$5:$M$16,B2473,D2473)/INDEX(Мес_Раб,D2473))</f>
        <v/>
      </c>
    </row>
    <row r="2474">
      <c r="A2474" t="inlineStr">
        <is>
          <t>Волков</t>
        </is>
      </c>
      <c r="B2474" t="n">
        <v>11</v>
      </c>
      <c r="C2474" s="18">
        <f>'Календарь'!A245</f>
        <v/>
      </c>
      <c r="D2474">
        <f>MONTH(C2474)</f>
        <v/>
      </c>
      <c r="E2474">
        <f>'Календарь'!D245</f>
        <v/>
      </c>
      <c r="F2474">
        <f>INT((C2474-Нед_Начало)/7)+1</f>
        <v/>
      </c>
      <c r="G2474">
        <f>IF(E2474=0,0,INDEX('Планы менеджеров'!$B$5:$M$16,B2474,D2474)/INDEX(Мес_Раб,D2474))</f>
        <v/>
      </c>
    </row>
    <row r="2475">
      <c r="A2475" t="inlineStr">
        <is>
          <t>Волков</t>
        </is>
      </c>
      <c r="B2475" t="n">
        <v>11</v>
      </c>
      <c r="C2475" s="18">
        <f>'Календарь'!A246</f>
        <v/>
      </c>
      <c r="D2475">
        <f>MONTH(C2475)</f>
        <v/>
      </c>
      <c r="E2475">
        <f>'Календарь'!D246</f>
        <v/>
      </c>
      <c r="F2475">
        <f>INT((C2475-Нед_Начало)/7)+1</f>
        <v/>
      </c>
      <c r="G2475">
        <f>IF(E2475=0,0,INDEX('Планы менеджеров'!$B$5:$M$16,B2475,D2475)/INDEX(Мес_Раб,D2475))</f>
        <v/>
      </c>
    </row>
    <row r="2476">
      <c r="A2476" t="inlineStr">
        <is>
          <t>Волков</t>
        </is>
      </c>
      <c r="B2476" t="n">
        <v>11</v>
      </c>
      <c r="C2476" s="18">
        <f>'Календарь'!A247</f>
        <v/>
      </c>
      <c r="D2476">
        <f>MONTH(C2476)</f>
        <v/>
      </c>
      <c r="E2476">
        <f>'Календарь'!D247</f>
        <v/>
      </c>
      <c r="F2476">
        <f>INT((C2476-Нед_Начало)/7)+1</f>
        <v/>
      </c>
      <c r="G2476">
        <f>IF(E2476=0,0,INDEX('Планы менеджеров'!$B$5:$M$16,B2476,D2476)/INDEX(Мес_Раб,D2476))</f>
        <v/>
      </c>
    </row>
    <row r="2477">
      <c r="A2477" t="inlineStr">
        <is>
          <t>Волков</t>
        </is>
      </c>
      <c r="B2477" t="n">
        <v>11</v>
      </c>
      <c r="C2477" s="18">
        <f>'Календарь'!A248</f>
        <v/>
      </c>
      <c r="D2477">
        <f>MONTH(C2477)</f>
        <v/>
      </c>
      <c r="E2477">
        <f>'Календарь'!D248</f>
        <v/>
      </c>
      <c r="F2477">
        <f>INT((C2477-Нед_Начало)/7)+1</f>
        <v/>
      </c>
      <c r="G2477">
        <f>IF(E2477=0,0,INDEX('Планы менеджеров'!$B$5:$M$16,B2477,D2477)/INDEX(Мес_Раб,D2477))</f>
        <v/>
      </c>
    </row>
    <row r="2478">
      <c r="A2478" t="inlineStr">
        <is>
          <t>Волков</t>
        </is>
      </c>
      <c r="B2478" t="n">
        <v>11</v>
      </c>
      <c r="C2478" s="18">
        <f>'Календарь'!A249</f>
        <v/>
      </c>
      <c r="D2478">
        <f>MONTH(C2478)</f>
        <v/>
      </c>
      <c r="E2478">
        <f>'Календарь'!D249</f>
        <v/>
      </c>
      <c r="F2478">
        <f>INT((C2478-Нед_Начало)/7)+1</f>
        <v/>
      </c>
      <c r="G2478">
        <f>IF(E2478=0,0,INDEX('Планы менеджеров'!$B$5:$M$16,B2478,D2478)/INDEX(Мес_Раб,D2478))</f>
        <v/>
      </c>
    </row>
    <row r="2479">
      <c r="A2479" t="inlineStr">
        <is>
          <t>Волков</t>
        </is>
      </c>
      <c r="B2479" t="n">
        <v>11</v>
      </c>
      <c r="C2479" s="18">
        <f>'Календарь'!A250</f>
        <v/>
      </c>
      <c r="D2479">
        <f>MONTH(C2479)</f>
        <v/>
      </c>
      <c r="E2479">
        <f>'Календарь'!D250</f>
        <v/>
      </c>
      <c r="F2479">
        <f>INT((C2479-Нед_Начало)/7)+1</f>
        <v/>
      </c>
      <c r="G2479">
        <f>IF(E2479=0,0,INDEX('Планы менеджеров'!$B$5:$M$16,B2479,D2479)/INDEX(Мес_Раб,D2479))</f>
        <v/>
      </c>
    </row>
    <row r="2480">
      <c r="A2480" t="inlineStr">
        <is>
          <t>Волков</t>
        </is>
      </c>
      <c r="B2480" t="n">
        <v>11</v>
      </c>
      <c r="C2480" s="18">
        <f>'Календарь'!A251</f>
        <v/>
      </c>
      <c r="D2480">
        <f>MONTH(C2480)</f>
        <v/>
      </c>
      <c r="E2480">
        <f>'Календарь'!D251</f>
        <v/>
      </c>
      <c r="F2480">
        <f>INT((C2480-Нед_Начало)/7)+1</f>
        <v/>
      </c>
      <c r="G2480">
        <f>IF(E2480=0,0,INDEX('Планы менеджеров'!$B$5:$M$16,B2480,D2480)/INDEX(Мес_Раб,D2480))</f>
        <v/>
      </c>
    </row>
    <row r="2481">
      <c r="A2481" t="inlineStr">
        <is>
          <t>Волков</t>
        </is>
      </c>
      <c r="B2481" t="n">
        <v>11</v>
      </c>
      <c r="C2481" s="18">
        <f>'Календарь'!A252</f>
        <v/>
      </c>
      <c r="D2481">
        <f>MONTH(C2481)</f>
        <v/>
      </c>
      <c r="E2481">
        <f>'Календарь'!D252</f>
        <v/>
      </c>
      <c r="F2481">
        <f>INT((C2481-Нед_Начало)/7)+1</f>
        <v/>
      </c>
      <c r="G2481">
        <f>IF(E2481=0,0,INDEX('Планы менеджеров'!$B$5:$M$16,B2481,D2481)/INDEX(Мес_Раб,D2481))</f>
        <v/>
      </c>
    </row>
    <row r="2482">
      <c r="A2482" t="inlineStr">
        <is>
          <t>Волков</t>
        </is>
      </c>
      <c r="B2482" t="n">
        <v>11</v>
      </c>
      <c r="C2482" s="18">
        <f>'Календарь'!A253</f>
        <v/>
      </c>
      <c r="D2482">
        <f>MONTH(C2482)</f>
        <v/>
      </c>
      <c r="E2482">
        <f>'Календарь'!D253</f>
        <v/>
      </c>
      <c r="F2482">
        <f>INT((C2482-Нед_Начало)/7)+1</f>
        <v/>
      </c>
      <c r="G2482">
        <f>IF(E2482=0,0,INDEX('Планы менеджеров'!$B$5:$M$16,B2482,D2482)/INDEX(Мес_Раб,D2482))</f>
        <v/>
      </c>
    </row>
    <row r="2483">
      <c r="A2483" t="inlineStr">
        <is>
          <t>Волков</t>
        </is>
      </c>
      <c r="B2483" t="n">
        <v>11</v>
      </c>
      <c r="C2483" s="18">
        <f>'Календарь'!A254</f>
        <v/>
      </c>
      <c r="D2483">
        <f>MONTH(C2483)</f>
        <v/>
      </c>
      <c r="E2483">
        <f>'Календарь'!D254</f>
        <v/>
      </c>
      <c r="F2483">
        <f>INT((C2483-Нед_Начало)/7)+1</f>
        <v/>
      </c>
      <c r="G2483">
        <f>IF(E2483=0,0,INDEX('Планы менеджеров'!$B$5:$M$16,B2483,D2483)/INDEX(Мес_Раб,D2483))</f>
        <v/>
      </c>
    </row>
    <row r="2484">
      <c r="A2484" t="inlineStr">
        <is>
          <t>Волков</t>
        </is>
      </c>
      <c r="B2484" t="n">
        <v>11</v>
      </c>
      <c r="C2484" s="18">
        <f>'Календарь'!A255</f>
        <v/>
      </c>
      <c r="D2484">
        <f>MONTH(C2484)</f>
        <v/>
      </c>
      <c r="E2484">
        <f>'Календарь'!D255</f>
        <v/>
      </c>
      <c r="F2484">
        <f>INT((C2484-Нед_Начало)/7)+1</f>
        <v/>
      </c>
      <c r="G2484">
        <f>IF(E2484=0,0,INDEX('Планы менеджеров'!$B$5:$M$16,B2484,D2484)/INDEX(Мес_Раб,D2484))</f>
        <v/>
      </c>
    </row>
    <row r="2485">
      <c r="A2485" t="inlineStr">
        <is>
          <t>Волков</t>
        </is>
      </c>
      <c r="B2485" t="n">
        <v>11</v>
      </c>
      <c r="C2485" s="18">
        <f>'Календарь'!A256</f>
        <v/>
      </c>
      <c r="D2485">
        <f>MONTH(C2485)</f>
        <v/>
      </c>
      <c r="E2485">
        <f>'Календарь'!D256</f>
        <v/>
      </c>
      <c r="F2485">
        <f>INT((C2485-Нед_Начало)/7)+1</f>
        <v/>
      </c>
      <c r="G2485">
        <f>IF(E2485=0,0,INDEX('Планы менеджеров'!$B$5:$M$16,B2485,D2485)/INDEX(Мес_Раб,D2485))</f>
        <v/>
      </c>
    </row>
    <row r="2486">
      <c r="A2486" t="inlineStr">
        <is>
          <t>Волков</t>
        </is>
      </c>
      <c r="B2486" t="n">
        <v>11</v>
      </c>
      <c r="C2486" s="18">
        <f>'Календарь'!A257</f>
        <v/>
      </c>
      <c r="D2486">
        <f>MONTH(C2486)</f>
        <v/>
      </c>
      <c r="E2486">
        <f>'Календарь'!D257</f>
        <v/>
      </c>
      <c r="F2486">
        <f>INT((C2486-Нед_Начало)/7)+1</f>
        <v/>
      </c>
      <c r="G2486">
        <f>IF(E2486=0,0,INDEX('Планы менеджеров'!$B$5:$M$16,B2486,D2486)/INDEX(Мес_Раб,D2486))</f>
        <v/>
      </c>
    </row>
    <row r="2487">
      <c r="A2487" t="inlineStr">
        <is>
          <t>Волков</t>
        </is>
      </c>
      <c r="B2487" t="n">
        <v>11</v>
      </c>
      <c r="C2487" s="18">
        <f>'Календарь'!A258</f>
        <v/>
      </c>
      <c r="D2487">
        <f>MONTH(C2487)</f>
        <v/>
      </c>
      <c r="E2487">
        <f>'Календарь'!D258</f>
        <v/>
      </c>
      <c r="F2487">
        <f>INT((C2487-Нед_Начало)/7)+1</f>
        <v/>
      </c>
      <c r="G2487">
        <f>IF(E2487=0,0,INDEX('Планы менеджеров'!$B$5:$M$16,B2487,D2487)/INDEX(Мес_Раб,D2487))</f>
        <v/>
      </c>
    </row>
    <row r="2488">
      <c r="A2488" t="inlineStr">
        <is>
          <t>Волков</t>
        </is>
      </c>
      <c r="B2488" t="n">
        <v>11</v>
      </c>
      <c r="C2488" s="18">
        <f>'Календарь'!A259</f>
        <v/>
      </c>
      <c r="D2488">
        <f>MONTH(C2488)</f>
        <v/>
      </c>
      <c r="E2488">
        <f>'Календарь'!D259</f>
        <v/>
      </c>
      <c r="F2488">
        <f>INT((C2488-Нед_Начало)/7)+1</f>
        <v/>
      </c>
      <c r="G2488">
        <f>IF(E2488=0,0,INDEX('Планы менеджеров'!$B$5:$M$16,B2488,D2488)/INDEX(Мес_Раб,D2488))</f>
        <v/>
      </c>
    </row>
    <row r="2489">
      <c r="A2489" t="inlineStr">
        <is>
          <t>Волков</t>
        </is>
      </c>
      <c r="B2489" t="n">
        <v>11</v>
      </c>
      <c r="C2489" s="18">
        <f>'Календарь'!A260</f>
        <v/>
      </c>
      <c r="D2489">
        <f>MONTH(C2489)</f>
        <v/>
      </c>
      <c r="E2489">
        <f>'Календарь'!D260</f>
        <v/>
      </c>
      <c r="F2489">
        <f>INT((C2489-Нед_Начало)/7)+1</f>
        <v/>
      </c>
      <c r="G2489">
        <f>IF(E2489=0,0,INDEX('Планы менеджеров'!$B$5:$M$16,B2489,D2489)/INDEX(Мес_Раб,D2489))</f>
        <v/>
      </c>
    </row>
    <row r="2490">
      <c r="A2490" t="inlineStr">
        <is>
          <t>Волков</t>
        </is>
      </c>
      <c r="B2490" t="n">
        <v>11</v>
      </c>
      <c r="C2490" s="18">
        <f>'Календарь'!A261</f>
        <v/>
      </c>
      <c r="D2490">
        <f>MONTH(C2490)</f>
        <v/>
      </c>
      <c r="E2490">
        <f>'Календарь'!D261</f>
        <v/>
      </c>
      <c r="F2490">
        <f>INT((C2490-Нед_Начало)/7)+1</f>
        <v/>
      </c>
      <c r="G2490">
        <f>IF(E2490=0,0,INDEX('Планы менеджеров'!$B$5:$M$16,B2490,D2490)/INDEX(Мес_Раб,D2490))</f>
        <v/>
      </c>
    </row>
    <row r="2491">
      <c r="A2491" t="inlineStr">
        <is>
          <t>Волков</t>
        </is>
      </c>
      <c r="B2491" t="n">
        <v>11</v>
      </c>
      <c r="C2491" s="18">
        <f>'Календарь'!A262</f>
        <v/>
      </c>
      <c r="D2491">
        <f>MONTH(C2491)</f>
        <v/>
      </c>
      <c r="E2491">
        <f>'Календарь'!D262</f>
        <v/>
      </c>
      <c r="F2491">
        <f>INT((C2491-Нед_Начало)/7)+1</f>
        <v/>
      </c>
      <c r="G2491">
        <f>IF(E2491=0,0,INDEX('Планы менеджеров'!$B$5:$M$16,B2491,D2491)/INDEX(Мес_Раб,D2491))</f>
        <v/>
      </c>
    </row>
    <row r="2492">
      <c r="A2492" t="inlineStr">
        <is>
          <t>Волков</t>
        </is>
      </c>
      <c r="B2492" t="n">
        <v>11</v>
      </c>
      <c r="C2492" s="18">
        <f>'Календарь'!A263</f>
        <v/>
      </c>
      <c r="D2492">
        <f>MONTH(C2492)</f>
        <v/>
      </c>
      <c r="E2492">
        <f>'Календарь'!D263</f>
        <v/>
      </c>
      <c r="F2492">
        <f>INT((C2492-Нед_Начало)/7)+1</f>
        <v/>
      </c>
      <c r="G2492">
        <f>IF(E2492=0,0,INDEX('Планы менеджеров'!$B$5:$M$16,B2492,D2492)/INDEX(Мес_Раб,D2492))</f>
        <v/>
      </c>
    </row>
    <row r="2493">
      <c r="A2493" t="inlineStr">
        <is>
          <t>Волков</t>
        </is>
      </c>
      <c r="B2493" t="n">
        <v>11</v>
      </c>
      <c r="C2493" s="18">
        <f>'Календарь'!A264</f>
        <v/>
      </c>
      <c r="D2493">
        <f>MONTH(C2493)</f>
        <v/>
      </c>
      <c r="E2493">
        <f>'Календарь'!D264</f>
        <v/>
      </c>
      <c r="F2493">
        <f>INT((C2493-Нед_Начало)/7)+1</f>
        <v/>
      </c>
      <c r="G2493">
        <f>IF(E2493=0,0,INDEX('Планы менеджеров'!$B$5:$M$16,B2493,D2493)/INDEX(Мес_Раб,D2493))</f>
        <v/>
      </c>
    </row>
    <row r="2494">
      <c r="A2494" t="inlineStr">
        <is>
          <t>Волков</t>
        </is>
      </c>
      <c r="B2494" t="n">
        <v>11</v>
      </c>
      <c r="C2494" s="18">
        <f>'Календарь'!A265</f>
        <v/>
      </c>
      <c r="D2494">
        <f>MONTH(C2494)</f>
        <v/>
      </c>
      <c r="E2494">
        <f>'Календарь'!D265</f>
        <v/>
      </c>
      <c r="F2494">
        <f>INT((C2494-Нед_Начало)/7)+1</f>
        <v/>
      </c>
      <c r="G2494">
        <f>IF(E2494=0,0,INDEX('Планы менеджеров'!$B$5:$M$16,B2494,D2494)/INDEX(Мес_Раб,D2494))</f>
        <v/>
      </c>
    </row>
    <row r="2495">
      <c r="A2495" t="inlineStr">
        <is>
          <t>Волков</t>
        </is>
      </c>
      <c r="B2495" t="n">
        <v>11</v>
      </c>
      <c r="C2495" s="18">
        <f>'Календарь'!A266</f>
        <v/>
      </c>
      <c r="D2495">
        <f>MONTH(C2495)</f>
        <v/>
      </c>
      <c r="E2495">
        <f>'Календарь'!D266</f>
        <v/>
      </c>
      <c r="F2495">
        <f>INT((C2495-Нед_Начало)/7)+1</f>
        <v/>
      </c>
      <c r="G2495">
        <f>IF(E2495=0,0,INDEX('Планы менеджеров'!$B$5:$M$16,B2495,D2495)/INDEX(Мес_Раб,D2495))</f>
        <v/>
      </c>
    </row>
    <row r="2496">
      <c r="A2496" t="inlineStr">
        <is>
          <t>Волков</t>
        </is>
      </c>
      <c r="B2496" t="n">
        <v>11</v>
      </c>
      <c r="C2496" s="18">
        <f>'Календарь'!A267</f>
        <v/>
      </c>
      <c r="D2496">
        <f>MONTH(C2496)</f>
        <v/>
      </c>
      <c r="E2496">
        <f>'Календарь'!D267</f>
        <v/>
      </c>
      <c r="F2496">
        <f>INT((C2496-Нед_Начало)/7)+1</f>
        <v/>
      </c>
      <c r="G2496">
        <f>IF(E2496=0,0,INDEX('Планы менеджеров'!$B$5:$M$16,B2496,D2496)/INDEX(Мес_Раб,D2496))</f>
        <v/>
      </c>
    </row>
    <row r="2497">
      <c r="A2497" t="inlineStr">
        <is>
          <t>Волков</t>
        </is>
      </c>
      <c r="B2497" t="n">
        <v>11</v>
      </c>
      <c r="C2497" s="18">
        <f>'Календарь'!A268</f>
        <v/>
      </c>
      <c r="D2497">
        <f>MONTH(C2497)</f>
        <v/>
      </c>
      <c r="E2497">
        <f>'Календарь'!D268</f>
        <v/>
      </c>
      <c r="F2497">
        <f>INT((C2497-Нед_Начало)/7)+1</f>
        <v/>
      </c>
      <c r="G2497">
        <f>IF(E2497=0,0,INDEX('Планы менеджеров'!$B$5:$M$16,B2497,D2497)/INDEX(Мес_Раб,D2497))</f>
        <v/>
      </c>
    </row>
    <row r="2498">
      <c r="A2498" t="inlineStr">
        <is>
          <t>Волков</t>
        </is>
      </c>
      <c r="B2498" t="n">
        <v>11</v>
      </c>
      <c r="C2498" s="18">
        <f>'Календарь'!A269</f>
        <v/>
      </c>
      <c r="D2498">
        <f>MONTH(C2498)</f>
        <v/>
      </c>
      <c r="E2498">
        <f>'Календарь'!D269</f>
        <v/>
      </c>
      <c r="F2498">
        <f>INT((C2498-Нед_Начало)/7)+1</f>
        <v/>
      </c>
      <c r="G2498">
        <f>IF(E2498=0,0,INDEX('Планы менеджеров'!$B$5:$M$16,B2498,D2498)/INDEX(Мес_Раб,D2498))</f>
        <v/>
      </c>
    </row>
    <row r="2499">
      <c r="A2499" t="inlineStr">
        <is>
          <t>Волков</t>
        </is>
      </c>
      <c r="B2499" t="n">
        <v>11</v>
      </c>
      <c r="C2499" s="18">
        <f>'Календарь'!A270</f>
        <v/>
      </c>
      <c r="D2499">
        <f>MONTH(C2499)</f>
        <v/>
      </c>
      <c r="E2499">
        <f>'Календарь'!D270</f>
        <v/>
      </c>
      <c r="F2499">
        <f>INT((C2499-Нед_Начало)/7)+1</f>
        <v/>
      </c>
      <c r="G2499">
        <f>IF(E2499=0,0,INDEX('Планы менеджеров'!$B$5:$M$16,B2499,D2499)/INDEX(Мес_Раб,D2499))</f>
        <v/>
      </c>
    </row>
    <row r="2500">
      <c r="A2500" t="inlineStr">
        <is>
          <t>Волков</t>
        </is>
      </c>
      <c r="B2500" t="n">
        <v>11</v>
      </c>
      <c r="C2500" s="18">
        <f>'Календарь'!A271</f>
        <v/>
      </c>
      <c r="D2500">
        <f>MONTH(C2500)</f>
        <v/>
      </c>
      <c r="E2500">
        <f>'Календарь'!D271</f>
        <v/>
      </c>
      <c r="F2500">
        <f>INT((C2500-Нед_Начало)/7)+1</f>
        <v/>
      </c>
      <c r="G2500">
        <f>IF(E2500=0,0,INDEX('Планы менеджеров'!$B$5:$M$16,B2500,D2500)/INDEX(Мес_Раб,D2500))</f>
        <v/>
      </c>
    </row>
    <row r="2501">
      <c r="A2501" t="inlineStr">
        <is>
          <t>Волков</t>
        </is>
      </c>
      <c r="B2501" t="n">
        <v>11</v>
      </c>
      <c r="C2501" s="18">
        <f>'Календарь'!A272</f>
        <v/>
      </c>
      <c r="D2501">
        <f>MONTH(C2501)</f>
        <v/>
      </c>
      <c r="E2501">
        <f>'Календарь'!D272</f>
        <v/>
      </c>
      <c r="F2501">
        <f>INT((C2501-Нед_Начало)/7)+1</f>
        <v/>
      </c>
      <c r="G2501">
        <f>IF(E2501=0,0,INDEX('Планы менеджеров'!$B$5:$M$16,B2501,D2501)/INDEX(Мес_Раб,D2501))</f>
        <v/>
      </c>
    </row>
    <row r="2502">
      <c r="A2502" t="inlineStr">
        <is>
          <t>Волков</t>
        </is>
      </c>
      <c r="B2502" t="n">
        <v>11</v>
      </c>
      <c r="C2502" s="18">
        <f>'Календарь'!A273</f>
        <v/>
      </c>
      <c r="D2502">
        <f>MONTH(C2502)</f>
        <v/>
      </c>
      <c r="E2502">
        <f>'Календарь'!D273</f>
        <v/>
      </c>
      <c r="F2502">
        <f>INT((C2502-Нед_Начало)/7)+1</f>
        <v/>
      </c>
      <c r="G2502">
        <f>IF(E2502=0,0,INDEX('Планы менеджеров'!$B$5:$M$16,B2502,D2502)/INDEX(Мес_Раб,D2502))</f>
        <v/>
      </c>
    </row>
    <row r="2503">
      <c r="A2503" t="inlineStr">
        <is>
          <t>Волков</t>
        </is>
      </c>
      <c r="B2503" t="n">
        <v>11</v>
      </c>
      <c r="C2503" s="18">
        <f>'Календарь'!A274</f>
        <v/>
      </c>
      <c r="D2503">
        <f>MONTH(C2503)</f>
        <v/>
      </c>
      <c r="E2503">
        <f>'Календарь'!D274</f>
        <v/>
      </c>
      <c r="F2503">
        <f>INT((C2503-Нед_Начало)/7)+1</f>
        <v/>
      </c>
      <c r="G2503">
        <f>IF(E2503=0,0,INDEX('Планы менеджеров'!$B$5:$M$16,B2503,D2503)/INDEX(Мес_Раб,D2503))</f>
        <v/>
      </c>
    </row>
    <row r="2504">
      <c r="A2504" t="inlineStr">
        <is>
          <t>Волков</t>
        </is>
      </c>
      <c r="B2504" t="n">
        <v>11</v>
      </c>
      <c r="C2504" s="18">
        <f>'Календарь'!A275</f>
        <v/>
      </c>
      <c r="D2504">
        <f>MONTH(C2504)</f>
        <v/>
      </c>
      <c r="E2504">
        <f>'Календарь'!D275</f>
        <v/>
      </c>
      <c r="F2504">
        <f>INT((C2504-Нед_Начало)/7)+1</f>
        <v/>
      </c>
      <c r="G2504">
        <f>IF(E2504=0,0,INDEX('Планы менеджеров'!$B$5:$M$16,B2504,D2504)/INDEX(Мес_Раб,D2504))</f>
        <v/>
      </c>
    </row>
    <row r="2505">
      <c r="A2505" t="inlineStr">
        <is>
          <t>Волков</t>
        </is>
      </c>
      <c r="B2505" t="n">
        <v>11</v>
      </c>
      <c r="C2505" s="18">
        <f>'Календарь'!A276</f>
        <v/>
      </c>
      <c r="D2505">
        <f>MONTH(C2505)</f>
        <v/>
      </c>
      <c r="E2505">
        <f>'Календарь'!D276</f>
        <v/>
      </c>
      <c r="F2505">
        <f>INT((C2505-Нед_Начало)/7)+1</f>
        <v/>
      </c>
      <c r="G2505">
        <f>IF(E2505=0,0,INDEX('Планы менеджеров'!$B$5:$M$16,B2505,D2505)/INDEX(Мес_Раб,D2505))</f>
        <v/>
      </c>
    </row>
    <row r="2506">
      <c r="A2506" t="inlineStr">
        <is>
          <t>Волков</t>
        </is>
      </c>
      <c r="B2506" t="n">
        <v>11</v>
      </c>
      <c r="C2506" s="18">
        <f>'Календарь'!A277</f>
        <v/>
      </c>
      <c r="D2506">
        <f>MONTH(C2506)</f>
        <v/>
      </c>
      <c r="E2506">
        <f>'Календарь'!D277</f>
        <v/>
      </c>
      <c r="F2506">
        <f>INT((C2506-Нед_Начало)/7)+1</f>
        <v/>
      </c>
      <c r="G2506">
        <f>IF(E2506=0,0,INDEX('Планы менеджеров'!$B$5:$M$16,B2506,D2506)/INDEX(Мес_Раб,D2506))</f>
        <v/>
      </c>
    </row>
    <row r="2507">
      <c r="A2507" t="inlineStr">
        <is>
          <t>Волков</t>
        </is>
      </c>
      <c r="B2507" t="n">
        <v>11</v>
      </c>
      <c r="C2507" s="18">
        <f>'Календарь'!A278</f>
        <v/>
      </c>
      <c r="D2507">
        <f>MONTH(C2507)</f>
        <v/>
      </c>
      <c r="E2507">
        <f>'Календарь'!D278</f>
        <v/>
      </c>
      <c r="F2507">
        <f>INT((C2507-Нед_Начало)/7)+1</f>
        <v/>
      </c>
      <c r="G2507">
        <f>IF(E2507=0,0,INDEX('Планы менеджеров'!$B$5:$M$16,B2507,D2507)/INDEX(Мес_Раб,D2507))</f>
        <v/>
      </c>
    </row>
    <row r="2508">
      <c r="A2508" t="inlineStr">
        <is>
          <t>Волков</t>
        </is>
      </c>
      <c r="B2508" t="n">
        <v>11</v>
      </c>
      <c r="C2508" s="18">
        <f>'Календарь'!A279</f>
        <v/>
      </c>
      <c r="D2508">
        <f>MONTH(C2508)</f>
        <v/>
      </c>
      <c r="E2508">
        <f>'Календарь'!D279</f>
        <v/>
      </c>
      <c r="F2508">
        <f>INT((C2508-Нед_Начало)/7)+1</f>
        <v/>
      </c>
      <c r="G2508">
        <f>IF(E2508=0,0,INDEX('Планы менеджеров'!$B$5:$M$16,B2508,D2508)/INDEX(Мес_Раб,D2508))</f>
        <v/>
      </c>
    </row>
    <row r="2509">
      <c r="A2509" t="inlineStr">
        <is>
          <t>Волков</t>
        </is>
      </c>
      <c r="B2509" t="n">
        <v>11</v>
      </c>
      <c r="C2509" s="18">
        <f>'Календарь'!A280</f>
        <v/>
      </c>
      <c r="D2509">
        <f>MONTH(C2509)</f>
        <v/>
      </c>
      <c r="E2509">
        <f>'Календарь'!D280</f>
        <v/>
      </c>
      <c r="F2509">
        <f>INT((C2509-Нед_Начало)/7)+1</f>
        <v/>
      </c>
      <c r="G2509">
        <f>IF(E2509=0,0,INDEX('Планы менеджеров'!$B$5:$M$16,B2509,D2509)/INDEX(Мес_Раб,D2509))</f>
        <v/>
      </c>
    </row>
    <row r="2510">
      <c r="A2510" t="inlineStr">
        <is>
          <t>Волков</t>
        </is>
      </c>
      <c r="B2510" t="n">
        <v>11</v>
      </c>
      <c r="C2510" s="18">
        <f>'Календарь'!A281</f>
        <v/>
      </c>
      <c r="D2510">
        <f>MONTH(C2510)</f>
        <v/>
      </c>
      <c r="E2510">
        <f>'Календарь'!D281</f>
        <v/>
      </c>
      <c r="F2510">
        <f>INT((C2510-Нед_Начало)/7)+1</f>
        <v/>
      </c>
      <c r="G2510">
        <f>IF(E2510=0,0,INDEX('Планы менеджеров'!$B$5:$M$16,B2510,D2510)/INDEX(Мес_Раб,D2510))</f>
        <v/>
      </c>
    </row>
    <row r="2511">
      <c r="A2511" t="inlineStr">
        <is>
          <t>Волков</t>
        </is>
      </c>
      <c r="B2511" t="n">
        <v>11</v>
      </c>
      <c r="C2511" s="18">
        <f>'Календарь'!A282</f>
        <v/>
      </c>
      <c r="D2511">
        <f>MONTH(C2511)</f>
        <v/>
      </c>
      <c r="E2511">
        <f>'Календарь'!D282</f>
        <v/>
      </c>
      <c r="F2511">
        <f>INT((C2511-Нед_Начало)/7)+1</f>
        <v/>
      </c>
      <c r="G2511">
        <f>IF(E2511=0,0,INDEX('Планы менеджеров'!$B$5:$M$16,B2511,D2511)/INDEX(Мес_Раб,D2511))</f>
        <v/>
      </c>
    </row>
    <row r="2512">
      <c r="A2512" t="inlineStr">
        <is>
          <t>Волков</t>
        </is>
      </c>
      <c r="B2512" t="n">
        <v>11</v>
      </c>
      <c r="C2512" s="18">
        <f>'Календарь'!A283</f>
        <v/>
      </c>
      <c r="D2512">
        <f>MONTH(C2512)</f>
        <v/>
      </c>
      <c r="E2512">
        <f>'Календарь'!D283</f>
        <v/>
      </c>
      <c r="F2512">
        <f>INT((C2512-Нед_Начало)/7)+1</f>
        <v/>
      </c>
      <c r="G2512">
        <f>IF(E2512=0,0,INDEX('Планы менеджеров'!$B$5:$M$16,B2512,D2512)/INDEX(Мес_Раб,D2512))</f>
        <v/>
      </c>
    </row>
    <row r="2513">
      <c r="A2513" t="inlineStr">
        <is>
          <t>Волков</t>
        </is>
      </c>
      <c r="B2513" t="n">
        <v>11</v>
      </c>
      <c r="C2513" s="18">
        <f>'Календарь'!A284</f>
        <v/>
      </c>
      <c r="D2513">
        <f>MONTH(C2513)</f>
        <v/>
      </c>
      <c r="E2513">
        <f>'Календарь'!D284</f>
        <v/>
      </c>
      <c r="F2513">
        <f>INT((C2513-Нед_Начало)/7)+1</f>
        <v/>
      </c>
      <c r="G2513">
        <f>IF(E2513=0,0,INDEX('Планы менеджеров'!$B$5:$M$16,B2513,D2513)/INDEX(Мес_Раб,D2513))</f>
        <v/>
      </c>
    </row>
    <row r="2514">
      <c r="A2514" t="inlineStr">
        <is>
          <t>Волков</t>
        </is>
      </c>
      <c r="B2514" t="n">
        <v>11</v>
      </c>
      <c r="C2514" s="18">
        <f>'Календарь'!A285</f>
        <v/>
      </c>
      <c r="D2514">
        <f>MONTH(C2514)</f>
        <v/>
      </c>
      <c r="E2514">
        <f>'Календарь'!D285</f>
        <v/>
      </c>
      <c r="F2514">
        <f>INT((C2514-Нед_Начало)/7)+1</f>
        <v/>
      </c>
      <c r="G2514">
        <f>IF(E2514=0,0,INDEX('Планы менеджеров'!$B$5:$M$16,B2514,D2514)/INDEX(Мес_Раб,D2514))</f>
        <v/>
      </c>
    </row>
    <row r="2515">
      <c r="A2515" t="inlineStr">
        <is>
          <t>Волков</t>
        </is>
      </c>
      <c r="B2515" t="n">
        <v>11</v>
      </c>
      <c r="C2515" s="18">
        <f>'Календарь'!A286</f>
        <v/>
      </c>
      <c r="D2515">
        <f>MONTH(C2515)</f>
        <v/>
      </c>
      <c r="E2515">
        <f>'Календарь'!D286</f>
        <v/>
      </c>
      <c r="F2515">
        <f>INT((C2515-Нед_Начало)/7)+1</f>
        <v/>
      </c>
      <c r="G2515">
        <f>IF(E2515=0,0,INDEX('Планы менеджеров'!$B$5:$M$16,B2515,D2515)/INDEX(Мес_Раб,D2515))</f>
        <v/>
      </c>
    </row>
    <row r="2516">
      <c r="A2516" t="inlineStr">
        <is>
          <t>Волков</t>
        </is>
      </c>
      <c r="B2516" t="n">
        <v>11</v>
      </c>
      <c r="C2516" s="18">
        <f>'Календарь'!A287</f>
        <v/>
      </c>
      <c r="D2516">
        <f>MONTH(C2516)</f>
        <v/>
      </c>
      <c r="E2516">
        <f>'Календарь'!D287</f>
        <v/>
      </c>
      <c r="F2516">
        <f>INT((C2516-Нед_Начало)/7)+1</f>
        <v/>
      </c>
      <c r="G2516">
        <f>IF(E2516=0,0,INDEX('Планы менеджеров'!$B$5:$M$16,B2516,D2516)/INDEX(Мес_Раб,D2516))</f>
        <v/>
      </c>
    </row>
    <row r="2517">
      <c r="A2517" t="inlineStr">
        <is>
          <t>Волков</t>
        </is>
      </c>
      <c r="B2517" t="n">
        <v>11</v>
      </c>
      <c r="C2517" s="18">
        <f>'Календарь'!A288</f>
        <v/>
      </c>
      <c r="D2517">
        <f>MONTH(C2517)</f>
        <v/>
      </c>
      <c r="E2517">
        <f>'Календарь'!D288</f>
        <v/>
      </c>
      <c r="F2517">
        <f>INT((C2517-Нед_Начало)/7)+1</f>
        <v/>
      </c>
      <c r="G2517">
        <f>IF(E2517=0,0,INDEX('Планы менеджеров'!$B$5:$M$16,B2517,D2517)/INDEX(Мес_Раб,D2517))</f>
        <v/>
      </c>
    </row>
    <row r="2518">
      <c r="A2518" t="inlineStr">
        <is>
          <t>Волков</t>
        </is>
      </c>
      <c r="B2518" t="n">
        <v>11</v>
      </c>
      <c r="C2518" s="18">
        <f>'Календарь'!A289</f>
        <v/>
      </c>
      <c r="D2518">
        <f>MONTH(C2518)</f>
        <v/>
      </c>
      <c r="E2518">
        <f>'Календарь'!D289</f>
        <v/>
      </c>
      <c r="F2518">
        <f>INT((C2518-Нед_Начало)/7)+1</f>
        <v/>
      </c>
      <c r="G2518">
        <f>IF(E2518=0,0,INDEX('Планы менеджеров'!$B$5:$M$16,B2518,D2518)/INDEX(Мес_Раб,D2518))</f>
        <v/>
      </c>
    </row>
    <row r="2519">
      <c r="A2519" t="inlineStr">
        <is>
          <t>Волков</t>
        </is>
      </c>
      <c r="B2519" t="n">
        <v>11</v>
      </c>
      <c r="C2519" s="18">
        <f>'Календарь'!A290</f>
        <v/>
      </c>
      <c r="D2519">
        <f>MONTH(C2519)</f>
        <v/>
      </c>
      <c r="E2519">
        <f>'Календарь'!D290</f>
        <v/>
      </c>
      <c r="F2519">
        <f>INT((C2519-Нед_Начало)/7)+1</f>
        <v/>
      </c>
      <c r="G2519">
        <f>IF(E2519=0,0,INDEX('Планы менеджеров'!$B$5:$M$16,B2519,D2519)/INDEX(Мес_Раб,D2519))</f>
        <v/>
      </c>
    </row>
    <row r="2520">
      <c r="A2520" t="inlineStr">
        <is>
          <t>Волков</t>
        </is>
      </c>
      <c r="B2520" t="n">
        <v>11</v>
      </c>
      <c r="C2520" s="18">
        <f>'Календарь'!A291</f>
        <v/>
      </c>
      <c r="D2520">
        <f>MONTH(C2520)</f>
        <v/>
      </c>
      <c r="E2520">
        <f>'Календарь'!D291</f>
        <v/>
      </c>
      <c r="F2520">
        <f>INT((C2520-Нед_Начало)/7)+1</f>
        <v/>
      </c>
      <c r="G2520">
        <f>IF(E2520=0,0,INDEX('Планы менеджеров'!$B$5:$M$16,B2520,D2520)/INDEX(Мес_Раб,D2520))</f>
        <v/>
      </c>
    </row>
    <row r="2521">
      <c r="A2521" t="inlineStr">
        <is>
          <t>Волков</t>
        </is>
      </c>
      <c r="B2521" t="n">
        <v>11</v>
      </c>
      <c r="C2521" s="18">
        <f>'Календарь'!A292</f>
        <v/>
      </c>
      <c r="D2521">
        <f>MONTH(C2521)</f>
        <v/>
      </c>
      <c r="E2521">
        <f>'Календарь'!D292</f>
        <v/>
      </c>
      <c r="F2521">
        <f>INT((C2521-Нед_Начало)/7)+1</f>
        <v/>
      </c>
      <c r="G2521">
        <f>IF(E2521=0,0,INDEX('Планы менеджеров'!$B$5:$M$16,B2521,D2521)/INDEX(Мес_Раб,D2521))</f>
        <v/>
      </c>
    </row>
    <row r="2522">
      <c r="A2522" t="inlineStr">
        <is>
          <t>Волков</t>
        </is>
      </c>
      <c r="B2522" t="n">
        <v>11</v>
      </c>
      <c r="C2522" s="18">
        <f>'Календарь'!A293</f>
        <v/>
      </c>
      <c r="D2522">
        <f>MONTH(C2522)</f>
        <v/>
      </c>
      <c r="E2522">
        <f>'Календарь'!D293</f>
        <v/>
      </c>
      <c r="F2522">
        <f>INT((C2522-Нед_Начало)/7)+1</f>
        <v/>
      </c>
      <c r="G2522">
        <f>IF(E2522=0,0,INDEX('Планы менеджеров'!$B$5:$M$16,B2522,D2522)/INDEX(Мес_Раб,D2522))</f>
        <v/>
      </c>
    </row>
    <row r="2523">
      <c r="A2523" t="inlineStr">
        <is>
          <t>Волков</t>
        </is>
      </c>
      <c r="B2523" t="n">
        <v>11</v>
      </c>
      <c r="C2523" s="18">
        <f>'Календарь'!A294</f>
        <v/>
      </c>
      <c r="D2523">
        <f>MONTH(C2523)</f>
        <v/>
      </c>
      <c r="E2523">
        <f>'Календарь'!D294</f>
        <v/>
      </c>
      <c r="F2523">
        <f>INT((C2523-Нед_Начало)/7)+1</f>
        <v/>
      </c>
      <c r="G2523">
        <f>IF(E2523=0,0,INDEX('Планы менеджеров'!$B$5:$M$16,B2523,D2523)/INDEX(Мес_Раб,D2523))</f>
        <v/>
      </c>
    </row>
    <row r="2524">
      <c r="A2524" t="inlineStr">
        <is>
          <t>Волков</t>
        </is>
      </c>
      <c r="B2524" t="n">
        <v>11</v>
      </c>
      <c r="C2524" s="18">
        <f>'Календарь'!A295</f>
        <v/>
      </c>
      <c r="D2524">
        <f>MONTH(C2524)</f>
        <v/>
      </c>
      <c r="E2524">
        <f>'Календарь'!D295</f>
        <v/>
      </c>
      <c r="F2524">
        <f>INT((C2524-Нед_Начало)/7)+1</f>
        <v/>
      </c>
      <c r="G2524">
        <f>IF(E2524=0,0,INDEX('Планы менеджеров'!$B$5:$M$16,B2524,D2524)/INDEX(Мес_Раб,D2524))</f>
        <v/>
      </c>
    </row>
    <row r="2525">
      <c r="A2525" t="inlineStr">
        <is>
          <t>Волков</t>
        </is>
      </c>
      <c r="B2525" t="n">
        <v>11</v>
      </c>
      <c r="C2525" s="18">
        <f>'Календарь'!A296</f>
        <v/>
      </c>
      <c r="D2525">
        <f>MONTH(C2525)</f>
        <v/>
      </c>
      <c r="E2525">
        <f>'Календарь'!D296</f>
        <v/>
      </c>
      <c r="F2525">
        <f>INT((C2525-Нед_Начало)/7)+1</f>
        <v/>
      </c>
      <c r="G2525">
        <f>IF(E2525=0,0,INDEX('Планы менеджеров'!$B$5:$M$16,B2525,D2525)/INDEX(Мес_Раб,D2525))</f>
        <v/>
      </c>
    </row>
    <row r="2526">
      <c r="A2526" t="inlineStr">
        <is>
          <t>Волков</t>
        </is>
      </c>
      <c r="B2526" t="n">
        <v>11</v>
      </c>
      <c r="C2526" s="18">
        <f>'Календарь'!A297</f>
        <v/>
      </c>
      <c r="D2526">
        <f>MONTH(C2526)</f>
        <v/>
      </c>
      <c r="E2526">
        <f>'Календарь'!D297</f>
        <v/>
      </c>
      <c r="F2526">
        <f>INT((C2526-Нед_Начало)/7)+1</f>
        <v/>
      </c>
      <c r="G2526">
        <f>IF(E2526=0,0,INDEX('Планы менеджеров'!$B$5:$M$16,B2526,D2526)/INDEX(Мес_Раб,D2526))</f>
        <v/>
      </c>
    </row>
    <row r="2527">
      <c r="A2527" t="inlineStr">
        <is>
          <t>Волков</t>
        </is>
      </c>
      <c r="B2527" t="n">
        <v>11</v>
      </c>
      <c r="C2527" s="18">
        <f>'Календарь'!A298</f>
        <v/>
      </c>
      <c r="D2527">
        <f>MONTH(C2527)</f>
        <v/>
      </c>
      <c r="E2527">
        <f>'Календарь'!D298</f>
        <v/>
      </c>
      <c r="F2527">
        <f>INT((C2527-Нед_Начало)/7)+1</f>
        <v/>
      </c>
      <c r="G2527">
        <f>IF(E2527=0,0,INDEX('Планы менеджеров'!$B$5:$M$16,B2527,D2527)/INDEX(Мес_Раб,D2527))</f>
        <v/>
      </c>
    </row>
    <row r="2528">
      <c r="A2528" t="inlineStr">
        <is>
          <t>Волков</t>
        </is>
      </c>
      <c r="B2528" t="n">
        <v>11</v>
      </c>
      <c r="C2528" s="18">
        <f>'Календарь'!A299</f>
        <v/>
      </c>
      <c r="D2528">
        <f>MONTH(C2528)</f>
        <v/>
      </c>
      <c r="E2528">
        <f>'Календарь'!D299</f>
        <v/>
      </c>
      <c r="F2528">
        <f>INT((C2528-Нед_Начало)/7)+1</f>
        <v/>
      </c>
      <c r="G2528">
        <f>IF(E2528=0,0,INDEX('Планы менеджеров'!$B$5:$M$16,B2528,D2528)/INDEX(Мес_Раб,D2528))</f>
        <v/>
      </c>
    </row>
    <row r="2529">
      <c r="A2529" t="inlineStr">
        <is>
          <t>Волков</t>
        </is>
      </c>
      <c r="B2529" t="n">
        <v>11</v>
      </c>
      <c r="C2529" s="18">
        <f>'Календарь'!A300</f>
        <v/>
      </c>
      <c r="D2529">
        <f>MONTH(C2529)</f>
        <v/>
      </c>
      <c r="E2529">
        <f>'Календарь'!D300</f>
        <v/>
      </c>
      <c r="F2529">
        <f>INT((C2529-Нед_Начало)/7)+1</f>
        <v/>
      </c>
      <c r="G2529">
        <f>IF(E2529=0,0,INDEX('Планы менеджеров'!$B$5:$M$16,B2529,D2529)/INDEX(Мес_Раб,D2529))</f>
        <v/>
      </c>
    </row>
    <row r="2530">
      <c r="A2530" t="inlineStr">
        <is>
          <t>Волков</t>
        </is>
      </c>
      <c r="B2530" t="n">
        <v>11</v>
      </c>
      <c r="C2530" s="18">
        <f>'Календарь'!A301</f>
        <v/>
      </c>
      <c r="D2530">
        <f>MONTH(C2530)</f>
        <v/>
      </c>
      <c r="E2530">
        <f>'Календарь'!D301</f>
        <v/>
      </c>
      <c r="F2530">
        <f>INT((C2530-Нед_Начало)/7)+1</f>
        <v/>
      </c>
      <c r="G2530">
        <f>IF(E2530=0,0,INDEX('Планы менеджеров'!$B$5:$M$16,B2530,D2530)/INDEX(Мес_Раб,D2530))</f>
        <v/>
      </c>
    </row>
    <row r="2531">
      <c r="A2531" t="inlineStr">
        <is>
          <t>Волков</t>
        </is>
      </c>
      <c r="B2531" t="n">
        <v>11</v>
      </c>
      <c r="C2531" s="18">
        <f>'Календарь'!A302</f>
        <v/>
      </c>
      <c r="D2531">
        <f>MONTH(C2531)</f>
        <v/>
      </c>
      <c r="E2531">
        <f>'Календарь'!D302</f>
        <v/>
      </c>
      <c r="F2531">
        <f>INT((C2531-Нед_Начало)/7)+1</f>
        <v/>
      </c>
      <c r="G2531">
        <f>IF(E2531=0,0,INDEX('Планы менеджеров'!$B$5:$M$16,B2531,D2531)/INDEX(Мес_Раб,D2531))</f>
        <v/>
      </c>
    </row>
    <row r="2532">
      <c r="A2532" t="inlineStr">
        <is>
          <t>Волков</t>
        </is>
      </c>
      <c r="B2532" t="n">
        <v>11</v>
      </c>
      <c r="C2532" s="18">
        <f>'Календарь'!A303</f>
        <v/>
      </c>
      <c r="D2532">
        <f>MONTH(C2532)</f>
        <v/>
      </c>
      <c r="E2532">
        <f>'Календарь'!D303</f>
        <v/>
      </c>
      <c r="F2532">
        <f>INT((C2532-Нед_Начало)/7)+1</f>
        <v/>
      </c>
      <c r="G2532">
        <f>IF(E2532=0,0,INDEX('Планы менеджеров'!$B$5:$M$16,B2532,D2532)/INDEX(Мес_Раб,D2532))</f>
        <v/>
      </c>
    </row>
    <row r="2533">
      <c r="A2533" t="inlineStr">
        <is>
          <t>Волков</t>
        </is>
      </c>
      <c r="B2533" t="n">
        <v>11</v>
      </c>
      <c r="C2533" s="18">
        <f>'Календарь'!A304</f>
        <v/>
      </c>
      <c r="D2533">
        <f>MONTH(C2533)</f>
        <v/>
      </c>
      <c r="E2533">
        <f>'Календарь'!D304</f>
        <v/>
      </c>
      <c r="F2533">
        <f>INT((C2533-Нед_Начало)/7)+1</f>
        <v/>
      </c>
      <c r="G2533">
        <f>IF(E2533=0,0,INDEX('Планы менеджеров'!$B$5:$M$16,B2533,D2533)/INDEX(Мес_Раб,D2533))</f>
        <v/>
      </c>
    </row>
    <row r="2534">
      <c r="A2534" t="inlineStr">
        <is>
          <t>Волков</t>
        </is>
      </c>
      <c r="B2534" t="n">
        <v>11</v>
      </c>
      <c r="C2534" s="18">
        <f>'Календарь'!A305</f>
        <v/>
      </c>
      <c r="D2534">
        <f>MONTH(C2534)</f>
        <v/>
      </c>
      <c r="E2534">
        <f>'Календарь'!D305</f>
        <v/>
      </c>
      <c r="F2534">
        <f>INT((C2534-Нед_Начало)/7)+1</f>
        <v/>
      </c>
      <c r="G2534">
        <f>IF(E2534=0,0,INDEX('Планы менеджеров'!$B$5:$M$16,B2534,D2534)/INDEX(Мес_Раб,D2534))</f>
        <v/>
      </c>
    </row>
    <row r="2535">
      <c r="A2535" t="inlineStr">
        <is>
          <t>Волков</t>
        </is>
      </c>
      <c r="B2535" t="n">
        <v>11</v>
      </c>
      <c r="C2535" s="18">
        <f>'Календарь'!A306</f>
        <v/>
      </c>
      <c r="D2535">
        <f>MONTH(C2535)</f>
        <v/>
      </c>
      <c r="E2535">
        <f>'Календарь'!D306</f>
        <v/>
      </c>
      <c r="F2535">
        <f>INT((C2535-Нед_Начало)/7)+1</f>
        <v/>
      </c>
      <c r="G2535">
        <f>IF(E2535=0,0,INDEX('Планы менеджеров'!$B$5:$M$16,B2535,D2535)/INDEX(Мес_Раб,D2535))</f>
        <v/>
      </c>
    </row>
    <row r="2536">
      <c r="A2536" t="inlineStr">
        <is>
          <t>Волков</t>
        </is>
      </c>
      <c r="B2536" t="n">
        <v>11</v>
      </c>
      <c r="C2536" s="18">
        <f>'Календарь'!A307</f>
        <v/>
      </c>
      <c r="D2536">
        <f>MONTH(C2536)</f>
        <v/>
      </c>
      <c r="E2536">
        <f>'Календарь'!D307</f>
        <v/>
      </c>
      <c r="F2536">
        <f>INT((C2536-Нед_Начало)/7)+1</f>
        <v/>
      </c>
      <c r="G2536">
        <f>IF(E2536=0,0,INDEX('Планы менеджеров'!$B$5:$M$16,B2536,D2536)/INDEX(Мес_Раб,D2536))</f>
        <v/>
      </c>
    </row>
    <row r="2537">
      <c r="A2537" t="inlineStr">
        <is>
          <t>Волков</t>
        </is>
      </c>
      <c r="B2537" t="n">
        <v>11</v>
      </c>
      <c r="C2537" s="18">
        <f>'Календарь'!A308</f>
        <v/>
      </c>
      <c r="D2537">
        <f>MONTH(C2537)</f>
        <v/>
      </c>
      <c r="E2537">
        <f>'Календарь'!D308</f>
        <v/>
      </c>
      <c r="F2537">
        <f>INT((C2537-Нед_Начало)/7)+1</f>
        <v/>
      </c>
      <c r="G2537">
        <f>IF(E2537=0,0,INDEX('Планы менеджеров'!$B$5:$M$16,B2537,D2537)/INDEX(Мес_Раб,D2537))</f>
        <v/>
      </c>
    </row>
    <row r="2538">
      <c r="A2538" t="inlineStr">
        <is>
          <t>Волков</t>
        </is>
      </c>
      <c r="B2538" t="n">
        <v>11</v>
      </c>
      <c r="C2538" s="18">
        <f>'Календарь'!A309</f>
        <v/>
      </c>
      <c r="D2538">
        <f>MONTH(C2538)</f>
        <v/>
      </c>
      <c r="E2538">
        <f>'Календарь'!D309</f>
        <v/>
      </c>
      <c r="F2538">
        <f>INT((C2538-Нед_Начало)/7)+1</f>
        <v/>
      </c>
      <c r="G2538">
        <f>IF(E2538=0,0,INDEX('Планы менеджеров'!$B$5:$M$16,B2538,D2538)/INDEX(Мес_Раб,D2538))</f>
        <v/>
      </c>
    </row>
    <row r="2539">
      <c r="A2539" t="inlineStr">
        <is>
          <t>Волков</t>
        </is>
      </c>
      <c r="B2539" t="n">
        <v>11</v>
      </c>
      <c r="C2539" s="18">
        <f>'Календарь'!A310</f>
        <v/>
      </c>
      <c r="D2539">
        <f>MONTH(C2539)</f>
        <v/>
      </c>
      <c r="E2539">
        <f>'Календарь'!D310</f>
        <v/>
      </c>
      <c r="F2539">
        <f>INT((C2539-Нед_Начало)/7)+1</f>
        <v/>
      </c>
      <c r="G2539">
        <f>IF(E2539=0,0,INDEX('Планы менеджеров'!$B$5:$M$16,B2539,D2539)/INDEX(Мес_Раб,D2539))</f>
        <v/>
      </c>
    </row>
    <row r="2540">
      <c r="A2540" t="inlineStr">
        <is>
          <t>Волков</t>
        </is>
      </c>
      <c r="B2540" t="n">
        <v>11</v>
      </c>
      <c r="C2540" s="18">
        <f>'Календарь'!A311</f>
        <v/>
      </c>
      <c r="D2540">
        <f>MONTH(C2540)</f>
        <v/>
      </c>
      <c r="E2540">
        <f>'Календарь'!D311</f>
        <v/>
      </c>
      <c r="F2540">
        <f>INT((C2540-Нед_Начало)/7)+1</f>
        <v/>
      </c>
      <c r="G2540">
        <f>IF(E2540=0,0,INDEX('Планы менеджеров'!$B$5:$M$16,B2540,D2540)/INDEX(Мес_Раб,D2540))</f>
        <v/>
      </c>
    </row>
    <row r="2541">
      <c r="A2541" t="inlineStr">
        <is>
          <t>Волков</t>
        </is>
      </c>
      <c r="B2541" t="n">
        <v>11</v>
      </c>
      <c r="C2541" s="18">
        <f>'Календарь'!A312</f>
        <v/>
      </c>
      <c r="D2541">
        <f>MONTH(C2541)</f>
        <v/>
      </c>
      <c r="E2541">
        <f>'Календарь'!D312</f>
        <v/>
      </c>
      <c r="F2541">
        <f>INT((C2541-Нед_Начало)/7)+1</f>
        <v/>
      </c>
      <c r="G2541">
        <f>IF(E2541=0,0,INDEX('Планы менеджеров'!$B$5:$M$16,B2541,D2541)/INDEX(Мес_Раб,D2541))</f>
        <v/>
      </c>
    </row>
    <row r="2542">
      <c r="A2542" t="inlineStr">
        <is>
          <t>Волков</t>
        </is>
      </c>
      <c r="B2542" t="n">
        <v>11</v>
      </c>
      <c r="C2542" s="18">
        <f>'Календарь'!A313</f>
        <v/>
      </c>
      <c r="D2542">
        <f>MONTH(C2542)</f>
        <v/>
      </c>
      <c r="E2542">
        <f>'Календарь'!D313</f>
        <v/>
      </c>
      <c r="F2542">
        <f>INT((C2542-Нед_Начало)/7)+1</f>
        <v/>
      </c>
      <c r="G2542">
        <f>IF(E2542=0,0,INDEX('Планы менеджеров'!$B$5:$M$16,B2542,D2542)/INDEX(Мес_Раб,D2542))</f>
        <v/>
      </c>
    </row>
    <row r="2543">
      <c r="A2543" t="inlineStr">
        <is>
          <t>Волков</t>
        </is>
      </c>
      <c r="B2543" t="n">
        <v>11</v>
      </c>
      <c r="C2543" s="18">
        <f>'Календарь'!A314</f>
        <v/>
      </c>
      <c r="D2543">
        <f>MONTH(C2543)</f>
        <v/>
      </c>
      <c r="E2543">
        <f>'Календарь'!D314</f>
        <v/>
      </c>
      <c r="F2543">
        <f>INT((C2543-Нед_Начало)/7)+1</f>
        <v/>
      </c>
      <c r="G2543">
        <f>IF(E2543=0,0,INDEX('Планы менеджеров'!$B$5:$M$16,B2543,D2543)/INDEX(Мес_Раб,D2543))</f>
        <v/>
      </c>
    </row>
    <row r="2544">
      <c r="A2544" t="inlineStr">
        <is>
          <t>Волков</t>
        </is>
      </c>
      <c r="B2544" t="n">
        <v>11</v>
      </c>
      <c r="C2544" s="18">
        <f>'Календарь'!A315</f>
        <v/>
      </c>
      <c r="D2544">
        <f>MONTH(C2544)</f>
        <v/>
      </c>
      <c r="E2544">
        <f>'Календарь'!D315</f>
        <v/>
      </c>
      <c r="F2544">
        <f>INT((C2544-Нед_Начало)/7)+1</f>
        <v/>
      </c>
      <c r="G2544">
        <f>IF(E2544=0,0,INDEX('Планы менеджеров'!$B$5:$M$16,B2544,D2544)/INDEX(Мес_Раб,D2544))</f>
        <v/>
      </c>
    </row>
    <row r="2545">
      <c r="A2545" t="inlineStr">
        <is>
          <t>Волков</t>
        </is>
      </c>
      <c r="B2545" t="n">
        <v>11</v>
      </c>
      <c r="C2545" s="18">
        <f>'Календарь'!A316</f>
        <v/>
      </c>
      <c r="D2545">
        <f>MONTH(C2545)</f>
        <v/>
      </c>
      <c r="E2545">
        <f>'Календарь'!D316</f>
        <v/>
      </c>
      <c r="F2545">
        <f>INT((C2545-Нед_Начало)/7)+1</f>
        <v/>
      </c>
      <c r="G2545">
        <f>IF(E2545=0,0,INDEX('Планы менеджеров'!$B$5:$M$16,B2545,D2545)/INDEX(Мес_Раб,D2545))</f>
        <v/>
      </c>
    </row>
    <row r="2546">
      <c r="A2546" t="inlineStr">
        <is>
          <t>Волков</t>
        </is>
      </c>
      <c r="B2546" t="n">
        <v>11</v>
      </c>
      <c r="C2546" s="18">
        <f>'Календарь'!A317</f>
        <v/>
      </c>
      <c r="D2546">
        <f>MONTH(C2546)</f>
        <v/>
      </c>
      <c r="E2546">
        <f>'Календарь'!D317</f>
        <v/>
      </c>
      <c r="F2546">
        <f>INT((C2546-Нед_Начало)/7)+1</f>
        <v/>
      </c>
      <c r="G2546">
        <f>IF(E2546=0,0,INDEX('Планы менеджеров'!$B$5:$M$16,B2546,D2546)/INDEX(Мес_Раб,D2546))</f>
        <v/>
      </c>
    </row>
    <row r="2547">
      <c r="A2547" t="inlineStr">
        <is>
          <t>Волков</t>
        </is>
      </c>
      <c r="B2547" t="n">
        <v>11</v>
      </c>
      <c r="C2547" s="18">
        <f>'Календарь'!A318</f>
        <v/>
      </c>
      <c r="D2547">
        <f>MONTH(C2547)</f>
        <v/>
      </c>
      <c r="E2547">
        <f>'Календарь'!D318</f>
        <v/>
      </c>
      <c r="F2547">
        <f>INT((C2547-Нед_Начало)/7)+1</f>
        <v/>
      </c>
      <c r="G2547">
        <f>IF(E2547=0,0,INDEX('Планы менеджеров'!$B$5:$M$16,B2547,D2547)/INDEX(Мес_Раб,D2547))</f>
        <v/>
      </c>
    </row>
    <row r="2548">
      <c r="A2548" t="inlineStr">
        <is>
          <t>Волков</t>
        </is>
      </c>
      <c r="B2548" t="n">
        <v>11</v>
      </c>
      <c r="C2548" s="18">
        <f>'Календарь'!A319</f>
        <v/>
      </c>
      <c r="D2548">
        <f>MONTH(C2548)</f>
        <v/>
      </c>
      <c r="E2548">
        <f>'Календарь'!D319</f>
        <v/>
      </c>
      <c r="F2548">
        <f>INT((C2548-Нед_Начало)/7)+1</f>
        <v/>
      </c>
      <c r="G2548">
        <f>IF(E2548=0,0,INDEX('Планы менеджеров'!$B$5:$M$16,B2548,D2548)/INDEX(Мес_Раб,D2548))</f>
        <v/>
      </c>
    </row>
    <row r="2549">
      <c r="A2549" t="inlineStr">
        <is>
          <t>Волков</t>
        </is>
      </c>
      <c r="B2549" t="n">
        <v>11</v>
      </c>
      <c r="C2549" s="18">
        <f>'Календарь'!A320</f>
        <v/>
      </c>
      <c r="D2549">
        <f>MONTH(C2549)</f>
        <v/>
      </c>
      <c r="E2549">
        <f>'Календарь'!D320</f>
        <v/>
      </c>
      <c r="F2549">
        <f>INT((C2549-Нед_Начало)/7)+1</f>
        <v/>
      </c>
      <c r="G2549">
        <f>IF(E2549=0,0,INDEX('Планы менеджеров'!$B$5:$M$16,B2549,D2549)/INDEX(Мес_Раб,D2549))</f>
        <v/>
      </c>
    </row>
    <row r="2550">
      <c r="A2550" t="inlineStr">
        <is>
          <t>Волков</t>
        </is>
      </c>
      <c r="B2550" t="n">
        <v>11</v>
      </c>
      <c r="C2550" s="18">
        <f>'Календарь'!A321</f>
        <v/>
      </c>
      <c r="D2550">
        <f>MONTH(C2550)</f>
        <v/>
      </c>
      <c r="E2550">
        <f>'Календарь'!D321</f>
        <v/>
      </c>
      <c r="F2550">
        <f>INT((C2550-Нед_Начало)/7)+1</f>
        <v/>
      </c>
      <c r="G2550">
        <f>IF(E2550=0,0,INDEX('Планы менеджеров'!$B$5:$M$16,B2550,D2550)/INDEX(Мес_Раб,D2550))</f>
        <v/>
      </c>
    </row>
    <row r="2551">
      <c r="A2551" t="inlineStr">
        <is>
          <t>Волков</t>
        </is>
      </c>
      <c r="B2551" t="n">
        <v>11</v>
      </c>
      <c r="C2551" s="18">
        <f>'Календарь'!A322</f>
        <v/>
      </c>
      <c r="D2551">
        <f>MONTH(C2551)</f>
        <v/>
      </c>
      <c r="E2551">
        <f>'Календарь'!D322</f>
        <v/>
      </c>
      <c r="F2551">
        <f>INT((C2551-Нед_Начало)/7)+1</f>
        <v/>
      </c>
      <c r="G2551">
        <f>IF(E2551=0,0,INDEX('Планы менеджеров'!$B$5:$M$16,B2551,D2551)/INDEX(Мес_Раб,D2551))</f>
        <v/>
      </c>
    </row>
    <row r="2552">
      <c r="A2552" t="inlineStr">
        <is>
          <t>Волков</t>
        </is>
      </c>
      <c r="B2552" t="n">
        <v>11</v>
      </c>
      <c r="C2552" s="18">
        <f>'Календарь'!A323</f>
        <v/>
      </c>
      <c r="D2552">
        <f>MONTH(C2552)</f>
        <v/>
      </c>
      <c r="E2552">
        <f>'Календарь'!D323</f>
        <v/>
      </c>
      <c r="F2552">
        <f>INT((C2552-Нед_Начало)/7)+1</f>
        <v/>
      </c>
      <c r="G2552">
        <f>IF(E2552=0,0,INDEX('Планы менеджеров'!$B$5:$M$16,B2552,D2552)/INDEX(Мес_Раб,D2552))</f>
        <v/>
      </c>
    </row>
    <row r="2553">
      <c r="A2553" t="inlineStr">
        <is>
          <t>Волков</t>
        </is>
      </c>
      <c r="B2553" t="n">
        <v>11</v>
      </c>
      <c r="C2553" s="18">
        <f>'Календарь'!A324</f>
        <v/>
      </c>
      <c r="D2553">
        <f>MONTH(C2553)</f>
        <v/>
      </c>
      <c r="E2553">
        <f>'Календарь'!D324</f>
        <v/>
      </c>
      <c r="F2553">
        <f>INT((C2553-Нед_Начало)/7)+1</f>
        <v/>
      </c>
      <c r="G2553">
        <f>IF(E2553=0,0,INDEX('Планы менеджеров'!$B$5:$M$16,B2553,D2553)/INDEX(Мес_Раб,D2553))</f>
        <v/>
      </c>
    </row>
    <row r="2554">
      <c r="A2554" t="inlineStr">
        <is>
          <t>Волков</t>
        </is>
      </c>
      <c r="B2554" t="n">
        <v>11</v>
      </c>
      <c r="C2554" s="18">
        <f>'Календарь'!A325</f>
        <v/>
      </c>
      <c r="D2554">
        <f>MONTH(C2554)</f>
        <v/>
      </c>
      <c r="E2554">
        <f>'Календарь'!D325</f>
        <v/>
      </c>
      <c r="F2554">
        <f>INT((C2554-Нед_Начало)/7)+1</f>
        <v/>
      </c>
      <c r="G2554">
        <f>IF(E2554=0,0,INDEX('Планы менеджеров'!$B$5:$M$16,B2554,D2554)/INDEX(Мес_Раб,D2554))</f>
        <v/>
      </c>
    </row>
    <row r="2555">
      <c r="A2555" t="inlineStr">
        <is>
          <t>Волков</t>
        </is>
      </c>
      <c r="B2555" t="n">
        <v>11</v>
      </c>
      <c r="C2555" s="18">
        <f>'Календарь'!A326</f>
        <v/>
      </c>
      <c r="D2555">
        <f>MONTH(C2555)</f>
        <v/>
      </c>
      <c r="E2555">
        <f>'Календарь'!D326</f>
        <v/>
      </c>
      <c r="F2555">
        <f>INT((C2555-Нед_Начало)/7)+1</f>
        <v/>
      </c>
      <c r="G2555">
        <f>IF(E2555=0,0,INDEX('Планы менеджеров'!$B$5:$M$16,B2555,D2555)/INDEX(Мес_Раб,D2555))</f>
        <v/>
      </c>
    </row>
    <row r="2556">
      <c r="A2556" t="inlineStr">
        <is>
          <t>Волков</t>
        </is>
      </c>
      <c r="B2556" t="n">
        <v>11</v>
      </c>
      <c r="C2556" s="18">
        <f>'Календарь'!A327</f>
        <v/>
      </c>
      <c r="D2556">
        <f>MONTH(C2556)</f>
        <v/>
      </c>
      <c r="E2556">
        <f>'Календарь'!D327</f>
        <v/>
      </c>
      <c r="F2556">
        <f>INT((C2556-Нед_Начало)/7)+1</f>
        <v/>
      </c>
      <c r="G2556">
        <f>IF(E2556=0,0,INDEX('Планы менеджеров'!$B$5:$M$16,B2556,D2556)/INDEX(Мес_Раб,D2556))</f>
        <v/>
      </c>
    </row>
    <row r="2557">
      <c r="A2557" t="inlineStr">
        <is>
          <t>Волков</t>
        </is>
      </c>
      <c r="B2557" t="n">
        <v>11</v>
      </c>
      <c r="C2557" s="18">
        <f>'Календарь'!A328</f>
        <v/>
      </c>
      <c r="D2557">
        <f>MONTH(C2557)</f>
        <v/>
      </c>
      <c r="E2557">
        <f>'Календарь'!D328</f>
        <v/>
      </c>
      <c r="F2557">
        <f>INT((C2557-Нед_Начало)/7)+1</f>
        <v/>
      </c>
      <c r="G2557">
        <f>IF(E2557=0,0,INDEX('Планы менеджеров'!$B$5:$M$16,B2557,D2557)/INDEX(Мес_Раб,D2557))</f>
        <v/>
      </c>
    </row>
    <row r="2558">
      <c r="A2558" t="inlineStr">
        <is>
          <t>Волков</t>
        </is>
      </c>
      <c r="B2558" t="n">
        <v>11</v>
      </c>
      <c r="C2558" s="18">
        <f>'Календарь'!A329</f>
        <v/>
      </c>
      <c r="D2558">
        <f>MONTH(C2558)</f>
        <v/>
      </c>
      <c r="E2558">
        <f>'Календарь'!D329</f>
        <v/>
      </c>
      <c r="F2558">
        <f>INT((C2558-Нед_Начало)/7)+1</f>
        <v/>
      </c>
      <c r="G2558">
        <f>IF(E2558=0,0,INDEX('Планы менеджеров'!$B$5:$M$16,B2558,D2558)/INDEX(Мес_Раб,D2558))</f>
        <v/>
      </c>
    </row>
    <row r="2559">
      <c r="A2559" t="inlineStr">
        <is>
          <t>Волков</t>
        </is>
      </c>
      <c r="B2559" t="n">
        <v>11</v>
      </c>
      <c r="C2559" s="18">
        <f>'Календарь'!A330</f>
        <v/>
      </c>
      <c r="D2559">
        <f>MONTH(C2559)</f>
        <v/>
      </c>
      <c r="E2559">
        <f>'Календарь'!D330</f>
        <v/>
      </c>
      <c r="F2559">
        <f>INT((C2559-Нед_Начало)/7)+1</f>
        <v/>
      </c>
      <c r="G2559">
        <f>IF(E2559=0,0,INDEX('Планы менеджеров'!$B$5:$M$16,B2559,D2559)/INDEX(Мес_Раб,D2559))</f>
        <v/>
      </c>
    </row>
    <row r="2560">
      <c r="A2560" t="inlineStr">
        <is>
          <t>Волков</t>
        </is>
      </c>
      <c r="B2560" t="n">
        <v>11</v>
      </c>
      <c r="C2560" s="18">
        <f>'Календарь'!A331</f>
        <v/>
      </c>
      <c r="D2560">
        <f>MONTH(C2560)</f>
        <v/>
      </c>
      <c r="E2560">
        <f>'Календарь'!D331</f>
        <v/>
      </c>
      <c r="F2560">
        <f>INT((C2560-Нед_Начало)/7)+1</f>
        <v/>
      </c>
      <c r="G2560">
        <f>IF(E2560=0,0,INDEX('Планы менеджеров'!$B$5:$M$16,B2560,D2560)/INDEX(Мес_Раб,D2560))</f>
        <v/>
      </c>
    </row>
    <row r="2561">
      <c r="A2561" t="inlineStr">
        <is>
          <t>Волков</t>
        </is>
      </c>
      <c r="B2561" t="n">
        <v>11</v>
      </c>
      <c r="C2561" s="18">
        <f>'Календарь'!A332</f>
        <v/>
      </c>
      <c r="D2561">
        <f>MONTH(C2561)</f>
        <v/>
      </c>
      <c r="E2561">
        <f>'Календарь'!D332</f>
        <v/>
      </c>
      <c r="F2561">
        <f>INT((C2561-Нед_Начало)/7)+1</f>
        <v/>
      </c>
      <c r="G2561">
        <f>IF(E2561=0,0,INDEX('Планы менеджеров'!$B$5:$M$16,B2561,D2561)/INDEX(Мес_Раб,D2561))</f>
        <v/>
      </c>
    </row>
    <row r="2562">
      <c r="A2562" t="inlineStr">
        <is>
          <t>Волков</t>
        </is>
      </c>
      <c r="B2562" t="n">
        <v>11</v>
      </c>
      <c r="C2562" s="18">
        <f>'Календарь'!A333</f>
        <v/>
      </c>
      <c r="D2562">
        <f>MONTH(C2562)</f>
        <v/>
      </c>
      <c r="E2562">
        <f>'Календарь'!D333</f>
        <v/>
      </c>
      <c r="F2562">
        <f>INT((C2562-Нед_Начало)/7)+1</f>
        <v/>
      </c>
      <c r="G2562">
        <f>IF(E2562=0,0,INDEX('Планы менеджеров'!$B$5:$M$16,B2562,D2562)/INDEX(Мес_Раб,D2562))</f>
        <v/>
      </c>
    </row>
    <row r="2563">
      <c r="A2563" t="inlineStr">
        <is>
          <t>Волков</t>
        </is>
      </c>
      <c r="B2563" t="n">
        <v>11</v>
      </c>
      <c r="C2563" s="18">
        <f>'Календарь'!A334</f>
        <v/>
      </c>
      <c r="D2563">
        <f>MONTH(C2563)</f>
        <v/>
      </c>
      <c r="E2563">
        <f>'Календарь'!D334</f>
        <v/>
      </c>
      <c r="F2563">
        <f>INT((C2563-Нед_Начало)/7)+1</f>
        <v/>
      </c>
      <c r="G2563">
        <f>IF(E2563=0,0,INDEX('Планы менеджеров'!$B$5:$M$16,B2563,D2563)/INDEX(Мес_Раб,D2563))</f>
        <v/>
      </c>
    </row>
    <row r="2564">
      <c r="A2564" t="inlineStr">
        <is>
          <t>Волков</t>
        </is>
      </c>
      <c r="B2564" t="n">
        <v>11</v>
      </c>
      <c r="C2564" s="18">
        <f>'Календарь'!A335</f>
        <v/>
      </c>
      <c r="D2564">
        <f>MONTH(C2564)</f>
        <v/>
      </c>
      <c r="E2564">
        <f>'Календарь'!D335</f>
        <v/>
      </c>
      <c r="F2564">
        <f>INT((C2564-Нед_Начало)/7)+1</f>
        <v/>
      </c>
      <c r="G2564">
        <f>IF(E2564=0,0,INDEX('Планы менеджеров'!$B$5:$M$16,B2564,D2564)/INDEX(Мес_Раб,D2564))</f>
        <v/>
      </c>
    </row>
    <row r="2565">
      <c r="A2565" t="inlineStr">
        <is>
          <t>Волков</t>
        </is>
      </c>
      <c r="B2565" t="n">
        <v>11</v>
      </c>
      <c r="C2565" s="18">
        <f>'Календарь'!A336</f>
        <v/>
      </c>
      <c r="D2565">
        <f>MONTH(C2565)</f>
        <v/>
      </c>
      <c r="E2565">
        <f>'Календарь'!D336</f>
        <v/>
      </c>
      <c r="F2565">
        <f>INT((C2565-Нед_Начало)/7)+1</f>
        <v/>
      </c>
      <c r="G2565">
        <f>IF(E2565=0,0,INDEX('Планы менеджеров'!$B$5:$M$16,B2565,D2565)/INDEX(Мес_Раб,D2565))</f>
        <v/>
      </c>
    </row>
    <row r="2566">
      <c r="A2566" t="inlineStr">
        <is>
          <t>Волков</t>
        </is>
      </c>
      <c r="B2566" t="n">
        <v>11</v>
      </c>
      <c r="C2566" s="18">
        <f>'Календарь'!A337</f>
        <v/>
      </c>
      <c r="D2566">
        <f>MONTH(C2566)</f>
        <v/>
      </c>
      <c r="E2566">
        <f>'Календарь'!D337</f>
        <v/>
      </c>
      <c r="F2566">
        <f>INT((C2566-Нед_Начало)/7)+1</f>
        <v/>
      </c>
      <c r="G2566">
        <f>IF(E2566=0,0,INDEX('Планы менеджеров'!$B$5:$M$16,B2566,D2566)/INDEX(Мес_Раб,D2566))</f>
        <v/>
      </c>
    </row>
    <row r="2567">
      <c r="A2567" t="inlineStr">
        <is>
          <t>Волков</t>
        </is>
      </c>
      <c r="B2567" t="n">
        <v>11</v>
      </c>
      <c r="C2567" s="18">
        <f>'Календарь'!A338</f>
        <v/>
      </c>
      <c r="D2567">
        <f>MONTH(C2567)</f>
        <v/>
      </c>
      <c r="E2567">
        <f>'Календарь'!D338</f>
        <v/>
      </c>
      <c r="F2567">
        <f>INT((C2567-Нед_Начало)/7)+1</f>
        <v/>
      </c>
      <c r="G2567">
        <f>IF(E2567=0,0,INDEX('Планы менеджеров'!$B$5:$M$16,B2567,D2567)/INDEX(Мес_Раб,D2567))</f>
        <v/>
      </c>
    </row>
    <row r="2568">
      <c r="A2568" t="inlineStr">
        <is>
          <t>Волков</t>
        </is>
      </c>
      <c r="B2568" t="n">
        <v>11</v>
      </c>
      <c r="C2568" s="18">
        <f>'Календарь'!A339</f>
        <v/>
      </c>
      <c r="D2568">
        <f>MONTH(C2568)</f>
        <v/>
      </c>
      <c r="E2568">
        <f>'Календарь'!D339</f>
        <v/>
      </c>
      <c r="F2568">
        <f>INT((C2568-Нед_Начало)/7)+1</f>
        <v/>
      </c>
      <c r="G2568">
        <f>IF(E2568=0,0,INDEX('Планы менеджеров'!$B$5:$M$16,B2568,D2568)/INDEX(Мес_Раб,D2568))</f>
        <v/>
      </c>
    </row>
    <row r="2569">
      <c r="A2569" t="inlineStr">
        <is>
          <t>Волков</t>
        </is>
      </c>
      <c r="B2569" t="n">
        <v>11</v>
      </c>
      <c r="C2569" s="18">
        <f>'Календарь'!A340</f>
        <v/>
      </c>
      <c r="D2569">
        <f>MONTH(C2569)</f>
        <v/>
      </c>
      <c r="E2569">
        <f>'Календарь'!D340</f>
        <v/>
      </c>
      <c r="F2569">
        <f>INT((C2569-Нед_Начало)/7)+1</f>
        <v/>
      </c>
      <c r="G2569">
        <f>IF(E2569=0,0,INDEX('Планы менеджеров'!$B$5:$M$16,B2569,D2569)/INDEX(Мес_Раб,D2569))</f>
        <v/>
      </c>
    </row>
    <row r="2570">
      <c r="A2570" t="inlineStr">
        <is>
          <t>Волков</t>
        </is>
      </c>
      <c r="B2570" t="n">
        <v>11</v>
      </c>
      <c r="C2570" s="18">
        <f>'Календарь'!A341</f>
        <v/>
      </c>
      <c r="D2570">
        <f>MONTH(C2570)</f>
        <v/>
      </c>
      <c r="E2570">
        <f>'Календарь'!D341</f>
        <v/>
      </c>
      <c r="F2570">
        <f>INT((C2570-Нед_Начало)/7)+1</f>
        <v/>
      </c>
      <c r="G2570">
        <f>IF(E2570=0,0,INDEX('Планы менеджеров'!$B$5:$M$16,B2570,D2570)/INDEX(Мес_Раб,D2570))</f>
        <v/>
      </c>
    </row>
    <row r="2571">
      <c r="A2571" t="inlineStr">
        <is>
          <t>Волков</t>
        </is>
      </c>
      <c r="B2571" t="n">
        <v>11</v>
      </c>
      <c r="C2571" s="18">
        <f>'Календарь'!A342</f>
        <v/>
      </c>
      <c r="D2571">
        <f>MONTH(C2571)</f>
        <v/>
      </c>
      <c r="E2571">
        <f>'Календарь'!D342</f>
        <v/>
      </c>
      <c r="F2571">
        <f>INT((C2571-Нед_Начало)/7)+1</f>
        <v/>
      </c>
      <c r="G2571">
        <f>IF(E2571=0,0,INDEX('Планы менеджеров'!$B$5:$M$16,B2571,D2571)/INDEX(Мес_Раб,D2571))</f>
        <v/>
      </c>
    </row>
    <row r="2572">
      <c r="A2572" t="inlineStr">
        <is>
          <t>Волков</t>
        </is>
      </c>
      <c r="B2572" t="n">
        <v>11</v>
      </c>
      <c r="C2572" s="18">
        <f>'Календарь'!A343</f>
        <v/>
      </c>
      <c r="D2572">
        <f>MONTH(C2572)</f>
        <v/>
      </c>
      <c r="E2572">
        <f>'Календарь'!D343</f>
        <v/>
      </c>
      <c r="F2572">
        <f>INT((C2572-Нед_Начало)/7)+1</f>
        <v/>
      </c>
      <c r="G2572">
        <f>IF(E2572=0,0,INDEX('Планы менеджеров'!$B$5:$M$16,B2572,D2572)/INDEX(Мес_Раб,D2572))</f>
        <v/>
      </c>
    </row>
    <row r="2573">
      <c r="A2573" t="inlineStr">
        <is>
          <t>Волков</t>
        </is>
      </c>
      <c r="B2573" t="n">
        <v>11</v>
      </c>
      <c r="C2573" s="18">
        <f>'Календарь'!A344</f>
        <v/>
      </c>
      <c r="D2573">
        <f>MONTH(C2573)</f>
        <v/>
      </c>
      <c r="E2573">
        <f>'Календарь'!D344</f>
        <v/>
      </c>
      <c r="F2573">
        <f>INT((C2573-Нед_Начало)/7)+1</f>
        <v/>
      </c>
      <c r="G2573">
        <f>IF(E2573=0,0,INDEX('Планы менеджеров'!$B$5:$M$16,B2573,D2573)/INDEX(Мес_Раб,D2573))</f>
        <v/>
      </c>
    </row>
    <row r="2574">
      <c r="A2574" t="inlineStr">
        <is>
          <t>Волков</t>
        </is>
      </c>
      <c r="B2574" t="n">
        <v>11</v>
      </c>
      <c r="C2574" s="18">
        <f>'Календарь'!A345</f>
        <v/>
      </c>
      <c r="D2574">
        <f>MONTH(C2574)</f>
        <v/>
      </c>
      <c r="E2574">
        <f>'Календарь'!D345</f>
        <v/>
      </c>
      <c r="F2574">
        <f>INT((C2574-Нед_Начало)/7)+1</f>
        <v/>
      </c>
      <c r="G2574">
        <f>IF(E2574=0,0,INDEX('Планы менеджеров'!$B$5:$M$16,B2574,D2574)/INDEX(Мес_Раб,D2574))</f>
        <v/>
      </c>
    </row>
    <row r="2575">
      <c r="A2575" t="inlineStr">
        <is>
          <t>Волков</t>
        </is>
      </c>
      <c r="B2575" t="n">
        <v>11</v>
      </c>
      <c r="C2575" s="18">
        <f>'Календарь'!A346</f>
        <v/>
      </c>
      <c r="D2575">
        <f>MONTH(C2575)</f>
        <v/>
      </c>
      <c r="E2575">
        <f>'Календарь'!D346</f>
        <v/>
      </c>
      <c r="F2575">
        <f>INT((C2575-Нед_Начало)/7)+1</f>
        <v/>
      </c>
      <c r="G2575">
        <f>IF(E2575=0,0,INDEX('Планы менеджеров'!$B$5:$M$16,B2575,D2575)/INDEX(Мес_Раб,D2575))</f>
        <v/>
      </c>
    </row>
    <row r="2576">
      <c r="A2576" t="inlineStr">
        <is>
          <t>Волков</t>
        </is>
      </c>
      <c r="B2576" t="n">
        <v>11</v>
      </c>
      <c r="C2576" s="18">
        <f>'Календарь'!A347</f>
        <v/>
      </c>
      <c r="D2576">
        <f>MONTH(C2576)</f>
        <v/>
      </c>
      <c r="E2576">
        <f>'Календарь'!D347</f>
        <v/>
      </c>
      <c r="F2576">
        <f>INT((C2576-Нед_Начало)/7)+1</f>
        <v/>
      </c>
      <c r="G2576">
        <f>IF(E2576=0,0,INDEX('Планы менеджеров'!$B$5:$M$16,B2576,D2576)/INDEX(Мес_Раб,D2576))</f>
        <v/>
      </c>
    </row>
    <row r="2577">
      <c r="A2577" t="inlineStr">
        <is>
          <t>Волков</t>
        </is>
      </c>
      <c r="B2577" t="n">
        <v>11</v>
      </c>
      <c r="C2577" s="18">
        <f>'Календарь'!A348</f>
        <v/>
      </c>
      <c r="D2577">
        <f>MONTH(C2577)</f>
        <v/>
      </c>
      <c r="E2577">
        <f>'Календарь'!D348</f>
        <v/>
      </c>
      <c r="F2577">
        <f>INT((C2577-Нед_Начало)/7)+1</f>
        <v/>
      </c>
      <c r="G2577">
        <f>IF(E2577=0,0,INDEX('Планы менеджеров'!$B$5:$M$16,B2577,D2577)/INDEX(Мес_Раб,D2577))</f>
        <v/>
      </c>
    </row>
    <row r="2578">
      <c r="A2578" t="inlineStr">
        <is>
          <t>Волков</t>
        </is>
      </c>
      <c r="B2578" t="n">
        <v>11</v>
      </c>
      <c r="C2578" s="18">
        <f>'Календарь'!A349</f>
        <v/>
      </c>
      <c r="D2578">
        <f>MONTH(C2578)</f>
        <v/>
      </c>
      <c r="E2578">
        <f>'Календарь'!D349</f>
        <v/>
      </c>
      <c r="F2578">
        <f>INT((C2578-Нед_Начало)/7)+1</f>
        <v/>
      </c>
      <c r="G2578">
        <f>IF(E2578=0,0,INDEX('Планы менеджеров'!$B$5:$M$16,B2578,D2578)/INDEX(Мес_Раб,D2578))</f>
        <v/>
      </c>
    </row>
    <row r="2579">
      <c r="A2579" t="inlineStr">
        <is>
          <t>Волков</t>
        </is>
      </c>
      <c r="B2579" t="n">
        <v>11</v>
      </c>
      <c r="C2579" s="18">
        <f>'Календарь'!A350</f>
        <v/>
      </c>
      <c r="D2579">
        <f>MONTH(C2579)</f>
        <v/>
      </c>
      <c r="E2579">
        <f>'Календарь'!D350</f>
        <v/>
      </c>
      <c r="F2579">
        <f>INT((C2579-Нед_Начало)/7)+1</f>
        <v/>
      </c>
      <c r="G2579">
        <f>IF(E2579=0,0,INDEX('Планы менеджеров'!$B$5:$M$16,B2579,D2579)/INDEX(Мес_Раб,D2579))</f>
        <v/>
      </c>
    </row>
    <row r="2580">
      <c r="A2580" t="inlineStr">
        <is>
          <t>Волков</t>
        </is>
      </c>
      <c r="B2580" t="n">
        <v>11</v>
      </c>
      <c r="C2580" s="18">
        <f>'Календарь'!A351</f>
        <v/>
      </c>
      <c r="D2580">
        <f>MONTH(C2580)</f>
        <v/>
      </c>
      <c r="E2580">
        <f>'Календарь'!D351</f>
        <v/>
      </c>
      <c r="F2580">
        <f>INT((C2580-Нед_Начало)/7)+1</f>
        <v/>
      </c>
      <c r="G2580">
        <f>IF(E2580=0,0,INDEX('Планы менеджеров'!$B$5:$M$16,B2580,D2580)/INDEX(Мес_Раб,D2580))</f>
        <v/>
      </c>
    </row>
    <row r="2581">
      <c r="A2581" t="inlineStr">
        <is>
          <t>Волков</t>
        </is>
      </c>
      <c r="B2581" t="n">
        <v>11</v>
      </c>
      <c r="C2581" s="18">
        <f>'Календарь'!A352</f>
        <v/>
      </c>
      <c r="D2581">
        <f>MONTH(C2581)</f>
        <v/>
      </c>
      <c r="E2581">
        <f>'Календарь'!D352</f>
        <v/>
      </c>
      <c r="F2581">
        <f>INT((C2581-Нед_Начало)/7)+1</f>
        <v/>
      </c>
      <c r="G2581">
        <f>IF(E2581=0,0,INDEX('Планы менеджеров'!$B$5:$M$16,B2581,D2581)/INDEX(Мес_Раб,D2581))</f>
        <v/>
      </c>
    </row>
    <row r="2582">
      <c r="A2582" t="inlineStr">
        <is>
          <t>Волков</t>
        </is>
      </c>
      <c r="B2582" t="n">
        <v>11</v>
      </c>
      <c r="C2582" s="18">
        <f>'Календарь'!A353</f>
        <v/>
      </c>
      <c r="D2582">
        <f>MONTH(C2582)</f>
        <v/>
      </c>
      <c r="E2582">
        <f>'Календарь'!D353</f>
        <v/>
      </c>
      <c r="F2582">
        <f>INT((C2582-Нед_Начало)/7)+1</f>
        <v/>
      </c>
      <c r="G2582">
        <f>IF(E2582=0,0,INDEX('Планы менеджеров'!$B$5:$M$16,B2582,D2582)/INDEX(Мес_Раб,D2582))</f>
        <v/>
      </c>
    </row>
    <row r="2583">
      <c r="A2583" t="inlineStr">
        <is>
          <t>Волков</t>
        </is>
      </c>
      <c r="B2583" t="n">
        <v>11</v>
      </c>
      <c r="C2583" s="18">
        <f>'Календарь'!A354</f>
        <v/>
      </c>
      <c r="D2583">
        <f>MONTH(C2583)</f>
        <v/>
      </c>
      <c r="E2583">
        <f>'Календарь'!D354</f>
        <v/>
      </c>
      <c r="F2583">
        <f>INT((C2583-Нед_Начало)/7)+1</f>
        <v/>
      </c>
      <c r="G2583">
        <f>IF(E2583=0,0,INDEX('Планы менеджеров'!$B$5:$M$16,B2583,D2583)/INDEX(Мес_Раб,D2583))</f>
        <v/>
      </c>
    </row>
    <row r="2584">
      <c r="A2584" t="inlineStr">
        <is>
          <t>Волков</t>
        </is>
      </c>
      <c r="B2584" t="n">
        <v>11</v>
      </c>
      <c r="C2584" s="18">
        <f>'Календарь'!A355</f>
        <v/>
      </c>
      <c r="D2584">
        <f>MONTH(C2584)</f>
        <v/>
      </c>
      <c r="E2584">
        <f>'Календарь'!D355</f>
        <v/>
      </c>
      <c r="F2584">
        <f>INT((C2584-Нед_Начало)/7)+1</f>
        <v/>
      </c>
      <c r="G2584">
        <f>IF(E2584=0,0,INDEX('Планы менеджеров'!$B$5:$M$16,B2584,D2584)/INDEX(Мес_Раб,D2584))</f>
        <v/>
      </c>
    </row>
    <row r="2585">
      <c r="A2585" t="inlineStr">
        <is>
          <t>Волков</t>
        </is>
      </c>
      <c r="B2585" t="n">
        <v>11</v>
      </c>
      <c r="C2585" s="18">
        <f>'Календарь'!A356</f>
        <v/>
      </c>
      <c r="D2585">
        <f>MONTH(C2585)</f>
        <v/>
      </c>
      <c r="E2585">
        <f>'Календарь'!D356</f>
        <v/>
      </c>
      <c r="F2585">
        <f>INT((C2585-Нед_Начало)/7)+1</f>
        <v/>
      </c>
      <c r="G2585">
        <f>IF(E2585=0,0,INDEX('Планы менеджеров'!$B$5:$M$16,B2585,D2585)/INDEX(Мес_Раб,D2585))</f>
        <v/>
      </c>
    </row>
    <row r="2586">
      <c r="A2586" t="inlineStr">
        <is>
          <t>Волков</t>
        </is>
      </c>
      <c r="B2586" t="n">
        <v>11</v>
      </c>
      <c r="C2586" s="18">
        <f>'Календарь'!A357</f>
        <v/>
      </c>
      <c r="D2586">
        <f>MONTH(C2586)</f>
        <v/>
      </c>
      <c r="E2586">
        <f>'Календарь'!D357</f>
        <v/>
      </c>
      <c r="F2586">
        <f>INT((C2586-Нед_Начало)/7)+1</f>
        <v/>
      </c>
      <c r="G2586">
        <f>IF(E2586=0,0,INDEX('Планы менеджеров'!$B$5:$M$16,B2586,D2586)/INDEX(Мес_Раб,D2586))</f>
        <v/>
      </c>
    </row>
    <row r="2587">
      <c r="A2587" t="inlineStr">
        <is>
          <t>Волков</t>
        </is>
      </c>
      <c r="B2587" t="n">
        <v>11</v>
      </c>
      <c r="C2587" s="18">
        <f>'Календарь'!A358</f>
        <v/>
      </c>
      <c r="D2587">
        <f>MONTH(C2587)</f>
        <v/>
      </c>
      <c r="E2587">
        <f>'Календарь'!D358</f>
        <v/>
      </c>
      <c r="F2587">
        <f>INT((C2587-Нед_Начало)/7)+1</f>
        <v/>
      </c>
      <c r="G2587">
        <f>IF(E2587=0,0,INDEX('Планы менеджеров'!$B$5:$M$16,B2587,D2587)/INDEX(Мес_Раб,D2587))</f>
        <v/>
      </c>
    </row>
    <row r="2588">
      <c r="A2588" t="inlineStr">
        <is>
          <t>Волков</t>
        </is>
      </c>
      <c r="B2588" t="n">
        <v>11</v>
      </c>
      <c r="C2588" s="18">
        <f>'Календарь'!A359</f>
        <v/>
      </c>
      <c r="D2588">
        <f>MONTH(C2588)</f>
        <v/>
      </c>
      <c r="E2588">
        <f>'Календарь'!D359</f>
        <v/>
      </c>
      <c r="F2588">
        <f>INT((C2588-Нед_Начало)/7)+1</f>
        <v/>
      </c>
      <c r="G2588">
        <f>IF(E2588=0,0,INDEX('Планы менеджеров'!$B$5:$M$16,B2588,D2588)/INDEX(Мес_Раб,D2588))</f>
        <v/>
      </c>
    </row>
    <row r="2589">
      <c r="A2589" t="inlineStr">
        <is>
          <t>Волков</t>
        </is>
      </c>
      <c r="B2589" t="n">
        <v>11</v>
      </c>
      <c r="C2589" s="18">
        <f>'Календарь'!A360</f>
        <v/>
      </c>
      <c r="D2589">
        <f>MONTH(C2589)</f>
        <v/>
      </c>
      <c r="E2589">
        <f>'Календарь'!D360</f>
        <v/>
      </c>
      <c r="F2589">
        <f>INT((C2589-Нед_Начало)/7)+1</f>
        <v/>
      </c>
      <c r="G2589">
        <f>IF(E2589=0,0,INDEX('Планы менеджеров'!$B$5:$M$16,B2589,D2589)/INDEX(Мес_Раб,D2589))</f>
        <v/>
      </c>
    </row>
    <row r="2590">
      <c r="A2590" t="inlineStr">
        <is>
          <t>Волков</t>
        </is>
      </c>
      <c r="B2590" t="n">
        <v>11</v>
      </c>
      <c r="C2590" s="18">
        <f>'Календарь'!A361</f>
        <v/>
      </c>
      <c r="D2590">
        <f>MONTH(C2590)</f>
        <v/>
      </c>
      <c r="E2590">
        <f>'Календарь'!D361</f>
        <v/>
      </c>
      <c r="F2590">
        <f>INT((C2590-Нед_Начало)/7)+1</f>
        <v/>
      </c>
      <c r="G2590">
        <f>IF(E2590=0,0,INDEX('Планы менеджеров'!$B$5:$M$16,B2590,D2590)/INDEX(Мес_Раб,D2590))</f>
        <v/>
      </c>
    </row>
    <row r="2591">
      <c r="A2591" t="inlineStr">
        <is>
          <t>Волков</t>
        </is>
      </c>
      <c r="B2591" t="n">
        <v>11</v>
      </c>
      <c r="C2591" s="18">
        <f>'Календарь'!A362</f>
        <v/>
      </c>
      <c r="D2591">
        <f>MONTH(C2591)</f>
        <v/>
      </c>
      <c r="E2591">
        <f>'Календарь'!D362</f>
        <v/>
      </c>
      <c r="F2591">
        <f>INT((C2591-Нед_Начало)/7)+1</f>
        <v/>
      </c>
      <c r="G2591">
        <f>IF(E2591=0,0,INDEX('Планы менеджеров'!$B$5:$M$16,B2591,D2591)/INDEX(Мес_Раб,D2591))</f>
        <v/>
      </c>
    </row>
    <row r="2592">
      <c r="A2592" t="inlineStr">
        <is>
          <t>Волков</t>
        </is>
      </c>
      <c r="B2592" t="n">
        <v>11</v>
      </c>
      <c r="C2592" s="18">
        <f>'Календарь'!A363</f>
        <v/>
      </c>
      <c r="D2592">
        <f>MONTH(C2592)</f>
        <v/>
      </c>
      <c r="E2592">
        <f>'Календарь'!D363</f>
        <v/>
      </c>
      <c r="F2592">
        <f>INT((C2592-Нед_Начало)/7)+1</f>
        <v/>
      </c>
      <c r="G2592">
        <f>IF(E2592=0,0,INDEX('Планы менеджеров'!$B$5:$M$16,B2592,D2592)/INDEX(Мес_Раб,D2592))</f>
        <v/>
      </c>
    </row>
    <row r="2593">
      <c r="A2593" t="inlineStr">
        <is>
          <t>Волков</t>
        </is>
      </c>
      <c r="B2593" t="n">
        <v>11</v>
      </c>
      <c r="C2593" s="18">
        <f>'Календарь'!A364</f>
        <v/>
      </c>
      <c r="D2593">
        <f>MONTH(C2593)</f>
        <v/>
      </c>
      <c r="E2593">
        <f>'Календарь'!D364</f>
        <v/>
      </c>
      <c r="F2593">
        <f>INT((C2593-Нед_Начало)/7)+1</f>
        <v/>
      </c>
      <c r="G2593">
        <f>IF(E2593=0,0,INDEX('Планы менеджеров'!$B$5:$M$16,B2593,D2593)/INDEX(Мес_Раб,D2593))</f>
        <v/>
      </c>
    </row>
    <row r="2594">
      <c r="A2594" t="inlineStr">
        <is>
          <t>Волков</t>
        </is>
      </c>
      <c r="B2594" t="n">
        <v>11</v>
      </c>
      <c r="C2594" s="18">
        <f>'Календарь'!A365</f>
        <v/>
      </c>
      <c r="D2594">
        <f>MONTH(C2594)</f>
        <v/>
      </c>
      <c r="E2594">
        <f>'Календарь'!D365</f>
        <v/>
      </c>
      <c r="F2594">
        <f>INT((C2594-Нед_Начало)/7)+1</f>
        <v/>
      </c>
      <c r="G2594">
        <f>IF(E2594=0,0,INDEX('Планы менеджеров'!$B$5:$M$16,B2594,D2594)/INDEX(Мес_Раб,D2594))</f>
        <v/>
      </c>
    </row>
    <row r="2595">
      <c r="A2595" t="inlineStr">
        <is>
          <t>Волков</t>
        </is>
      </c>
      <c r="B2595" t="n">
        <v>11</v>
      </c>
      <c r="C2595" s="18">
        <f>'Календарь'!A366</f>
        <v/>
      </c>
      <c r="D2595">
        <f>MONTH(C2595)</f>
        <v/>
      </c>
      <c r="E2595">
        <f>'Календарь'!D366</f>
        <v/>
      </c>
      <c r="F2595">
        <f>INT((C2595-Нед_Начало)/7)+1</f>
        <v/>
      </c>
      <c r="G2595">
        <f>IF(E2595=0,0,INDEX('Планы менеджеров'!$B$5:$M$16,B2595,D2595)/INDEX(Мес_Раб,D2595))</f>
        <v/>
      </c>
    </row>
    <row r="2596">
      <c r="A2596" t="inlineStr">
        <is>
          <t>Волков</t>
        </is>
      </c>
      <c r="B2596" t="n">
        <v>11</v>
      </c>
      <c r="C2596" s="18">
        <f>'Календарь'!A367</f>
        <v/>
      </c>
      <c r="D2596">
        <f>MONTH(C2596)</f>
        <v/>
      </c>
      <c r="E2596">
        <f>'Календарь'!D367</f>
        <v/>
      </c>
      <c r="F2596">
        <f>INT((C2596-Нед_Начало)/7)+1</f>
        <v/>
      </c>
      <c r="G2596">
        <f>IF(E2596=0,0,INDEX('Планы менеджеров'!$B$5:$M$16,B2596,D2596)/INDEX(Мес_Раб,D2596))</f>
        <v/>
      </c>
    </row>
    <row r="2597">
      <c r="A2597" t="inlineStr">
        <is>
          <t>Волков</t>
        </is>
      </c>
      <c r="B2597" t="n">
        <v>11</v>
      </c>
      <c r="C2597" s="18">
        <f>'Календарь'!A368</f>
        <v/>
      </c>
      <c r="D2597">
        <f>MONTH(C2597)</f>
        <v/>
      </c>
      <c r="E2597">
        <f>'Календарь'!D368</f>
        <v/>
      </c>
      <c r="F2597">
        <f>INT((C2597-Нед_Начало)/7)+1</f>
        <v/>
      </c>
      <c r="G2597">
        <f>IF(E2597=0,0,INDEX('Планы менеджеров'!$B$5:$M$16,B2597,D2597)/INDEX(Мес_Раб,D2597))</f>
        <v/>
      </c>
    </row>
    <row r="2598">
      <c r="A2598" t="inlineStr">
        <is>
          <t>Волков</t>
        </is>
      </c>
      <c r="B2598" t="n">
        <v>11</v>
      </c>
      <c r="C2598" s="18">
        <f>'Календарь'!A369</f>
        <v/>
      </c>
      <c r="D2598">
        <f>MONTH(C2598)</f>
        <v/>
      </c>
      <c r="E2598">
        <f>'Календарь'!D369</f>
        <v/>
      </c>
      <c r="F2598">
        <f>INT((C2598-Нед_Начало)/7)+1</f>
        <v/>
      </c>
      <c r="G2598">
        <f>IF(E2598=0,0,INDEX('Планы менеджеров'!$B$5:$M$16,B2598,D2598)/INDEX(Мес_Раб,D2598))</f>
        <v/>
      </c>
    </row>
    <row r="2599">
      <c r="A2599" t="inlineStr">
        <is>
          <t>Волков</t>
        </is>
      </c>
      <c r="B2599" t="n">
        <v>11</v>
      </c>
      <c r="C2599" s="18">
        <f>'Календарь'!A370</f>
        <v/>
      </c>
      <c r="D2599">
        <f>MONTH(C2599)</f>
        <v/>
      </c>
      <c r="E2599">
        <f>'Календарь'!D370</f>
        <v/>
      </c>
      <c r="F2599">
        <f>INT((C2599-Нед_Начало)/7)+1</f>
        <v/>
      </c>
      <c r="G2599">
        <f>IF(E2599=0,0,INDEX('Планы менеджеров'!$B$5:$M$16,B2599,D2599)/INDEX(Мес_Раб,D2599))</f>
        <v/>
      </c>
    </row>
    <row r="2600">
      <c r="A2600" t="inlineStr">
        <is>
          <t>Волков</t>
        </is>
      </c>
      <c r="B2600" t="n">
        <v>11</v>
      </c>
      <c r="C2600" s="18">
        <f>'Календарь'!A371</f>
        <v/>
      </c>
      <c r="D2600">
        <f>MONTH(C2600)</f>
        <v/>
      </c>
      <c r="E2600">
        <f>'Календарь'!D371</f>
        <v/>
      </c>
      <c r="F2600">
        <f>INT((C2600-Нед_Начало)/7)+1</f>
        <v/>
      </c>
      <c r="G2600">
        <f>IF(E2600=0,0,INDEX('Планы менеджеров'!$B$5:$M$16,B2600,D2600)/INDEX(Мес_Раб,D2600))</f>
        <v/>
      </c>
    </row>
    <row r="2601">
      <c r="A2601" t="inlineStr">
        <is>
          <t>Волков</t>
        </is>
      </c>
      <c r="B2601" t="n">
        <v>11</v>
      </c>
      <c r="C2601" s="18">
        <f>'Календарь'!A372</f>
        <v/>
      </c>
      <c r="D2601">
        <f>MONTH(C2601)</f>
        <v/>
      </c>
      <c r="E2601">
        <f>'Календарь'!D372</f>
        <v/>
      </c>
      <c r="F2601">
        <f>INT((C2601-Нед_Начало)/7)+1</f>
        <v/>
      </c>
      <c r="G2601">
        <f>IF(E2601=0,0,INDEX('Планы менеджеров'!$B$5:$M$16,B2601,D2601)/INDEX(Мес_Раб,D2601))</f>
        <v/>
      </c>
    </row>
    <row r="2602">
      <c r="A2602" t="inlineStr">
        <is>
          <t>Алексеева</t>
        </is>
      </c>
      <c r="B2602" t="n">
        <v>12</v>
      </c>
      <c r="C2602" s="18">
        <f>'Календарь'!A2</f>
        <v/>
      </c>
      <c r="D2602">
        <f>MONTH(C2602)</f>
        <v/>
      </c>
      <c r="E2602">
        <f>'Календарь'!D2</f>
        <v/>
      </c>
      <c r="F2602">
        <f>INT((C2602-Нед_Начало)/7)+1</f>
        <v/>
      </c>
      <c r="G2602">
        <f>IF(E2602=0,0,INDEX('Планы менеджеров'!$B$5:$M$16,B2602,D2602)/INDEX(Мес_Раб,D2602))</f>
        <v/>
      </c>
    </row>
    <row r="2603">
      <c r="A2603" t="inlineStr">
        <is>
          <t>Алексеева</t>
        </is>
      </c>
      <c r="B2603" t="n">
        <v>12</v>
      </c>
      <c r="C2603" s="18">
        <f>'Календарь'!A3</f>
        <v/>
      </c>
      <c r="D2603">
        <f>MONTH(C2603)</f>
        <v/>
      </c>
      <c r="E2603">
        <f>'Календарь'!D3</f>
        <v/>
      </c>
      <c r="F2603">
        <f>INT((C2603-Нед_Начало)/7)+1</f>
        <v/>
      </c>
      <c r="G2603">
        <f>IF(E2603=0,0,INDEX('Планы менеджеров'!$B$5:$M$16,B2603,D2603)/INDEX(Мес_Раб,D2603))</f>
        <v/>
      </c>
    </row>
    <row r="2604">
      <c r="A2604" t="inlineStr">
        <is>
          <t>Алексеева</t>
        </is>
      </c>
      <c r="B2604" t="n">
        <v>12</v>
      </c>
      <c r="C2604" s="18">
        <f>'Календарь'!A4</f>
        <v/>
      </c>
      <c r="D2604">
        <f>MONTH(C2604)</f>
        <v/>
      </c>
      <c r="E2604">
        <f>'Календарь'!D4</f>
        <v/>
      </c>
      <c r="F2604">
        <f>INT((C2604-Нед_Начало)/7)+1</f>
        <v/>
      </c>
      <c r="G2604">
        <f>IF(E2604=0,0,INDEX('Планы менеджеров'!$B$5:$M$16,B2604,D2604)/INDEX(Мес_Раб,D2604))</f>
        <v/>
      </c>
    </row>
    <row r="2605">
      <c r="A2605" t="inlineStr">
        <is>
          <t>Алексеева</t>
        </is>
      </c>
      <c r="B2605" t="n">
        <v>12</v>
      </c>
      <c r="C2605" s="18">
        <f>'Календарь'!A5</f>
        <v/>
      </c>
      <c r="D2605">
        <f>MONTH(C2605)</f>
        <v/>
      </c>
      <c r="E2605">
        <f>'Календарь'!D5</f>
        <v/>
      </c>
      <c r="F2605">
        <f>INT((C2605-Нед_Начало)/7)+1</f>
        <v/>
      </c>
      <c r="G2605">
        <f>IF(E2605=0,0,INDEX('Планы менеджеров'!$B$5:$M$16,B2605,D2605)/INDEX(Мес_Раб,D2605))</f>
        <v/>
      </c>
    </row>
    <row r="2606">
      <c r="A2606" t="inlineStr">
        <is>
          <t>Алексеева</t>
        </is>
      </c>
      <c r="B2606" t="n">
        <v>12</v>
      </c>
      <c r="C2606" s="18">
        <f>'Календарь'!A6</f>
        <v/>
      </c>
      <c r="D2606">
        <f>MONTH(C2606)</f>
        <v/>
      </c>
      <c r="E2606">
        <f>'Календарь'!D6</f>
        <v/>
      </c>
      <c r="F2606">
        <f>INT((C2606-Нед_Начало)/7)+1</f>
        <v/>
      </c>
      <c r="G2606">
        <f>IF(E2606=0,0,INDEX('Планы менеджеров'!$B$5:$M$16,B2606,D2606)/INDEX(Мес_Раб,D2606))</f>
        <v/>
      </c>
    </row>
    <row r="2607">
      <c r="A2607" t="inlineStr">
        <is>
          <t>Алексеева</t>
        </is>
      </c>
      <c r="B2607" t="n">
        <v>12</v>
      </c>
      <c r="C2607" s="18">
        <f>'Календарь'!A7</f>
        <v/>
      </c>
      <c r="D2607">
        <f>MONTH(C2607)</f>
        <v/>
      </c>
      <c r="E2607">
        <f>'Календарь'!D7</f>
        <v/>
      </c>
      <c r="F2607">
        <f>INT((C2607-Нед_Начало)/7)+1</f>
        <v/>
      </c>
      <c r="G2607">
        <f>IF(E2607=0,0,INDEX('Планы менеджеров'!$B$5:$M$16,B2607,D2607)/INDEX(Мес_Раб,D2607))</f>
        <v/>
      </c>
    </row>
    <row r="2608">
      <c r="A2608" t="inlineStr">
        <is>
          <t>Алексеева</t>
        </is>
      </c>
      <c r="B2608" t="n">
        <v>12</v>
      </c>
      <c r="C2608" s="18">
        <f>'Календарь'!A8</f>
        <v/>
      </c>
      <c r="D2608">
        <f>MONTH(C2608)</f>
        <v/>
      </c>
      <c r="E2608">
        <f>'Календарь'!D8</f>
        <v/>
      </c>
      <c r="F2608">
        <f>INT((C2608-Нед_Начало)/7)+1</f>
        <v/>
      </c>
      <c r="G2608">
        <f>IF(E2608=0,0,INDEX('Планы менеджеров'!$B$5:$M$16,B2608,D2608)/INDEX(Мес_Раб,D2608))</f>
        <v/>
      </c>
    </row>
    <row r="2609">
      <c r="A2609" t="inlineStr">
        <is>
          <t>Алексеева</t>
        </is>
      </c>
      <c r="B2609" t="n">
        <v>12</v>
      </c>
      <c r="C2609" s="18">
        <f>'Календарь'!A9</f>
        <v/>
      </c>
      <c r="D2609">
        <f>MONTH(C2609)</f>
        <v/>
      </c>
      <c r="E2609">
        <f>'Календарь'!D9</f>
        <v/>
      </c>
      <c r="F2609">
        <f>INT((C2609-Нед_Начало)/7)+1</f>
        <v/>
      </c>
      <c r="G2609">
        <f>IF(E2609=0,0,INDEX('Планы менеджеров'!$B$5:$M$16,B2609,D2609)/INDEX(Мес_Раб,D2609))</f>
        <v/>
      </c>
    </row>
    <row r="2610">
      <c r="A2610" t="inlineStr">
        <is>
          <t>Алексеева</t>
        </is>
      </c>
      <c r="B2610" t="n">
        <v>12</v>
      </c>
      <c r="C2610" s="18">
        <f>'Календарь'!A10</f>
        <v/>
      </c>
      <c r="D2610">
        <f>MONTH(C2610)</f>
        <v/>
      </c>
      <c r="E2610">
        <f>'Календарь'!D10</f>
        <v/>
      </c>
      <c r="F2610">
        <f>INT((C2610-Нед_Начало)/7)+1</f>
        <v/>
      </c>
      <c r="G2610">
        <f>IF(E2610=0,0,INDEX('Планы менеджеров'!$B$5:$M$16,B2610,D2610)/INDEX(Мес_Раб,D2610))</f>
        <v/>
      </c>
    </row>
    <row r="2611">
      <c r="A2611" t="inlineStr">
        <is>
          <t>Алексеева</t>
        </is>
      </c>
      <c r="B2611" t="n">
        <v>12</v>
      </c>
      <c r="C2611" s="18">
        <f>'Календарь'!A11</f>
        <v/>
      </c>
      <c r="D2611">
        <f>MONTH(C2611)</f>
        <v/>
      </c>
      <c r="E2611">
        <f>'Календарь'!D11</f>
        <v/>
      </c>
      <c r="F2611">
        <f>INT((C2611-Нед_Начало)/7)+1</f>
        <v/>
      </c>
      <c r="G2611">
        <f>IF(E2611=0,0,INDEX('Планы менеджеров'!$B$5:$M$16,B2611,D2611)/INDEX(Мес_Раб,D2611))</f>
        <v/>
      </c>
    </row>
    <row r="2612">
      <c r="A2612" t="inlineStr">
        <is>
          <t>Алексеева</t>
        </is>
      </c>
      <c r="B2612" t="n">
        <v>12</v>
      </c>
      <c r="C2612" s="18">
        <f>'Календарь'!A12</f>
        <v/>
      </c>
      <c r="D2612">
        <f>MONTH(C2612)</f>
        <v/>
      </c>
      <c r="E2612">
        <f>'Календарь'!D12</f>
        <v/>
      </c>
      <c r="F2612">
        <f>INT((C2612-Нед_Начало)/7)+1</f>
        <v/>
      </c>
      <c r="G2612">
        <f>IF(E2612=0,0,INDEX('Планы менеджеров'!$B$5:$M$16,B2612,D2612)/INDEX(Мес_Раб,D2612))</f>
        <v/>
      </c>
    </row>
    <row r="2613">
      <c r="A2613" t="inlineStr">
        <is>
          <t>Алексеева</t>
        </is>
      </c>
      <c r="B2613" t="n">
        <v>12</v>
      </c>
      <c r="C2613" s="18">
        <f>'Календарь'!A13</f>
        <v/>
      </c>
      <c r="D2613">
        <f>MONTH(C2613)</f>
        <v/>
      </c>
      <c r="E2613">
        <f>'Календарь'!D13</f>
        <v/>
      </c>
      <c r="F2613">
        <f>INT((C2613-Нед_Начало)/7)+1</f>
        <v/>
      </c>
      <c r="G2613">
        <f>IF(E2613=0,0,INDEX('Планы менеджеров'!$B$5:$M$16,B2613,D2613)/INDEX(Мес_Раб,D2613))</f>
        <v/>
      </c>
    </row>
    <row r="2614">
      <c r="A2614" t="inlineStr">
        <is>
          <t>Алексеева</t>
        </is>
      </c>
      <c r="B2614" t="n">
        <v>12</v>
      </c>
      <c r="C2614" s="18">
        <f>'Календарь'!A14</f>
        <v/>
      </c>
      <c r="D2614">
        <f>MONTH(C2614)</f>
        <v/>
      </c>
      <c r="E2614">
        <f>'Календарь'!D14</f>
        <v/>
      </c>
      <c r="F2614">
        <f>INT((C2614-Нед_Начало)/7)+1</f>
        <v/>
      </c>
      <c r="G2614">
        <f>IF(E2614=0,0,INDEX('Планы менеджеров'!$B$5:$M$16,B2614,D2614)/INDEX(Мес_Раб,D2614))</f>
        <v/>
      </c>
    </row>
    <row r="2615">
      <c r="A2615" t="inlineStr">
        <is>
          <t>Алексеева</t>
        </is>
      </c>
      <c r="B2615" t="n">
        <v>12</v>
      </c>
      <c r="C2615" s="18">
        <f>'Календарь'!A15</f>
        <v/>
      </c>
      <c r="D2615">
        <f>MONTH(C2615)</f>
        <v/>
      </c>
      <c r="E2615">
        <f>'Календарь'!D15</f>
        <v/>
      </c>
      <c r="F2615">
        <f>INT((C2615-Нед_Начало)/7)+1</f>
        <v/>
      </c>
      <c r="G2615">
        <f>IF(E2615=0,0,INDEX('Планы менеджеров'!$B$5:$M$16,B2615,D2615)/INDEX(Мес_Раб,D2615))</f>
        <v/>
      </c>
    </row>
    <row r="2616">
      <c r="A2616" t="inlineStr">
        <is>
          <t>Алексеева</t>
        </is>
      </c>
      <c r="B2616" t="n">
        <v>12</v>
      </c>
      <c r="C2616" s="18">
        <f>'Календарь'!A16</f>
        <v/>
      </c>
      <c r="D2616">
        <f>MONTH(C2616)</f>
        <v/>
      </c>
      <c r="E2616">
        <f>'Календарь'!D16</f>
        <v/>
      </c>
      <c r="F2616">
        <f>INT((C2616-Нед_Начало)/7)+1</f>
        <v/>
      </c>
      <c r="G2616">
        <f>IF(E2616=0,0,INDEX('Планы менеджеров'!$B$5:$M$16,B2616,D2616)/INDEX(Мес_Раб,D2616))</f>
        <v/>
      </c>
    </row>
    <row r="2617">
      <c r="A2617" t="inlineStr">
        <is>
          <t>Алексеева</t>
        </is>
      </c>
      <c r="B2617" t="n">
        <v>12</v>
      </c>
      <c r="C2617" s="18">
        <f>'Календарь'!A17</f>
        <v/>
      </c>
      <c r="D2617">
        <f>MONTH(C2617)</f>
        <v/>
      </c>
      <c r="E2617">
        <f>'Календарь'!D17</f>
        <v/>
      </c>
      <c r="F2617">
        <f>INT((C2617-Нед_Начало)/7)+1</f>
        <v/>
      </c>
      <c r="G2617">
        <f>IF(E2617=0,0,INDEX('Планы менеджеров'!$B$5:$M$16,B2617,D2617)/INDEX(Мес_Раб,D2617))</f>
        <v/>
      </c>
    </row>
    <row r="2618">
      <c r="A2618" t="inlineStr">
        <is>
          <t>Алексеева</t>
        </is>
      </c>
      <c r="B2618" t="n">
        <v>12</v>
      </c>
      <c r="C2618" s="18">
        <f>'Календарь'!A18</f>
        <v/>
      </c>
      <c r="D2618">
        <f>MONTH(C2618)</f>
        <v/>
      </c>
      <c r="E2618">
        <f>'Календарь'!D18</f>
        <v/>
      </c>
      <c r="F2618">
        <f>INT((C2618-Нед_Начало)/7)+1</f>
        <v/>
      </c>
      <c r="G2618">
        <f>IF(E2618=0,0,INDEX('Планы менеджеров'!$B$5:$M$16,B2618,D2618)/INDEX(Мес_Раб,D2618))</f>
        <v/>
      </c>
    </row>
    <row r="2619">
      <c r="A2619" t="inlineStr">
        <is>
          <t>Алексеева</t>
        </is>
      </c>
      <c r="B2619" t="n">
        <v>12</v>
      </c>
      <c r="C2619" s="18">
        <f>'Календарь'!A19</f>
        <v/>
      </c>
      <c r="D2619">
        <f>MONTH(C2619)</f>
        <v/>
      </c>
      <c r="E2619">
        <f>'Календарь'!D19</f>
        <v/>
      </c>
      <c r="F2619">
        <f>INT((C2619-Нед_Начало)/7)+1</f>
        <v/>
      </c>
      <c r="G2619">
        <f>IF(E2619=0,0,INDEX('Планы менеджеров'!$B$5:$M$16,B2619,D2619)/INDEX(Мес_Раб,D2619))</f>
        <v/>
      </c>
    </row>
    <row r="2620">
      <c r="A2620" t="inlineStr">
        <is>
          <t>Алексеева</t>
        </is>
      </c>
      <c r="B2620" t="n">
        <v>12</v>
      </c>
      <c r="C2620" s="18">
        <f>'Календарь'!A20</f>
        <v/>
      </c>
      <c r="D2620">
        <f>MONTH(C2620)</f>
        <v/>
      </c>
      <c r="E2620">
        <f>'Календарь'!D20</f>
        <v/>
      </c>
      <c r="F2620">
        <f>INT((C2620-Нед_Начало)/7)+1</f>
        <v/>
      </c>
      <c r="G2620">
        <f>IF(E2620=0,0,INDEX('Планы менеджеров'!$B$5:$M$16,B2620,D2620)/INDEX(Мес_Раб,D2620))</f>
        <v/>
      </c>
    </row>
    <row r="2621">
      <c r="A2621" t="inlineStr">
        <is>
          <t>Алексеева</t>
        </is>
      </c>
      <c r="B2621" t="n">
        <v>12</v>
      </c>
      <c r="C2621" s="18">
        <f>'Календарь'!A21</f>
        <v/>
      </c>
      <c r="D2621">
        <f>MONTH(C2621)</f>
        <v/>
      </c>
      <c r="E2621">
        <f>'Календарь'!D21</f>
        <v/>
      </c>
      <c r="F2621">
        <f>INT((C2621-Нед_Начало)/7)+1</f>
        <v/>
      </c>
      <c r="G2621">
        <f>IF(E2621=0,0,INDEX('Планы менеджеров'!$B$5:$M$16,B2621,D2621)/INDEX(Мес_Раб,D2621))</f>
        <v/>
      </c>
    </row>
    <row r="2622">
      <c r="A2622" t="inlineStr">
        <is>
          <t>Алексеева</t>
        </is>
      </c>
      <c r="B2622" t="n">
        <v>12</v>
      </c>
      <c r="C2622" s="18">
        <f>'Календарь'!A22</f>
        <v/>
      </c>
      <c r="D2622">
        <f>MONTH(C2622)</f>
        <v/>
      </c>
      <c r="E2622">
        <f>'Календарь'!D22</f>
        <v/>
      </c>
      <c r="F2622">
        <f>INT((C2622-Нед_Начало)/7)+1</f>
        <v/>
      </c>
      <c r="G2622">
        <f>IF(E2622=0,0,INDEX('Планы менеджеров'!$B$5:$M$16,B2622,D2622)/INDEX(Мес_Раб,D2622))</f>
        <v/>
      </c>
    </row>
    <row r="2623">
      <c r="A2623" t="inlineStr">
        <is>
          <t>Алексеева</t>
        </is>
      </c>
      <c r="B2623" t="n">
        <v>12</v>
      </c>
      <c r="C2623" s="18">
        <f>'Календарь'!A23</f>
        <v/>
      </c>
      <c r="D2623">
        <f>MONTH(C2623)</f>
        <v/>
      </c>
      <c r="E2623">
        <f>'Календарь'!D23</f>
        <v/>
      </c>
      <c r="F2623">
        <f>INT((C2623-Нед_Начало)/7)+1</f>
        <v/>
      </c>
      <c r="G2623">
        <f>IF(E2623=0,0,INDEX('Планы менеджеров'!$B$5:$M$16,B2623,D2623)/INDEX(Мес_Раб,D2623))</f>
        <v/>
      </c>
    </row>
    <row r="2624">
      <c r="A2624" t="inlineStr">
        <is>
          <t>Алексеева</t>
        </is>
      </c>
      <c r="B2624" t="n">
        <v>12</v>
      </c>
      <c r="C2624" s="18">
        <f>'Календарь'!A24</f>
        <v/>
      </c>
      <c r="D2624">
        <f>MONTH(C2624)</f>
        <v/>
      </c>
      <c r="E2624">
        <f>'Календарь'!D24</f>
        <v/>
      </c>
      <c r="F2624">
        <f>INT((C2624-Нед_Начало)/7)+1</f>
        <v/>
      </c>
      <c r="G2624">
        <f>IF(E2624=0,0,INDEX('Планы менеджеров'!$B$5:$M$16,B2624,D2624)/INDEX(Мес_Раб,D2624))</f>
        <v/>
      </c>
    </row>
    <row r="2625">
      <c r="A2625" t="inlineStr">
        <is>
          <t>Алексеева</t>
        </is>
      </c>
      <c r="B2625" t="n">
        <v>12</v>
      </c>
      <c r="C2625" s="18">
        <f>'Календарь'!A25</f>
        <v/>
      </c>
      <c r="D2625">
        <f>MONTH(C2625)</f>
        <v/>
      </c>
      <c r="E2625">
        <f>'Календарь'!D25</f>
        <v/>
      </c>
      <c r="F2625">
        <f>INT((C2625-Нед_Начало)/7)+1</f>
        <v/>
      </c>
      <c r="G2625">
        <f>IF(E2625=0,0,INDEX('Планы менеджеров'!$B$5:$M$16,B2625,D2625)/INDEX(Мес_Раб,D2625))</f>
        <v/>
      </c>
    </row>
    <row r="2626">
      <c r="A2626" t="inlineStr">
        <is>
          <t>Алексеева</t>
        </is>
      </c>
      <c r="B2626" t="n">
        <v>12</v>
      </c>
      <c r="C2626" s="18">
        <f>'Календарь'!A26</f>
        <v/>
      </c>
      <c r="D2626">
        <f>MONTH(C2626)</f>
        <v/>
      </c>
      <c r="E2626">
        <f>'Календарь'!D26</f>
        <v/>
      </c>
      <c r="F2626">
        <f>INT((C2626-Нед_Начало)/7)+1</f>
        <v/>
      </c>
      <c r="G2626">
        <f>IF(E2626=0,0,INDEX('Планы менеджеров'!$B$5:$M$16,B2626,D2626)/INDEX(Мес_Раб,D2626))</f>
        <v/>
      </c>
    </row>
    <row r="2627">
      <c r="A2627" t="inlineStr">
        <is>
          <t>Алексеева</t>
        </is>
      </c>
      <c r="B2627" t="n">
        <v>12</v>
      </c>
      <c r="C2627" s="18">
        <f>'Календарь'!A27</f>
        <v/>
      </c>
      <c r="D2627">
        <f>MONTH(C2627)</f>
        <v/>
      </c>
      <c r="E2627">
        <f>'Календарь'!D27</f>
        <v/>
      </c>
      <c r="F2627">
        <f>INT((C2627-Нед_Начало)/7)+1</f>
        <v/>
      </c>
      <c r="G2627">
        <f>IF(E2627=0,0,INDEX('Планы менеджеров'!$B$5:$M$16,B2627,D2627)/INDEX(Мес_Раб,D2627))</f>
        <v/>
      </c>
    </row>
    <row r="2628">
      <c r="A2628" t="inlineStr">
        <is>
          <t>Алексеева</t>
        </is>
      </c>
      <c r="B2628" t="n">
        <v>12</v>
      </c>
      <c r="C2628" s="18">
        <f>'Календарь'!A28</f>
        <v/>
      </c>
      <c r="D2628">
        <f>MONTH(C2628)</f>
        <v/>
      </c>
      <c r="E2628">
        <f>'Календарь'!D28</f>
        <v/>
      </c>
      <c r="F2628">
        <f>INT((C2628-Нед_Начало)/7)+1</f>
        <v/>
      </c>
      <c r="G2628">
        <f>IF(E2628=0,0,INDEX('Планы менеджеров'!$B$5:$M$16,B2628,D2628)/INDEX(Мес_Раб,D2628))</f>
        <v/>
      </c>
    </row>
    <row r="2629">
      <c r="A2629" t="inlineStr">
        <is>
          <t>Алексеева</t>
        </is>
      </c>
      <c r="B2629" t="n">
        <v>12</v>
      </c>
      <c r="C2629" s="18">
        <f>'Календарь'!A29</f>
        <v/>
      </c>
      <c r="D2629">
        <f>MONTH(C2629)</f>
        <v/>
      </c>
      <c r="E2629">
        <f>'Календарь'!D29</f>
        <v/>
      </c>
      <c r="F2629">
        <f>INT((C2629-Нед_Начало)/7)+1</f>
        <v/>
      </c>
      <c r="G2629">
        <f>IF(E2629=0,0,INDEX('Планы менеджеров'!$B$5:$M$16,B2629,D2629)/INDEX(Мес_Раб,D2629))</f>
        <v/>
      </c>
    </row>
    <row r="2630">
      <c r="A2630" t="inlineStr">
        <is>
          <t>Алексеева</t>
        </is>
      </c>
      <c r="B2630" t="n">
        <v>12</v>
      </c>
      <c r="C2630" s="18">
        <f>'Календарь'!A30</f>
        <v/>
      </c>
      <c r="D2630">
        <f>MONTH(C2630)</f>
        <v/>
      </c>
      <c r="E2630">
        <f>'Календарь'!D30</f>
        <v/>
      </c>
      <c r="F2630">
        <f>INT((C2630-Нед_Начало)/7)+1</f>
        <v/>
      </c>
      <c r="G2630">
        <f>IF(E2630=0,0,INDEX('Планы менеджеров'!$B$5:$M$16,B2630,D2630)/INDEX(Мес_Раб,D2630))</f>
        <v/>
      </c>
    </row>
    <row r="2631">
      <c r="A2631" t="inlineStr">
        <is>
          <t>Алексеева</t>
        </is>
      </c>
      <c r="B2631" t="n">
        <v>12</v>
      </c>
      <c r="C2631" s="18">
        <f>'Календарь'!A31</f>
        <v/>
      </c>
      <c r="D2631">
        <f>MONTH(C2631)</f>
        <v/>
      </c>
      <c r="E2631">
        <f>'Календарь'!D31</f>
        <v/>
      </c>
      <c r="F2631">
        <f>INT((C2631-Нед_Начало)/7)+1</f>
        <v/>
      </c>
      <c r="G2631">
        <f>IF(E2631=0,0,INDEX('Планы менеджеров'!$B$5:$M$16,B2631,D2631)/INDEX(Мес_Раб,D2631))</f>
        <v/>
      </c>
    </row>
    <row r="2632">
      <c r="A2632" t="inlineStr">
        <is>
          <t>Алексеева</t>
        </is>
      </c>
      <c r="B2632" t="n">
        <v>12</v>
      </c>
      <c r="C2632" s="18">
        <f>'Календарь'!A32</f>
        <v/>
      </c>
      <c r="D2632">
        <f>MONTH(C2632)</f>
        <v/>
      </c>
      <c r="E2632">
        <f>'Календарь'!D32</f>
        <v/>
      </c>
      <c r="F2632">
        <f>INT((C2632-Нед_Начало)/7)+1</f>
        <v/>
      </c>
      <c r="G2632">
        <f>IF(E2632=0,0,INDEX('Планы менеджеров'!$B$5:$M$16,B2632,D2632)/INDEX(Мес_Раб,D2632))</f>
        <v/>
      </c>
    </row>
    <row r="2633">
      <c r="A2633" t="inlineStr">
        <is>
          <t>Алексеева</t>
        </is>
      </c>
      <c r="B2633" t="n">
        <v>12</v>
      </c>
      <c r="C2633" s="18">
        <f>'Календарь'!A33</f>
        <v/>
      </c>
      <c r="D2633">
        <f>MONTH(C2633)</f>
        <v/>
      </c>
      <c r="E2633">
        <f>'Календарь'!D33</f>
        <v/>
      </c>
      <c r="F2633">
        <f>INT((C2633-Нед_Начало)/7)+1</f>
        <v/>
      </c>
      <c r="G2633">
        <f>IF(E2633=0,0,INDEX('Планы менеджеров'!$B$5:$M$16,B2633,D2633)/INDEX(Мес_Раб,D2633))</f>
        <v/>
      </c>
    </row>
    <row r="2634">
      <c r="A2634" t="inlineStr">
        <is>
          <t>Алексеева</t>
        </is>
      </c>
      <c r="B2634" t="n">
        <v>12</v>
      </c>
      <c r="C2634" s="18">
        <f>'Календарь'!A34</f>
        <v/>
      </c>
      <c r="D2634">
        <f>MONTH(C2634)</f>
        <v/>
      </c>
      <c r="E2634">
        <f>'Календарь'!D34</f>
        <v/>
      </c>
      <c r="F2634">
        <f>INT((C2634-Нед_Начало)/7)+1</f>
        <v/>
      </c>
      <c r="G2634">
        <f>IF(E2634=0,0,INDEX('Планы менеджеров'!$B$5:$M$16,B2634,D2634)/INDEX(Мес_Раб,D2634))</f>
        <v/>
      </c>
    </row>
    <row r="2635">
      <c r="A2635" t="inlineStr">
        <is>
          <t>Алексеева</t>
        </is>
      </c>
      <c r="B2635" t="n">
        <v>12</v>
      </c>
      <c r="C2635" s="18">
        <f>'Календарь'!A35</f>
        <v/>
      </c>
      <c r="D2635">
        <f>MONTH(C2635)</f>
        <v/>
      </c>
      <c r="E2635">
        <f>'Календарь'!D35</f>
        <v/>
      </c>
      <c r="F2635">
        <f>INT((C2635-Нед_Начало)/7)+1</f>
        <v/>
      </c>
      <c r="G2635">
        <f>IF(E2635=0,0,INDEX('Планы менеджеров'!$B$5:$M$16,B2635,D2635)/INDEX(Мес_Раб,D2635))</f>
        <v/>
      </c>
    </row>
    <row r="2636">
      <c r="A2636" t="inlineStr">
        <is>
          <t>Алексеева</t>
        </is>
      </c>
      <c r="B2636" t="n">
        <v>12</v>
      </c>
      <c r="C2636" s="18">
        <f>'Календарь'!A36</f>
        <v/>
      </c>
      <c r="D2636">
        <f>MONTH(C2636)</f>
        <v/>
      </c>
      <c r="E2636">
        <f>'Календарь'!D36</f>
        <v/>
      </c>
      <c r="F2636">
        <f>INT((C2636-Нед_Начало)/7)+1</f>
        <v/>
      </c>
      <c r="G2636">
        <f>IF(E2636=0,0,INDEX('Планы менеджеров'!$B$5:$M$16,B2636,D2636)/INDEX(Мес_Раб,D2636))</f>
        <v/>
      </c>
    </row>
    <row r="2637">
      <c r="A2637" t="inlineStr">
        <is>
          <t>Алексеева</t>
        </is>
      </c>
      <c r="B2637" t="n">
        <v>12</v>
      </c>
      <c r="C2637" s="18">
        <f>'Календарь'!A37</f>
        <v/>
      </c>
      <c r="D2637">
        <f>MONTH(C2637)</f>
        <v/>
      </c>
      <c r="E2637">
        <f>'Календарь'!D37</f>
        <v/>
      </c>
      <c r="F2637">
        <f>INT((C2637-Нед_Начало)/7)+1</f>
        <v/>
      </c>
      <c r="G2637">
        <f>IF(E2637=0,0,INDEX('Планы менеджеров'!$B$5:$M$16,B2637,D2637)/INDEX(Мес_Раб,D2637))</f>
        <v/>
      </c>
    </row>
    <row r="2638">
      <c r="A2638" t="inlineStr">
        <is>
          <t>Алексеева</t>
        </is>
      </c>
      <c r="B2638" t="n">
        <v>12</v>
      </c>
      <c r="C2638" s="18">
        <f>'Календарь'!A38</f>
        <v/>
      </c>
      <c r="D2638">
        <f>MONTH(C2638)</f>
        <v/>
      </c>
      <c r="E2638">
        <f>'Календарь'!D38</f>
        <v/>
      </c>
      <c r="F2638">
        <f>INT((C2638-Нед_Начало)/7)+1</f>
        <v/>
      </c>
      <c r="G2638">
        <f>IF(E2638=0,0,INDEX('Планы менеджеров'!$B$5:$M$16,B2638,D2638)/INDEX(Мес_Раб,D2638))</f>
        <v/>
      </c>
    </row>
    <row r="2639">
      <c r="A2639" t="inlineStr">
        <is>
          <t>Алексеева</t>
        </is>
      </c>
      <c r="B2639" t="n">
        <v>12</v>
      </c>
      <c r="C2639" s="18">
        <f>'Календарь'!A39</f>
        <v/>
      </c>
      <c r="D2639">
        <f>MONTH(C2639)</f>
        <v/>
      </c>
      <c r="E2639">
        <f>'Календарь'!D39</f>
        <v/>
      </c>
      <c r="F2639">
        <f>INT((C2639-Нед_Начало)/7)+1</f>
        <v/>
      </c>
      <c r="G2639">
        <f>IF(E2639=0,0,INDEX('Планы менеджеров'!$B$5:$M$16,B2639,D2639)/INDEX(Мес_Раб,D2639))</f>
        <v/>
      </c>
    </row>
    <row r="2640">
      <c r="A2640" t="inlineStr">
        <is>
          <t>Алексеева</t>
        </is>
      </c>
      <c r="B2640" t="n">
        <v>12</v>
      </c>
      <c r="C2640" s="18">
        <f>'Календарь'!A40</f>
        <v/>
      </c>
      <c r="D2640">
        <f>MONTH(C2640)</f>
        <v/>
      </c>
      <c r="E2640">
        <f>'Календарь'!D40</f>
        <v/>
      </c>
      <c r="F2640">
        <f>INT((C2640-Нед_Начало)/7)+1</f>
        <v/>
      </c>
      <c r="G2640">
        <f>IF(E2640=0,0,INDEX('Планы менеджеров'!$B$5:$M$16,B2640,D2640)/INDEX(Мес_Раб,D2640))</f>
        <v/>
      </c>
    </row>
    <row r="2641">
      <c r="A2641" t="inlineStr">
        <is>
          <t>Алексеева</t>
        </is>
      </c>
      <c r="B2641" t="n">
        <v>12</v>
      </c>
      <c r="C2641" s="18">
        <f>'Календарь'!A41</f>
        <v/>
      </c>
      <c r="D2641">
        <f>MONTH(C2641)</f>
        <v/>
      </c>
      <c r="E2641">
        <f>'Календарь'!D41</f>
        <v/>
      </c>
      <c r="F2641">
        <f>INT((C2641-Нед_Начало)/7)+1</f>
        <v/>
      </c>
      <c r="G2641">
        <f>IF(E2641=0,0,INDEX('Планы менеджеров'!$B$5:$M$16,B2641,D2641)/INDEX(Мес_Раб,D2641))</f>
        <v/>
      </c>
    </row>
    <row r="2642">
      <c r="A2642" t="inlineStr">
        <is>
          <t>Алексеева</t>
        </is>
      </c>
      <c r="B2642" t="n">
        <v>12</v>
      </c>
      <c r="C2642" s="18">
        <f>'Календарь'!A42</f>
        <v/>
      </c>
      <c r="D2642">
        <f>MONTH(C2642)</f>
        <v/>
      </c>
      <c r="E2642">
        <f>'Календарь'!D42</f>
        <v/>
      </c>
      <c r="F2642">
        <f>INT((C2642-Нед_Начало)/7)+1</f>
        <v/>
      </c>
      <c r="G2642">
        <f>IF(E2642=0,0,INDEX('Планы менеджеров'!$B$5:$M$16,B2642,D2642)/INDEX(Мес_Раб,D2642))</f>
        <v/>
      </c>
    </row>
    <row r="2643">
      <c r="A2643" t="inlineStr">
        <is>
          <t>Алексеева</t>
        </is>
      </c>
      <c r="B2643" t="n">
        <v>12</v>
      </c>
      <c r="C2643" s="18">
        <f>'Календарь'!A43</f>
        <v/>
      </c>
      <c r="D2643">
        <f>MONTH(C2643)</f>
        <v/>
      </c>
      <c r="E2643">
        <f>'Календарь'!D43</f>
        <v/>
      </c>
      <c r="F2643">
        <f>INT((C2643-Нед_Начало)/7)+1</f>
        <v/>
      </c>
      <c r="G2643">
        <f>IF(E2643=0,0,INDEX('Планы менеджеров'!$B$5:$M$16,B2643,D2643)/INDEX(Мес_Раб,D2643))</f>
        <v/>
      </c>
    </row>
    <row r="2644">
      <c r="A2644" t="inlineStr">
        <is>
          <t>Алексеева</t>
        </is>
      </c>
      <c r="B2644" t="n">
        <v>12</v>
      </c>
      <c r="C2644" s="18">
        <f>'Календарь'!A44</f>
        <v/>
      </c>
      <c r="D2644">
        <f>MONTH(C2644)</f>
        <v/>
      </c>
      <c r="E2644">
        <f>'Календарь'!D44</f>
        <v/>
      </c>
      <c r="F2644">
        <f>INT((C2644-Нед_Начало)/7)+1</f>
        <v/>
      </c>
      <c r="G2644">
        <f>IF(E2644=0,0,INDEX('Планы менеджеров'!$B$5:$M$16,B2644,D2644)/INDEX(Мес_Раб,D2644))</f>
        <v/>
      </c>
    </row>
    <row r="2645">
      <c r="A2645" t="inlineStr">
        <is>
          <t>Алексеева</t>
        </is>
      </c>
      <c r="B2645" t="n">
        <v>12</v>
      </c>
      <c r="C2645" s="18">
        <f>'Календарь'!A45</f>
        <v/>
      </c>
      <c r="D2645">
        <f>MONTH(C2645)</f>
        <v/>
      </c>
      <c r="E2645">
        <f>'Календарь'!D45</f>
        <v/>
      </c>
      <c r="F2645">
        <f>INT((C2645-Нед_Начало)/7)+1</f>
        <v/>
      </c>
      <c r="G2645">
        <f>IF(E2645=0,0,INDEX('Планы менеджеров'!$B$5:$M$16,B2645,D2645)/INDEX(Мес_Раб,D2645))</f>
        <v/>
      </c>
    </row>
    <row r="2646">
      <c r="A2646" t="inlineStr">
        <is>
          <t>Алексеева</t>
        </is>
      </c>
      <c r="B2646" t="n">
        <v>12</v>
      </c>
      <c r="C2646" s="18">
        <f>'Календарь'!A46</f>
        <v/>
      </c>
      <c r="D2646">
        <f>MONTH(C2646)</f>
        <v/>
      </c>
      <c r="E2646">
        <f>'Календарь'!D46</f>
        <v/>
      </c>
      <c r="F2646">
        <f>INT((C2646-Нед_Начало)/7)+1</f>
        <v/>
      </c>
      <c r="G2646">
        <f>IF(E2646=0,0,INDEX('Планы менеджеров'!$B$5:$M$16,B2646,D2646)/INDEX(Мес_Раб,D2646))</f>
        <v/>
      </c>
    </row>
    <row r="2647">
      <c r="A2647" t="inlineStr">
        <is>
          <t>Алексеева</t>
        </is>
      </c>
      <c r="B2647" t="n">
        <v>12</v>
      </c>
      <c r="C2647" s="18">
        <f>'Календарь'!A47</f>
        <v/>
      </c>
      <c r="D2647">
        <f>MONTH(C2647)</f>
        <v/>
      </c>
      <c r="E2647">
        <f>'Календарь'!D47</f>
        <v/>
      </c>
      <c r="F2647">
        <f>INT((C2647-Нед_Начало)/7)+1</f>
        <v/>
      </c>
      <c r="G2647">
        <f>IF(E2647=0,0,INDEX('Планы менеджеров'!$B$5:$M$16,B2647,D2647)/INDEX(Мес_Раб,D2647))</f>
        <v/>
      </c>
    </row>
    <row r="2648">
      <c r="A2648" t="inlineStr">
        <is>
          <t>Алексеева</t>
        </is>
      </c>
      <c r="B2648" t="n">
        <v>12</v>
      </c>
      <c r="C2648" s="18">
        <f>'Календарь'!A48</f>
        <v/>
      </c>
      <c r="D2648">
        <f>MONTH(C2648)</f>
        <v/>
      </c>
      <c r="E2648">
        <f>'Календарь'!D48</f>
        <v/>
      </c>
      <c r="F2648">
        <f>INT((C2648-Нед_Начало)/7)+1</f>
        <v/>
      </c>
      <c r="G2648">
        <f>IF(E2648=0,0,INDEX('Планы менеджеров'!$B$5:$M$16,B2648,D2648)/INDEX(Мес_Раб,D2648))</f>
        <v/>
      </c>
    </row>
    <row r="2649">
      <c r="A2649" t="inlineStr">
        <is>
          <t>Алексеева</t>
        </is>
      </c>
      <c r="B2649" t="n">
        <v>12</v>
      </c>
      <c r="C2649" s="18">
        <f>'Календарь'!A49</f>
        <v/>
      </c>
      <c r="D2649">
        <f>MONTH(C2649)</f>
        <v/>
      </c>
      <c r="E2649">
        <f>'Календарь'!D49</f>
        <v/>
      </c>
      <c r="F2649">
        <f>INT((C2649-Нед_Начало)/7)+1</f>
        <v/>
      </c>
      <c r="G2649">
        <f>IF(E2649=0,0,INDEX('Планы менеджеров'!$B$5:$M$16,B2649,D2649)/INDEX(Мес_Раб,D2649))</f>
        <v/>
      </c>
    </row>
    <row r="2650">
      <c r="A2650" t="inlineStr">
        <is>
          <t>Алексеева</t>
        </is>
      </c>
      <c r="B2650" t="n">
        <v>12</v>
      </c>
      <c r="C2650" s="18">
        <f>'Календарь'!A50</f>
        <v/>
      </c>
      <c r="D2650">
        <f>MONTH(C2650)</f>
        <v/>
      </c>
      <c r="E2650">
        <f>'Календарь'!D50</f>
        <v/>
      </c>
      <c r="F2650">
        <f>INT((C2650-Нед_Начало)/7)+1</f>
        <v/>
      </c>
      <c r="G2650">
        <f>IF(E2650=0,0,INDEX('Планы менеджеров'!$B$5:$M$16,B2650,D2650)/INDEX(Мес_Раб,D2650))</f>
        <v/>
      </c>
    </row>
    <row r="2651">
      <c r="A2651" t="inlineStr">
        <is>
          <t>Алексеева</t>
        </is>
      </c>
      <c r="B2651" t="n">
        <v>12</v>
      </c>
      <c r="C2651" s="18">
        <f>'Календарь'!A51</f>
        <v/>
      </c>
      <c r="D2651">
        <f>MONTH(C2651)</f>
        <v/>
      </c>
      <c r="E2651">
        <f>'Календарь'!D51</f>
        <v/>
      </c>
      <c r="F2651">
        <f>INT((C2651-Нед_Начало)/7)+1</f>
        <v/>
      </c>
      <c r="G2651">
        <f>IF(E2651=0,0,INDEX('Планы менеджеров'!$B$5:$M$16,B2651,D2651)/INDEX(Мес_Раб,D2651))</f>
        <v/>
      </c>
    </row>
    <row r="2652">
      <c r="A2652" t="inlineStr">
        <is>
          <t>Алексеева</t>
        </is>
      </c>
      <c r="B2652" t="n">
        <v>12</v>
      </c>
      <c r="C2652" s="18">
        <f>'Календарь'!A52</f>
        <v/>
      </c>
      <c r="D2652">
        <f>MONTH(C2652)</f>
        <v/>
      </c>
      <c r="E2652">
        <f>'Календарь'!D52</f>
        <v/>
      </c>
      <c r="F2652">
        <f>INT((C2652-Нед_Начало)/7)+1</f>
        <v/>
      </c>
      <c r="G2652">
        <f>IF(E2652=0,0,INDEX('Планы менеджеров'!$B$5:$M$16,B2652,D2652)/INDEX(Мес_Раб,D2652))</f>
        <v/>
      </c>
    </row>
    <row r="2653">
      <c r="A2653" t="inlineStr">
        <is>
          <t>Алексеева</t>
        </is>
      </c>
      <c r="B2653" t="n">
        <v>12</v>
      </c>
      <c r="C2653" s="18">
        <f>'Календарь'!A53</f>
        <v/>
      </c>
      <c r="D2653">
        <f>MONTH(C2653)</f>
        <v/>
      </c>
      <c r="E2653">
        <f>'Календарь'!D53</f>
        <v/>
      </c>
      <c r="F2653">
        <f>INT((C2653-Нед_Начало)/7)+1</f>
        <v/>
      </c>
      <c r="G2653">
        <f>IF(E2653=0,0,INDEX('Планы менеджеров'!$B$5:$M$16,B2653,D2653)/INDEX(Мес_Раб,D2653))</f>
        <v/>
      </c>
    </row>
    <row r="2654">
      <c r="A2654" t="inlineStr">
        <is>
          <t>Алексеева</t>
        </is>
      </c>
      <c r="B2654" t="n">
        <v>12</v>
      </c>
      <c r="C2654" s="18">
        <f>'Календарь'!A54</f>
        <v/>
      </c>
      <c r="D2654">
        <f>MONTH(C2654)</f>
        <v/>
      </c>
      <c r="E2654">
        <f>'Календарь'!D54</f>
        <v/>
      </c>
      <c r="F2654">
        <f>INT((C2654-Нед_Начало)/7)+1</f>
        <v/>
      </c>
      <c r="G2654">
        <f>IF(E2654=0,0,INDEX('Планы менеджеров'!$B$5:$M$16,B2654,D2654)/INDEX(Мес_Раб,D2654))</f>
        <v/>
      </c>
    </row>
    <row r="2655">
      <c r="A2655" t="inlineStr">
        <is>
          <t>Алексеева</t>
        </is>
      </c>
      <c r="B2655" t="n">
        <v>12</v>
      </c>
      <c r="C2655" s="18">
        <f>'Календарь'!A55</f>
        <v/>
      </c>
      <c r="D2655">
        <f>MONTH(C2655)</f>
        <v/>
      </c>
      <c r="E2655">
        <f>'Календарь'!D55</f>
        <v/>
      </c>
      <c r="F2655">
        <f>INT((C2655-Нед_Начало)/7)+1</f>
        <v/>
      </c>
      <c r="G2655">
        <f>IF(E2655=0,0,INDEX('Планы менеджеров'!$B$5:$M$16,B2655,D2655)/INDEX(Мес_Раб,D2655))</f>
        <v/>
      </c>
    </row>
    <row r="2656">
      <c r="A2656" t="inlineStr">
        <is>
          <t>Алексеева</t>
        </is>
      </c>
      <c r="B2656" t="n">
        <v>12</v>
      </c>
      <c r="C2656" s="18">
        <f>'Календарь'!A56</f>
        <v/>
      </c>
      <c r="D2656">
        <f>MONTH(C2656)</f>
        <v/>
      </c>
      <c r="E2656">
        <f>'Календарь'!D56</f>
        <v/>
      </c>
      <c r="F2656">
        <f>INT((C2656-Нед_Начало)/7)+1</f>
        <v/>
      </c>
      <c r="G2656">
        <f>IF(E2656=0,0,INDEX('Планы менеджеров'!$B$5:$M$16,B2656,D2656)/INDEX(Мес_Раб,D2656))</f>
        <v/>
      </c>
    </row>
    <row r="2657">
      <c r="A2657" t="inlineStr">
        <is>
          <t>Алексеева</t>
        </is>
      </c>
      <c r="B2657" t="n">
        <v>12</v>
      </c>
      <c r="C2657" s="18">
        <f>'Календарь'!A57</f>
        <v/>
      </c>
      <c r="D2657">
        <f>MONTH(C2657)</f>
        <v/>
      </c>
      <c r="E2657">
        <f>'Календарь'!D57</f>
        <v/>
      </c>
      <c r="F2657">
        <f>INT((C2657-Нед_Начало)/7)+1</f>
        <v/>
      </c>
      <c r="G2657">
        <f>IF(E2657=0,0,INDEX('Планы менеджеров'!$B$5:$M$16,B2657,D2657)/INDEX(Мес_Раб,D2657))</f>
        <v/>
      </c>
    </row>
    <row r="2658">
      <c r="A2658" t="inlineStr">
        <is>
          <t>Алексеева</t>
        </is>
      </c>
      <c r="B2658" t="n">
        <v>12</v>
      </c>
      <c r="C2658" s="18">
        <f>'Календарь'!A58</f>
        <v/>
      </c>
      <c r="D2658">
        <f>MONTH(C2658)</f>
        <v/>
      </c>
      <c r="E2658">
        <f>'Календарь'!D58</f>
        <v/>
      </c>
      <c r="F2658">
        <f>INT((C2658-Нед_Начало)/7)+1</f>
        <v/>
      </c>
      <c r="G2658">
        <f>IF(E2658=0,0,INDEX('Планы менеджеров'!$B$5:$M$16,B2658,D2658)/INDEX(Мес_Раб,D2658))</f>
        <v/>
      </c>
    </row>
    <row r="2659">
      <c r="A2659" t="inlineStr">
        <is>
          <t>Алексеева</t>
        </is>
      </c>
      <c r="B2659" t="n">
        <v>12</v>
      </c>
      <c r="C2659" s="18">
        <f>'Календарь'!A59</f>
        <v/>
      </c>
      <c r="D2659">
        <f>MONTH(C2659)</f>
        <v/>
      </c>
      <c r="E2659">
        <f>'Календарь'!D59</f>
        <v/>
      </c>
      <c r="F2659">
        <f>INT((C2659-Нед_Начало)/7)+1</f>
        <v/>
      </c>
      <c r="G2659">
        <f>IF(E2659=0,0,INDEX('Планы менеджеров'!$B$5:$M$16,B2659,D2659)/INDEX(Мес_Раб,D2659))</f>
        <v/>
      </c>
    </row>
    <row r="2660">
      <c r="A2660" t="inlineStr">
        <is>
          <t>Алексеева</t>
        </is>
      </c>
      <c r="B2660" t="n">
        <v>12</v>
      </c>
      <c r="C2660" s="18">
        <f>'Календарь'!A60</f>
        <v/>
      </c>
      <c r="D2660">
        <f>MONTH(C2660)</f>
        <v/>
      </c>
      <c r="E2660">
        <f>'Календарь'!D60</f>
        <v/>
      </c>
      <c r="F2660">
        <f>INT((C2660-Нед_Начало)/7)+1</f>
        <v/>
      </c>
      <c r="G2660">
        <f>IF(E2660=0,0,INDEX('Планы менеджеров'!$B$5:$M$16,B2660,D2660)/INDEX(Мес_Раб,D2660))</f>
        <v/>
      </c>
    </row>
    <row r="2661">
      <c r="A2661" t="inlineStr">
        <is>
          <t>Алексеева</t>
        </is>
      </c>
      <c r="B2661" t="n">
        <v>12</v>
      </c>
      <c r="C2661" s="18">
        <f>'Календарь'!A61</f>
        <v/>
      </c>
      <c r="D2661">
        <f>MONTH(C2661)</f>
        <v/>
      </c>
      <c r="E2661">
        <f>'Календарь'!D61</f>
        <v/>
      </c>
      <c r="F2661">
        <f>INT((C2661-Нед_Начало)/7)+1</f>
        <v/>
      </c>
      <c r="G2661">
        <f>IF(E2661=0,0,INDEX('Планы менеджеров'!$B$5:$M$16,B2661,D2661)/INDEX(Мес_Раб,D2661))</f>
        <v/>
      </c>
    </row>
    <row r="2662">
      <c r="A2662" t="inlineStr">
        <is>
          <t>Алексеева</t>
        </is>
      </c>
      <c r="B2662" t="n">
        <v>12</v>
      </c>
      <c r="C2662" s="18">
        <f>'Календарь'!A62</f>
        <v/>
      </c>
      <c r="D2662">
        <f>MONTH(C2662)</f>
        <v/>
      </c>
      <c r="E2662">
        <f>'Календарь'!D62</f>
        <v/>
      </c>
      <c r="F2662">
        <f>INT((C2662-Нед_Начало)/7)+1</f>
        <v/>
      </c>
      <c r="G2662">
        <f>IF(E2662=0,0,INDEX('Планы менеджеров'!$B$5:$M$16,B2662,D2662)/INDEX(Мес_Раб,D2662))</f>
        <v/>
      </c>
    </row>
    <row r="2663">
      <c r="A2663" t="inlineStr">
        <is>
          <t>Алексеева</t>
        </is>
      </c>
      <c r="B2663" t="n">
        <v>12</v>
      </c>
      <c r="C2663" s="18">
        <f>'Календарь'!A63</f>
        <v/>
      </c>
      <c r="D2663">
        <f>MONTH(C2663)</f>
        <v/>
      </c>
      <c r="E2663">
        <f>'Календарь'!D63</f>
        <v/>
      </c>
      <c r="F2663">
        <f>INT((C2663-Нед_Начало)/7)+1</f>
        <v/>
      </c>
      <c r="G2663">
        <f>IF(E2663=0,0,INDEX('Планы менеджеров'!$B$5:$M$16,B2663,D2663)/INDEX(Мес_Раб,D2663))</f>
        <v/>
      </c>
    </row>
    <row r="2664">
      <c r="A2664" t="inlineStr">
        <is>
          <t>Алексеева</t>
        </is>
      </c>
      <c r="B2664" t="n">
        <v>12</v>
      </c>
      <c r="C2664" s="18">
        <f>'Календарь'!A64</f>
        <v/>
      </c>
      <c r="D2664">
        <f>MONTH(C2664)</f>
        <v/>
      </c>
      <c r="E2664">
        <f>'Календарь'!D64</f>
        <v/>
      </c>
      <c r="F2664">
        <f>INT((C2664-Нед_Начало)/7)+1</f>
        <v/>
      </c>
      <c r="G2664">
        <f>IF(E2664=0,0,INDEX('Планы менеджеров'!$B$5:$M$16,B2664,D2664)/INDEX(Мес_Раб,D2664))</f>
        <v/>
      </c>
    </row>
    <row r="2665">
      <c r="A2665" t="inlineStr">
        <is>
          <t>Алексеева</t>
        </is>
      </c>
      <c r="B2665" t="n">
        <v>12</v>
      </c>
      <c r="C2665" s="18">
        <f>'Календарь'!A65</f>
        <v/>
      </c>
      <c r="D2665">
        <f>MONTH(C2665)</f>
        <v/>
      </c>
      <c r="E2665">
        <f>'Календарь'!D65</f>
        <v/>
      </c>
      <c r="F2665">
        <f>INT((C2665-Нед_Начало)/7)+1</f>
        <v/>
      </c>
      <c r="G2665">
        <f>IF(E2665=0,0,INDEX('Планы менеджеров'!$B$5:$M$16,B2665,D2665)/INDEX(Мес_Раб,D2665))</f>
        <v/>
      </c>
    </row>
    <row r="2666">
      <c r="A2666" t="inlineStr">
        <is>
          <t>Алексеева</t>
        </is>
      </c>
      <c r="B2666" t="n">
        <v>12</v>
      </c>
      <c r="C2666" s="18">
        <f>'Календарь'!A66</f>
        <v/>
      </c>
      <c r="D2666">
        <f>MONTH(C2666)</f>
        <v/>
      </c>
      <c r="E2666">
        <f>'Календарь'!D66</f>
        <v/>
      </c>
      <c r="F2666">
        <f>INT((C2666-Нед_Начало)/7)+1</f>
        <v/>
      </c>
      <c r="G2666">
        <f>IF(E2666=0,0,INDEX('Планы менеджеров'!$B$5:$M$16,B2666,D2666)/INDEX(Мес_Раб,D2666))</f>
        <v/>
      </c>
    </row>
    <row r="2667">
      <c r="A2667" t="inlineStr">
        <is>
          <t>Алексеева</t>
        </is>
      </c>
      <c r="B2667" t="n">
        <v>12</v>
      </c>
      <c r="C2667" s="18">
        <f>'Календарь'!A67</f>
        <v/>
      </c>
      <c r="D2667">
        <f>MONTH(C2667)</f>
        <v/>
      </c>
      <c r="E2667">
        <f>'Календарь'!D67</f>
        <v/>
      </c>
      <c r="F2667">
        <f>INT((C2667-Нед_Начало)/7)+1</f>
        <v/>
      </c>
      <c r="G2667">
        <f>IF(E2667=0,0,INDEX('Планы менеджеров'!$B$5:$M$16,B2667,D2667)/INDEX(Мес_Раб,D2667))</f>
        <v/>
      </c>
    </row>
    <row r="2668">
      <c r="A2668" t="inlineStr">
        <is>
          <t>Алексеева</t>
        </is>
      </c>
      <c r="B2668" t="n">
        <v>12</v>
      </c>
      <c r="C2668" s="18">
        <f>'Календарь'!A68</f>
        <v/>
      </c>
      <c r="D2668">
        <f>MONTH(C2668)</f>
        <v/>
      </c>
      <c r="E2668">
        <f>'Календарь'!D68</f>
        <v/>
      </c>
      <c r="F2668">
        <f>INT((C2668-Нед_Начало)/7)+1</f>
        <v/>
      </c>
      <c r="G2668">
        <f>IF(E2668=0,0,INDEX('Планы менеджеров'!$B$5:$M$16,B2668,D2668)/INDEX(Мес_Раб,D2668))</f>
        <v/>
      </c>
    </row>
    <row r="2669">
      <c r="A2669" t="inlineStr">
        <is>
          <t>Алексеева</t>
        </is>
      </c>
      <c r="B2669" t="n">
        <v>12</v>
      </c>
      <c r="C2669" s="18">
        <f>'Календарь'!A69</f>
        <v/>
      </c>
      <c r="D2669">
        <f>MONTH(C2669)</f>
        <v/>
      </c>
      <c r="E2669">
        <f>'Календарь'!D69</f>
        <v/>
      </c>
      <c r="F2669">
        <f>INT((C2669-Нед_Начало)/7)+1</f>
        <v/>
      </c>
      <c r="G2669">
        <f>IF(E2669=0,0,INDEX('Планы менеджеров'!$B$5:$M$16,B2669,D2669)/INDEX(Мес_Раб,D2669))</f>
        <v/>
      </c>
    </row>
    <row r="2670">
      <c r="A2670" t="inlineStr">
        <is>
          <t>Алексеева</t>
        </is>
      </c>
      <c r="B2670" t="n">
        <v>12</v>
      </c>
      <c r="C2670" s="18">
        <f>'Календарь'!A70</f>
        <v/>
      </c>
      <c r="D2670">
        <f>MONTH(C2670)</f>
        <v/>
      </c>
      <c r="E2670">
        <f>'Календарь'!D70</f>
        <v/>
      </c>
      <c r="F2670">
        <f>INT((C2670-Нед_Начало)/7)+1</f>
        <v/>
      </c>
      <c r="G2670">
        <f>IF(E2670=0,0,INDEX('Планы менеджеров'!$B$5:$M$16,B2670,D2670)/INDEX(Мес_Раб,D2670))</f>
        <v/>
      </c>
    </row>
    <row r="2671">
      <c r="A2671" t="inlineStr">
        <is>
          <t>Алексеева</t>
        </is>
      </c>
      <c r="B2671" t="n">
        <v>12</v>
      </c>
      <c r="C2671" s="18">
        <f>'Календарь'!A71</f>
        <v/>
      </c>
      <c r="D2671">
        <f>MONTH(C2671)</f>
        <v/>
      </c>
      <c r="E2671">
        <f>'Календарь'!D71</f>
        <v/>
      </c>
      <c r="F2671">
        <f>INT((C2671-Нед_Начало)/7)+1</f>
        <v/>
      </c>
      <c r="G2671">
        <f>IF(E2671=0,0,INDEX('Планы менеджеров'!$B$5:$M$16,B2671,D2671)/INDEX(Мес_Раб,D2671))</f>
        <v/>
      </c>
    </row>
    <row r="2672">
      <c r="A2672" t="inlineStr">
        <is>
          <t>Алексеева</t>
        </is>
      </c>
      <c r="B2672" t="n">
        <v>12</v>
      </c>
      <c r="C2672" s="18">
        <f>'Календарь'!A72</f>
        <v/>
      </c>
      <c r="D2672">
        <f>MONTH(C2672)</f>
        <v/>
      </c>
      <c r="E2672">
        <f>'Календарь'!D72</f>
        <v/>
      </c>
      <c r="F2672">
        <f>INT((C2672-Нед_Начало)/7)+1</f>
        <v/>
      </c>
      <c r="G2672">
        <f>IF(E2672=0,0,INDEX('Планы менеджеров'!$B$5:$M$16,B2672,D2672)/INDEX(Мес_Раб,D2672))</f>
        <v/>
      </c>
    </row>
    <row r="2673">
      <c r="A2673" t="inlineStr">
        <is>
          <t>Алексеева</t>
        </is>
      </c>
      <c r="B2673" t="n">
        <v>12</v>
      </c>
      <c r="C2673" s="18">
        <f>'Календарь'!A73</f>
        <v/>
      </c>
      <c r="D2673">
        <f>MONTH(C2673)</f>
        <v/>
      </c>
      <c r="E2673">
        <f>'Календарь'!D73</f>
        <v/>
      </c>
      <c r="F2673">
        <f>INT((C2673-Нед_Начало)/7)+1</f>
        <v/>
      </c>
      <c r="G2673">
        <f>IF(E2673=0,0,INDEX('Планы менеджеров'!$B$5:$M$16,B2673,D2673)/INDEX(Мес_Раб,D2673))</f>
        <v/>
      </c>
    </row>
    <row r="2674">
      <c r="A2674" t="inlineStr">
        <is>
          <t>Алексеева</t>
        </is>
      </c>
      <c r="B2674" t="n">
        <v>12</v>
      </c>
      <c r="C2674" s="18">
        <f>'Календарь'!A74</f>
        <v/>
      </c>
      <c r="D2674">
        <f>MONTH(C2674)</f>
        <v/>
      </c>
      <c r="E2674">
        <f>'Календарь'!D74</f>
        <v/>
      </c>
      <c r="F2674">
        <f>INT((C2674-Нед_Начало)/7)+1</f>
        <v/>
      </c>
      <c r="G2674">
        <f>IF(E2674=0,0,INDEX('Планы менеджеров'!$B$5:$M$16,B2674,D2674)/INDEX(Мес_Раб,D2674))</f>
        <v/>
      </c>
    </row>
    <row r="2675">
      <c r="A2675" t="inlineStr">
        <is>
          <t>Алексеева</t>
        </is>
      </c>
      <c r="B2675" t="n">
        <v>12</v>
      </c>
      <c r="C2675" s="18">
        <f>'Календарь'!A75</f>
        <v/>
      </c>
      <c r="D2675">
        <f>MONTH(C2675)</f>
        <v/>
      </c>
      <c r="E2675">
        <f>'Календарь'!D75</f>
        <v/>
      </c>
      <c r="F2675">
        <f>INT((C2675-Нед_Начало)/7)+1</f>
        <v/>
      </c>
      <c r="G2675">
        <f>IF(E2675=0,0,INDEX('Планы менеджеров'!$B$5:$M$16,B2675,D2675)/INDEX(Мес_Раб,D2675))</f>
        <v/>
      </c>
    </row>
    <row r="2676">
      <c r="A2676" t="inlineStr">
        <is>
          <t>Алексеева</t>
        </is>
      </c>
      <c r="B2676" t="n">
        <v>12</v>
      </c>
      <c r="C2676" s="18">
        <f>'Календарь'!A76</f>
        <v/>
      </c>
      <c r="D2676">
        <f>MONTH(C2676)</f>
        <v/>
      </c>
      <c r="E2676">
        <f>'Календарь'!D76</f>
        <v/>
      </c>
      <c r="F2676">
        <f>INT((C2676-Нед_Начало)/7)+1</f>
        <v/>
      </c>
      <c r="G2676">
        <f>IF(E2676=0,0,INDEX('Планы менеджеров'!$B$5:$M$16,B2676,D2676)/INDEX(Мес_Раб,D2676))</f>
        <v/>
      </c>
    </row>
    <row r="2677">
      <c r="A2677" t="inlineStr">
        <is>
          <t>Алексеева</t>
        </is>
      </c>
      <c r="B2677" t="n">
        <v>12</v>
      </c>
      <c r="C2677" s="18">
        <f>'Календарь'!A77</f>
        <v/>
      </c>
      <c r="D2677">
        <f>MONTH(C2677)</f>
        <v/>
      </c>
      <c r="E2677">
        <f>'Календарь'!D77</f>
        <v/>
      </c>
      <c r="F2677">
        <f>INT((C2677-Нед_Начало)/7)+1</f>
        <v/>
      </c>
      <c r="G2677">
        <f>IF(E2677=0,0,INDEX('Планы менеджеров'!$B$5:$M$16,B2677,D2677)/INDEX(Мес_Раб,D2677))</f>
        <v/>
      </c>
    </row>
    <row r="2678">
      <c r="A2678" t="inlineStr">
        <is>
          <t>Алексеева</t>
        </is>
      </c>
      <c r="B2678" t="n">
        <v>12</v>
      </c>
      <c r="C2678" s="18">
        <f>'Календарь'!A78</f>
        <v/>
      </c>
      <c r="D2678">
        <f>MONTH(C2678)</f>
        <v/>
      </c>
      <c r="E2678">
        <f>'Календарь'!D78</f>
        <v/>
      </c>
      <c r="F2678">
        <f>INT((C2678-Нед_Начало)/7)+1</f>
        <v/>
      </c>
      <c r="G2678">
        <f>IF(E2678=0,0,INDEX('Планы менеджеров'!$B$5:$M$16,B2678,D2678)/INDEX(Мес_Раб,D2678))</f>
        <v/>
      </c>
    </row>
    <row r="2679">
      <c r="A2679" t="inlineStr">
        <is>
          <t>Алексеева</t>
        </is>
      </c>
      <c r="B2679" t="n">
        <v>12</v>
      </c>
      <c r="C2679" s="18">
        <f>'Календарь'!A79</f>
        <v/>
      </c>
      <c r="D2679">
        <f>MONTH(C2679)</f>
        <v/>
      </c>
      <c r="E2679">
        <f>'Календарь'!D79</f>
        <v/>
      </c>
      <c r="F2679">
        <f>INT((C2679-Нед_Начало)/7)+1</f>
        <v/>
      </c>
      <c r="G2679">
        <f>IF(E2679=0,0,INDEX('Планы менеджеров'!$B$5:$M$16,B2679,D2679)/INDEX(Мес_Раб,D2679))</f>
        <v/>
      </c>
    </row>
    <row r="2680">
      <c r="A2680" t="inlineStr">
        <is>
          <t>Алексеева</t>
        </is>
      </c>
      <c r="B2680" t="n">
        <v>12</v>
      </c>
      <c r="C2680" s="18">
        <f>'Календарь'!A80</f>
        <v/>
      </c>
      <c r="D2680">
        <f>MONTH(C2680)</f>
        <v/>
      </c>
      <c r="E2680">
        <f>'Календарь'!D80</f>
        <v/>
      </c>
      <c r="F2680">
        <f>INT((C2680-Нед_Начало)/7)+1</f>
        <v/>
      </c>
      <c r="G2680">
        <f>IF(E2680=0,0,INDEX('Планы менеджеров'!$B$5:$M$16,B2680,D2680)/INDEX(Мес_Раб,D2680))</f>
        <v/>
      </c>
    </row>
    <row r="2681">
      <c r="A2681" t="inlineStr">
        <is>
          <t>Алексеева</t>
        </is>
      </c>
      <c r="B2681" t="n">
        <v>12</v>
      </c>
      <c r="C2681" s="18">
        <f>'Календарь'!A81</f>
        <v/>
      </c>
      <c r="D2681">
        <f>MONTH(C2681)</f>
        <v/>
      </c>
      <c r="E2681">
        <f>'Календарь'!D81</f>
        <v/>
      </c>
      <c r="F2681">
        <f>INT((C2681-Нед_Начало)/7)+1</f>
        <v/>
      </c>
      <c r="G2681">
        <f>IF(E2681=0,0,INDEX('Планы менеджеров'!$B$5:$M$16,B2681,D2681)/INDEX(Мес_Раб,D2681))</f>
        <v/>
      </c>
    </row>
    <row r="2682">
      <c r="A2682" t="inlineStr">
        <is>
          <t>Алексеева</t>
        </is>
      </c>
      <c r="B2682" t="n">
        <v>12</v>
      </c>
      <c r="C2682" s="18">
        <f>'Календарь'!A82</f>
        <v/>
      </c>
      <c r="D2682">
        <f>MONTH(C2682)</f>
        <v/>
      </c>
      <c r="E2682">
        <f>'Календарь'!D82</f>
        <v/>
      </c>
      <c r="F2682">
        <f>INT((C2682-Нед_Начало)/7)+1</f>
        <v/>
      </c>
      <c r="G2682">
        <f>IF(E2682=0,0,INDEX('Планы менеджеров'!$B$5:$M$16,B2682,D2682)/INDEX(Мес_Раб,D2682))</f>
        <v/>
      </c>
    </row>
    <row r="2683">
      <c r="A2683" t="inlineStr">
        <is>
          <t>Алексеева</t>
        </is>
      </c>
      <c r="B2683" t="n">
        <v>12</v>
      </c>
      <c r="C2683" s="18">
        <f>'Календарь'!A83</f>
        <v/>
      </c>
      <c r="D2683">
        <f>MONTH(C2683)</f>
        <v/>
      </c>
      <c r="E2683">
        <f>'Календарь'!D83</f>
        <v/>
      </c>
      <c r="F2683">
        <f>INT((C2683-Нед_Начало)/7)+1</f>
        <v/>
      </c>
      <c r="G2683">
        <f>IF(E2683=0,0,INDEX('Планы менеджеров'!$B$5:$M$16,B2683,D2683)/INDEX(Мес_Раб,D2683))</f>
        <v/>
      </c>
    </row>
    <row r="2684">
      <c r="A2684" t="inlineStr">
        <is>
          <t>Алексеева</t>
        </is>
      </c>
      <c r="B2684" t="n">
        <v>12</v>
      </c>
      <c r="C2684" s="18">
        <f>'Календарь'!A84</f>
        <v/>
      </c>
      <c r="D2684">
        <f>MONTH(C2684)</f>
        <v/>
      </c>
      <c r="E2684">
        <f>'Календарь'!D84</f>
        <v/>
      </c>
      <c r="F2684">
        <f>INT((C2684-Нед_Начало)/7)+1</f>
        <v/>
      </c>
      <c r="G2684">
        <f>IF(E2684=0,0,INDEX('Планы менеджеров'!$B$5:$M$16,B2684,D2684)/INDEX(Мес_Раб,D2684))</f>
        <v/>
      </c>
    </row>
    <row r="2685">
      <c r="A2685" t="inlineStr">
        <is>
          <t>Алексеева</t>
        </is>
      </c>
      <c r="B2685" t="n">
        <v>12</v>
      </c>
      <c r="C2685" s="18">
        <f>'Календарь'!A85</f>
        <v/>
      </c>
      <c r="D2685">
        <f>MONTH(C2685)</f>
        <v/>
      </c>
      <c r="E2685">
        <f>'Календарь'!D85</f>
        <v/>
      </c>
      <c r="F2685">
        <f>INT((C2685-Нед_Начало)/7)+1</f>
        <v/>
      </c>
      <c r="G2685">
        <f>IF(E2685=0,0,INDEX('Планы менеджеров'!$B$5:$M$16,B2685,D2685)/INDEX(Мес_Раб,D2685))</f>
        <v/>
      </c>
    </row>
    <row r="2686">
      <c r="A2686" t="inlineStr">
        <is>
          <t>Алексеева</t>
        </is>
      </c>
      <c r="B2686" t="n">
        <v>12</v>
      </c>
      <c r="C2686" s="18">
        <f>'Календарь'!A86</f>
        <v/>
      </c>
      <c r="D2686">
        <f>MONTH(C2686)</f>
        <v/>
      </c>
      <c r="E2686">
        <f>'Календарь'!D86</f>
        <v/>
      </c>
      <c r="F2686">
        <f>INT((C2686-Нед_Начало)/7)+1</f>
        <v/>
      </c>
      <c r="G2686">
        <f>IF(E2686=0,0,INDEX('Планы менеджеров'!$B$5:$M$16,B2686,D2686)/INDEX(Мес_Раб,D2686))</f>
        <v/>
      </c>
    </row>
    <row r="2687">
      <c r="A2687" t="inlineStr">
        <is>
          <t>Алексеева</t>
        </is>
      </c>
      <c r="B2687" t="n">
        <v>12</v>
      </c>
      <c r="C2687" s="18">
        <f>'Календарь'!A87</f>
        <v/>
      </c>
      <c r="D2687">
        <f>MONTH(C2687)</f>
        <v/>
      </c>
      <c r="E2687">
        <f>'Календарь'!D87</f>
        <v/>
      </c>
      <c r="F2687">
        <f>INT((C2687-Нед_Начало)/7)+1</f>
        <v/>
      </c>
      <c r="G2687">
        <f>IF(E2687=0,0,INDEX('Планы менеджеров'!$B$5:$M$16,B2687,D2687)/INDEX(Мес_Раб,D2687))</f>
        <v/>
      </c>
    </row>
    <row r="2688">
      <c r="A2688" t="inlineStr">
        <is>
          <t>Алексеева</t>
        </is>
      </c>
      <c r="B2688" t="n">
        <v>12</v>
      </c>
      <c r="C2688" s="18">
        <f>'Календарь'!A88</f>
        <v/>
      </c>
      <c r="D2688">
        <f>MONTH(C2688)</f>
        <v/>
      </c>
      <c r="E2688">
        <f>'Календарь'!D88</f>
        <v/>
      </c>
      <c r="F2688">
        <f>INT((C2688-Нед_Начало)/7)+1</f>
        <v/>
      </c>
      <c r="G2688">
        <f>IF(E2688=0,0,INDEX('Планы менеджеров'!$B$5:$M$16,B2688,D2688)/INDEX(Мес_Раб,D2688))</f>
        <v/>
      </c>
    </row>
    <row r="2689">
      <c r="A2689" t="inlineStr">
        <is>
          <t>Алексеева</t>
        </is>
      </c>
      <c r="B2689" t="n">
        <v>12</v>
      </c>
      <c r="C2689" s="18">
        <f>'Календарь'!A89</f>
        <v/>
      </c>
      <c r="D2689">
        <f>MONTH(C2689)</f>
        <v/>
      </c>
      <c r="E2689">
        <f>'Календарь'!D89</f>
        <v/>
      </c>
      <c r="F2689">
        <f>INT((C2689-Нед_Начало)/7)+1</f>
        <v/>
      </c>
      <c r="G2689">
        <f>IF(E2689=0,0,INDEX('Планы менеджеров'!$B$5:$M$16,B2689,D2689)/INDEX(Мес_Раб,D2689))</f>
        <v/>
      </c>
    </row>
    <row r="2690">
      <c r="A2690" t="inlineStr">
        <is>
          <t>Алексеева</t>
        </is>
      </c>
      <c r="B2690" t="n">
        <v>12</v>
      </c>
      <c r="C2690" s="18">
        <f>'Календарь'!A90</f>
        <v/>
      </c>
      <c r="D2690">
        <f>MONTH(C2690)</f>
        <v/>
      </c>
      <c r="E2690">
        <f>'Календарь'!D90</f>
        <v/>
      </c>
      <c r="F2690">
        <f>INT((C2690-Нед_Начало)/7)+1</f>
        <v/>
      </c>
      <c r="G2690">
        <f>IF(E2690=0,0,INDEX('Планы менеджеров'!$B$5:$M$16,B2690,D2690)/INDEX(Мес_Раб,D2690))</f>
        <v/>
      </c>
    </row>
    <row r="2691">
      <c r="A2691" t="inlineStr">
        <is>
          <t>Алексеева</t>
        </is>
      </c>
      <c r="B2691" t="n">
        <v>12</v>
      </c>
      <c r="C2691" s="18">
        <f>'Календарь'!A91</f>
        <v/>
      </c>
      <c r="D2691">
        <f>MONTH(C2691)</f>
        <v/>
      </c>
      <c r="E2691">
        <f>'Календарь'!D91</f>
        <v/>
      </c>
      <c r="F2691">
        <f>INT((C2691-Нед_Начало)/7)+1</f>
        <v/>
      </c>
      <c r="G2691">
        <f>IF(E2691=0,0,INDEX('Планы менеджеров'!$B$5:$M$16,B2691,D2691)/INDEX(Мес_Раб,D2691))</f>
        <v/>
      </c>
    </row>
    <row r="2692">
      <c r="A2692" t="inlineStr">
        <is>
          <t>Алексеева</t>
        </is>
      </c>
      <c r="B2692" t="n">
        <v>12</v>
      </c>
      <c r="C2692" s="18">
        <f>'Календарь'!A92</f>
        <v/>
      </c>
      <c r="D2692">
        <f>MONTH(C2692)</f>
        <v/>
      </c>
      <c r="E2692">
        <f>'Календарь'!D92</f>
        <v/>
      </c>
      <c r="F2692">
        <f>INT((C2692-Нед_Начало)/7)+1</f>
        <v/>
      </c>
      <c r="G2692">
        <f>IF(E2692=0,0,INDEX('Планы менеджеров'!$B$5:$M$16,B2692,D2692)/INDEX(Мес_Раб,D2692))</f>
        <v/>
      </c>
    </row>
    <row r="2693">
      <c r="A2693" t="inlineStr">
        <is>
          <t>Алексеева</t>
        </is>
      </c>
      <c r="B2693" t="n">
        <v>12</v>
      </c>
      <c r="C2693" s="18">
        <f>'Календарь'!A93</f>
        <v/>
      </c>
      <c r="D2693">
        <f>MONTH(C2693)</f>
        <v/>
      </c>
      <c r="E2693">
        <f>'Календарь'!D93</f>
        <v/>
      </c>
      <c r="F2693">
        <f>INT((C2693-Нед_Начало)/7)+1</f>
        <v/>
      </c>
      <c r="G2693">
        <f>IF(E2693=0,0,INDEX('Планы менеджеров'!$B$5:$M$16,B2693,D2693)/INDEX(Мес_Раб,D2693))</f>
        <v/>
      </c>
    </row>
    <row r="2694">
      <c r="A2694" t="inlineStr">
        <is>
          <t>Алексеева</t>
        </is>
      </c>
      <c r="B2694" t="n">
        <v>12</v>
      </c>
      <c r="C2694" s="18">
        <f>'Календарь'!A94</f>
        <v/>
      </c>
      <c r="D2694">
        <f>MONTH(C2694)</f>
        <v/>
      </c>
      <c r="E2694">
        <f>'Календарь'!D94</f>
        <v/>
      </c>
      <c r="F2694">
        <f>INT((C2694-Нед_Начало)/7)+1</f>
        <v/>
      </c>
      <c r="G2694">
        <f>IF(E2694=0,0,INDEX('Планы менеджеров'!$B$5:$M$16,B2694,D2694)/INDEX(Мес_Раб,D2694))</f>
        <v/>
      </c>
    </row>
    <row r="2695">
      <c r="A2695" t="inlineStr">
        <is>
          <t>Алексеева</t>
        </is>
      </c>
      <c r="B2695" t="n">
        <v>12</v>
      </c>
      <c r="C2695" s="18">
        <f>'Календарь'!A95</f>
        <v/>
      </c>
      <c r="D2695">
        <f>MONTH(C2695)</f>
        <v/>
      </c>
      <c r="E2695">
        <f>'Календарь'!D95</f>
        <v/>
      </c>
      <c r="F2695">
        <f>INT((C2695-Нед_Начало)/7)+1</f>
        <v/>
      </c>
      <c r="G2695">
        <f>IF(E2695=0,0,INDEX('Планы менеджеров'!$B$5:$M$16,B2695,D2695)/INDEX(Мес_Раб,D2695))</f>
        <v/>
      </c>
    </row>
    <row r="2696">
      <c r="A2696" t="inlineStr">
        <is>
          <t>Алексеева</t>
        </is>
      </c>
      <c r="B2696" t="n">
        <v>12</v>
      </c>
      <c r="C2696" s="18">
        <f>'Календарь'!A96</f>
        <v/>
      </c>
      <c r="D2696">
        <f>MONTH(C2696)</f>
        <v/>
      </c>
      <c r="E2696">
        <f>'Календарь'!D96</f>
        <v/>
      </c>
      <c r="F2696">
        <f>INT((C2696-Нед_Начало)/7)+1</f>
        <v/>
      </c>
      <c r="G2696">
        <f>IF(E2696=0,0,INDEX('Планы менеджеров'!$B$5:$M$16,B2696,D2696)/INDEX(Мес_Раб,D2696))</f>
        <v/>
      </c>
    </row>
    <row r="2697">
      <c r="A2697" t="inlineStr">
        <is>
          <t>Алексеева</t>
        </is>
      </c>
      <c r="B2697" t="n">
        <v>12</v>
      </c>
      <c r="C2697" s="18">
        <f>'Календарь'!A97</f>
        <v/>
      </c>
      <c r="D2697">
        <f>MONTH(C2697)</f>
        <v/>
      </c>
      <c r="E2697">
        <f>'Календарь'!D97</f>
        <v/>
      </c>
      <c r="F2697">
        <f>INT((C2697-Нед_Начало)/7)+1</f>
        <v/>
      </c>
      <c r="G2697">
        <f>IF(E2697=0,0,INDEX('Планы менеджеров'!$B$5:$M$16,B2697,D2697)/INDEX(Мес_Раб,D2697))</f>
        <v/>
      </c>
    </row>
    <row r="2698">
      <c r="A2698" t="inlineStr">
        <is>
          <t>Алексеева</t>
        </is>
      </c>
      <c r="B2698" t="n">
        <v>12</v>
      </c>
      <c r="C2698" s="18">
        <f>'Календарь'!A98</f>
        <v/>
      </c>
      <c r="D2698">
        <f>MONTH(C2698)</f>
        <v/>
      </c>
      <c r="E2698">
        <f>'Календарь'!D98</f>
        <v/>
      </c>
      <c r="F2698">
        <f>INT((C2698-Нед_Начало)/7)+1</f>
        <v/>
      </c>
      <c r="G2698">
        <f>IF(E2698=0,0,INDEX('Планы менеджеров'!$B$5:$M$16,B2698,D2698)/INDEX(Мес_Раб,D2698))</f>
        <v/>
      </c>
    </row>
    <row r="2699">
      <c r="A2699" t="inlineStr">
        <is>
          <t>Алексеева</t>
        </is>
      </c>
      <c r="B2699" t="n">
        <v>12</v>
      </c>
      <c r="C2699" s="18">
        <f>'Календарь'!A99</f>
        <v/>
      </c>
      <c r="D2699">
        <f>MONTH(C2699)</f>
        <v/>
      </c>
      <c r="E2699">
        <f>'Календарь'!D99</f>
        <v/>
      </c>
      <c r="F2699">
        <f>INT((C2699-Нед_Начало)/7)+1</f>
        <v/>
      </c>
      <c r="G2699">
        <f>IF(E2699=0,0,INDEX('Планы менеджеров'!$B$5:$M$16,B2699,D2699)/INDEX(Мес_Раб,D2699))</f>
        <v/>
      </c>
    </row>
    <row r="2700">
      <c r="A2700" t="inlineStr">
        <is>
          <t>Алексеева</t>
        </is>
      </c>
      <c r="B2700" t="n">
        <v>12</v>
      </c>
      <c r="C2700" s="18">
        <f>'Календарь'!A100</f>
        <v/>
      </c>
      <c r="D2700">
        <f>MONTH(C2700)</f>
        <v/>
      </c>
      <c r="E2700">
        <f>'Календарь'!D100</f>
        <v/>
      </c>
      <c r="F2700">
        <f>INT((C2700-Нед_Начало)/7)+1</f>
        <v/>
      </c>
      <c r="G2700">
        <f>IF(E2700=0,0,INDEX('Планы менеджеров'!$B$5:$M$16,B2700,D2700)/INDEX(Мес_Раб,D2700))</f>
        <v/>
      </c>
    </row>
    <row r="2701">
      <c r="A2701" t="inlineStr">
        <is>
          <t>Алексеева</t>
        </is>
      </c>
      <c r="B2701" t="n">
        <v>12</v>
      </c>
      <c r="C2701" s="18">
        <f>'Календарь'!A101</f>
        <v/>
      </c>
      <c r="D2701">
        <f>MONTH(C2701)</f>
        <v/>
      </c>
      <c r="E2701">
        <f>'Календарь'!D101</f>
        <v/>
      </c>
      <c r="F2701">
        <f>INT((C2701-Нед_Начало)/7)+1</f>
        <v/>
      </c>
      <c r="G2701">
        <f>IF(E2701=0,0,INDEX('Планы менеджеров'!$B$5:$M$16,B2701,D2701)/INDEX(Мес_Раб,D2701))</f>
        <v/>
      </c>
    </row>
    <row r="2702">
      <c r="A2702" t="inlineStr">
        <is>
          <t>Алексеева</t>
        </is>
      </c>
      <c r="B2702" t="n">
        <v>12</v>
      </c>
      <c r="C2702" s="18">
        <f>'Календарь'!A102</f>
        <v/>
      </c>
      <c r="D2702">
        <f>MONTH(C2702)</f>
        <v/>
      </c>
      <c r="E2702">
        <f>'Календарь'!D102</f>
        <v/>
      </c>
      <c r="F2702">
        <f>INT((C2702-Нед_Начало)/7)+1</f>
        <v/>
      </c>
      <c r="G2702">
        <f>IF(E2702=0,0,INDEX('Планы менеджеров'!$B$5:$M$16,B2702,D2702)/INDEX(Мес_Раб,D2702))</f>
        <v/>
      </c>
    </row>
    <row r="2703">
      <c r="A2703" t="inlineStr">
        <is>
          <t>Алексеева</t>
        </is>
      </c>
      <c r="B2703" t="n">
        <v>12</v>
      </c>
      <c r="C2703" s="18">
        <f>'Календарь'!A103</f>
        <v/>
      </c>
      <c r="D2703">
        <f>MONTH(C2703)</f>
        <v/>
      </c>
      <c r="E2703">
        <f>'Календарь'!D103</f>
        <v/>
      </c>
      <c r="F2703">
        <f>INT((C2703-Нед_Начало)/7)+1</f>
        <v/>
      </c>
      <c r="G2703">
        <f>IF(E2703=0,0,INDEX('Планы менеджеров'!$B$5:$M$16,B2703,D2703)/INDEX(Мес_Раб,D2703))</f>
        <v/>
      </c>
    </row>
    <row r="2704">
      <c r="A2704" t="inlineStr">
        <is>
          <t>Алексеева</t>
        </is>
      </c>
      <c r="B2704" t="n">
        <v>12</v>
      </c>
      <c r="C2704" s="18">
        <f>'Календарь'!A104</f>
        <v/>
      </c>
      <c r="D2704">
        <f>MONTH(C2704)</f>
        <v/>
      </c>
      <c r="E2704">
        <f>'Календарь'!D104</f>
        <v/>
      </c>
      <c r="F2704">
        <f>INT((C2704-Нед_Начало)/7)+1</f>
        <v/>
      </c>
      <c r="G2704">
        <f>IF(E2704=0,0,INDEX('Планы менеджеров'!$B$5:$M$16,B2704,D2704)/INDEX(Мес_Раб,D2704))</f>
        <v/>
      </c>
    </row>
    <row r="2705">
      <c r="A2705" t="inlineStr">
        <is>
          <t>Алексеева</t>
        </is>
      </c>
      <c r="B2705" t="n">
        <v>12</v>
      </c>
      <c r="C2705" s="18">
        <f>'Календарь'!A105</f>
        <v/>
      </c>
      <c r="D2705">
        <f>MONTH(C2705)</f>
        <v/>
      </c>
      <c r="E2705">
        <f>'Календарь'!D105</f>
        <v/>
      </c>
      <c r="F2705">
        <f>INT((C2705-Нед_Начало)/7)+1</f>
        <v/>
      </c>
      <c r="G2705">
        <f>IF(E2705=0,0,INDEX('Планы менеджеров'!$B$5:$M$16,B2705,D2705)/INDEX(Мес_Раб,D2705))</f>
        <v/>
      </c>
    </row>
    <row r="2706">
      <c r="A2706" t="inlineStr">
        <is>
          <t>Алексеева</t>
        </is>
      </c>
      <c r="B2706" t="n">
        <v>12</v>
      </c>
      <c r="C2706" s="18">
        <f>'Календарь'!A106</f>
        <v/>
      </c>
      <c r="D2706">
        <f>MONTH(C2706)</f>
        <v/>
      </c>
      <c r="E2706">
        <f>'Календарь'!D106</f>
        <v/>
      </c>
      <c r="F2706">
        <f>INT((C2706-Нед_Начало)/7)+1</f>
        <v/>
      </c>
      <c r="G2706">
        <f>IF(E2706=0,0,INDEX('Планы менеджеров'!$B$5:$M$16,B2706,D2706)/INDEX(Мес_Раб,D2706))</f>
        <v/>
      </c>
    </row>
    <row r="2707">
      <c r="A2707" t="inlineStr">
        <is>
          <t>Алексеева</t>
        </is>
      </c>
      <c r="B2707" t="n">
        <v>12</v>
      </c>
      <c r="C2707" s="18">
        <f>'Календарь'!A107</f>
        <v/>
      </c>
      <c r="D2707">
        <f>MONTH(C2707)</f>
        <v/>
      </c>
      <c r="E2707">
        <f>'Календарь'!D107</f>
        <v/>
      </c>
      <c r="F2707">
        <f>INT((C2707-Нед_Начало)/7)+1</f>
        <v/>
      </c>
      <c r="G2707">
        <f>IF(E2707=0,0,INDEX('Планы менеджеров'!$B$5:$M$16,B2707,D2707)/INDEX(Мес_Раб,D2707))</f>
        <v/>
      </c>
    </row>
    <row r="2708">
      <c r="A2708" t="inlineStr">
        <is>
          <t>Алексеева</t>
        </is>
      </c>
      <c r="B2708" t="n">
        <v>12</v>
      </c>
      <c r="C2708" s="18">
        <f>'Календарь'!A108</f>
        <v/>
      </c>
      <c r="D2708">
        <f>MONTH(C2708)</f>
        <v/>
      </c>
      <c r="E2708">
        <f>'Календарь'!D108</f>
        <v/>
      </c>
      <c r="F2708">
        <f>INT((C2708-Нед_Начало)/7)+1</f>
        <v/>
      </c>
      <c r="G2708">
        <f>IF(E2708=0,0,INDEX('Планы менеджеров'!$B$5:$M$16,B2708,D2708)/INDEX(Мес_Раб,D2708))</f>
        <v/>
      </c>
    </row>
    <row r="2709">
      <c r="A2709" t="inlineStr">
        <is>
          <t>Алексеева</t>
        </is>
      </c>
      <c r="B2709" t="n">
        <v>12</v>
      </c>
      <c r="C2709" s="18">
        <f>'Календарь'!A109</f>
        <v/>
      </c>
      <c r="D2709">
        <f>MONTH(C2709)</f>
        <v/>
      </c>
      <c r="E2709">
        <f>'Календарь'!D109</f>
        <v/>
      </c>
      <c r="F2709">
        <f>INT((C2709-Нед_Начало)/7)+1</f>
        <v/>
      </c>
      <c r="G2709">
        <f>IF(E2709=0,0,INDEX('Планы менеджеров'!$B$5:$M$16,B2709,D2709)/INDEX(Мес_Раб,D2709))</f>
        <v/>
      </c>
    </row>
    <row r="2710">
      <c r="A2710" t="inlineStr">
        <is>
          <t>Алексеева</t>
        </is>
      </c>
      <c r="B2710" t="n">
        <v>12</v>
      </c>
      <c r="C2710" s="18">
        <f>'Календарь'!A110</f>
        <v/>
      </c>
      <c r="D2710">
        <f>MONTH(C2710)</f>
        <v/>
      </c>
      <c r="E2710">
        <f>'Календарь'!D110</f>
        <v/>
      </c>
      <c r="F2710">
        <f>INT((C2710-Нед_Начало)/7)+1</f>
        <v/>
      </c>
      <c r="G2710">
        <f>IF(E2710=0,0,INDEX('Планы менеджеров'!$B$5:$M$16,B2710,D2710)/INDEX(Мес_Раб,D2710))</f>
        <v/>
      </c>
    </row>
    <row r="2711">
      <c r="A2711" t="inlineStr">
        <is>
          <t>Алексеева</t>
        </is>
      </c>
      <c r="B2711" t="n">
        <v>12</v>
      </c>
      <c r="C2711" s="18">
        <f>'Календарь'!A111</f>
        <v/>
      </c>
      <c r="D2711">
        <f>MONTH(C2711)</f>
        <v/>
      </c>
      <c r="E2711">
        <f>'Календарь'!D111</f>
        <v/>
      </c>
      <c r="F2711">
        <f>INT((C2711-Нед_Начало)/7)+1</f>
        <v/>
      </c>
      <c r="G2711">
        <f>IF(E2711=0,0,INDEX('Планы менеджеров'!$B$5:$M$16,B2711,D2711)/INDEX(Мес_Раб,D2711))</f>
        <v/>
      </c>
    </row>
    <row r="2712">
      <c r="A2712" t="inlineStr">
        <is>
          <t>Алексеева</t>
        </is>
      </c>
      <c r="B2712" t="n">
        <v>12</v>
      </c>
      <c r="C2712" s="18">
        <f>'Календарь'!A112</f>
        <v/>
      </c>
      <c r="D2712">
        <f>MONTH(C2712)</f>
        <v/>
      </c>
      <c r="E2712">
        <f>'Календарь'!D112</f>
        <v/>
      </c>
      <c r="F2712">
        <f>INT((C2712-Нед_Начало)/7)+1</f>
        <v/>
      </c>
      <c r="G2712">
        <f>IF(E2712=0,0,INDEX('Планы менеджеров'!$B$5:$M$16,B2712,D2712)/INDEX(Мес_Раб,D2712))</f>
        <v/>
      </c>
    </row>
    <row r="2713">
      <c r="A2713" t="inlineStr">
        <is>
          <t>Алексеева</t>
        </is>
      </c>
      <c r="B2713" t="n">
        <v>12</v>
      </c>
      <c r="C2713" s="18">
        <f>'Календарь'!A113</f>
        <v/>
      </c>
      <c r="D2713">
        <f>MONTH(C2713)</f>
        <v/>
      </c>
      <c r="E2713">
        <f>'Календарь'!D113</f>
        <v/>
      </c>
      <c r="F2713">
        <f>INT((C2713-Нед_Начало)/7)+1</f>
        <v/>
      </c>
      <c r="G2713">
        <f>IF(E2713=0,0,INDEX('Планы менеджеров'!$B$5:$M$16,B2713,D2713)/INDEX(Мес_Раб,D2713))</f>
        <v/>
      </c>
    </row>
    <row r="2714">
      <c r="A2714" t="inlineStr">
        <is>
          <t>Алексеева</t>
        </is>
      </c>
      <c r="B2714" t="n">
        <v>12</v>
      </c>
      <c r="C2714" s="18">
        <f>'Календарь'!A114</f>
        <v/>
      </c>
      <c r="D2714">
        <f>MONTH(C2714)</f>
        <v/>
      </c>
      <c r="E2714">
        <f>'Календарь'!D114</f>
        <v/>
      </c>
      <c r="F2714">
        <f>INT((C2714-Нед_Начало)/7)+1</f>
        <v/>
      </c>
      <c r="G2714">
        <f>IF(E2714=0,0,INDEX('Планы менеджеров'!$B$5:$M$16,B2714,D2714)/INDEX(Мес_Раб,D2714))</f>
        <v/>
      </c>
    </row>
    <row r="2715">
      <c r="A2715" t="inlineStr">
        <is>
          <t>Алексеева</t>
        </is>
      </c>
      <c r="B2715" t="n">
        <v>12</v>
      </c>
      <c r="C2715" s="18">
        <f>'Календарь'!A115</f>
        <v/>
      </c>
      <c r="D2715">
        <f>MONTH(C2715)</f>
        <v/>
      </c>
      <c r="E2715">
        <f>'Календарь'!D115</f>
        <v/>
      </c>
      <c r="F2715">
        <f>INT((C2715-Нед_Начало)/7)+1</f>
        <v/>
      </c>
      <c r="G2715">
        <f>IF(E2715=0,0,INDEX('Планы менеджеров'!$B$5:$M$16,B2715,D2715)/INDEX(Мес_Раб,D2715))</f>
        <v/>
      </c>
    </row>
    <row r="2716">
      <c r="A2716" t="inlineStr">
        <is>
          <t>Алексеева</t>
        </is>
      </c>
      <c r="B2716" t="n">
        <v>12</v>
      </c>
      <c r="C2716" s="18">
        <f>'Календарь'!A116</f>
        <v/>
      </c>
      <c r="D2716">
        <f>MONTH(C2716)</f>
        <v/>
      </c>
      <c r="E2716">
        <f>'Календарь'!D116</f>
        <v/>
      </c>
      <c r="F2716">
        <f>INT((C2716-Нед_Начало)/7)+1</f>
        <v/>
      </c>
      <c r="G2716">
        <f>IF(E2716=0,0,INDEX('Планы менеджеров'!$B$5:$M$16,B2716,D2716)/INDEX(Мес_Раб,D2716))</f>
        <v/>
      </c>
    </row>
    <row r="2717">
      <c r="A2717" t="inlineStr">
        <is>
          <t>Алексеева</t>
        </is>
      </c>
      <c r="B2717" t="n">
        <v>12</v>
      </c>
      <c r="C2717" s="18">
        <f>'Календарь'!A117</f>
        <v/>
      </c>
      <c r="D2717">
        <f>MONTH(C2717)</f>
        <v/>
      </c>
      <c r="E2717">
        <f>'Календарь'!D117</f>
        <v/>
      </c>
      <c r="F2717">
        <f>INT((C2717-Нед_Начало)/7)+1</f>
        <v/>
      </c>
      <c r="G2717">
        <f>IF(E2717=0,0,INDEX('Планы менеджеров'!$B$5:$M$16,B2717,D2717)/INDEX(Мес_Раб,D2717))</f>
        <v/>
      </c>
    </row>
    <row r="2718">
      <c r="A2718" t="inlineStr">
        <is>
          <t>Алексеева</t>
        </is>
      </c>
      <c r="B2718" t="n">
        <v>12</v>
      </c>
      <c r="C2718" s="18">
        <f>'Календарь'!A118</f>
        <v/>
      </c>
      <c r="D2718">
        <f>MONTH(C2718)</f>
        <v/>
      </c>
      <c r="E2718">
        <f>'Календарь'!D118</f>
        <v/>
      </c>
      <c r="F2718">
        <f>INT((C2718-Нед_Начало)/7)+1</f>
        <v/>
      </c>
      <c r="G2718">
        <f>IF(E2718=0,0,INDEX('Планы менеджеров'!$B$5:$M$16,B2718,D2718)/INDEX(Мес_Раб,D2718))</f>
        <v/>
      </c>
    </row>
    <row r="2719">
      <c r="A2719" t="inlineStr">
        <is>
          <t>Алексеева</t>
        </is>
      </c>
      <c r="B2719" t="n">
        <v>12</v>
      </c>
      <c r="C2719" s="18">
        <f>'Календарь'!A119</f>
        <v/>
      </c>
      <c r="D2719">
        <f>MONTH(C2719)</f>
        <v/>
      </c>
      <c r="E2719">
        <f>'Календарь'!D119</f>
        <v/>
      </c>
      <c r="F2719">
        <f>INT((C2719-Нед_Начало)/7)+1</f>
        <v/>
      </c>
      <c r="G2719">
        <f>IF(E2719=0,0,INDEX('Планы менеджеров'!$B$5:$M$16,B2719,D2719)/INDEX(Мес_Раб,D2719))</f>
        <v/>
      </c>
    </row>
    <row r="2720">
      <c r="A2720" t="inlineStr">
        <is>
          <t>Алексеева</t>
        </is>
      </c>
      <c r="B2720" t="n">
        <v>12</v>
      </c>
      <c r="C2720" s="18">
        <f>'Календарь'!A120</f>
        <v/>
      </c>
      <c r="D2720">
        <f>MONTH(C2720)</f>
        <v/>
      </c>
      <c r="E2720">
        <f>'Календарь'!D120</f>
        <v/>
      </c>
      <c r="F2720">
        <f>INT((C2720-Нед_Начало)/7)+1</f>
        <v/>
      </c>
      <c r="G2720">
        <f>IF(E2720=0,0,INDEX('Планы менеджеров'!$B$5:$M$16,B2720,D2720)/INDEX(Мес_Раб,D2720))</f>
        <v/>
      </c>
    </row>
    <row r="2721">
      <c r="A2721" t="inlineStr">
        <is>
          <t>Алексеева</t>
        </is>
      </c>
      <c r="B2721" t="n">
        <v>12</v>
      </c>
      <c r="C2721" s="18">
        <f>'Календарь'!A121</f>
        <v/>
      </c>
      <c r="D2721">
        <f>MONTH(C2721)</f>
        <v/>
      </c>
      <c r="E2721">
        <f>'Календарь'!D121</f>
        <v/>
      </c>
      <c r="F2721">
        <f>INT((C2721-Нед_Начало)/7)+1</f>
        <v/>
      </c>
      <c r="G2721">
        <f>IF(E2721=0,0,INDEX('Планы менеджеров'!$B$5:$M$16,B2721,D2721)/INDEX(Мес_Раб,D2721))</f>
        <v/>
      </c>
    </row>
    <row r="2722">
      <c r="A2722" t="inlineStr">
        <is>
          <t>Алексеева</t>
        </is>
      </c>
      <c r="B2722" t="n">
        <v>12</v>
      </c>
      <c r="C2722" s="18">
        <f>'Календарь'!A122</f>
        <v/>
      </c>
      <c r="D2722">
        <f>MONTH(C2722)</f>
        <v/>
      </c>
      <c r="E2722">
        <f>'Календарь'!D122</f>
        <v/>
      </c>
      <c r="F2722">
        <f>INT((C2722-Нед_Начало)/7)+1</f>
        <v/>
      </c>
      <c r="G2722">
        <f>IF(E2722=0,0,INDEX('Планы менеджеров'!$B$5:$M$16,B2722,D2722)/INDEX(Мес_Раб,D2722))</f>
        <v/>
      </c>
    </row>
    <row r="2723">
      <c r="A2723" t="inlineStr">
        <is>
          <t>Алексеева</t>
        </is>
      </c>
      <c r="B2723" t="n">
        <v>12</v>
      </c>
      <c r="C2723" s="18">
        <f>'Календарь'!A123</f>
        <v/>
      </c>
      <c r="D2723">
        <f>MONTH(C2723)</f>
        <v/>
      </c>
      <c r="E2723">
        <f>'Календарь'!D123</f>
        <v/>
      </c>
      <c r="F2723">
        <f>INT((C2723-Нед_Начало)/7)+1</f>
        <v/>
      </c>
      <c r="G2723">
        <f>IF(E2723=0,0,INDEX('Планы менеджеров'!$B$5:$M$16,B2723,D2723)/INDEX(Мес_Раб,D2723))</f>
        <v/>
      </c>
    </row>
    <row r="2724">
      <c r="A2724" t="inlineStr">
        <is>
          <t>Алексеева</t>
        </is>
      </c>
      <c r="B2724" t="n">
        <v>12</v>
      </c>
      <c r="C2724" s="18">
        <f>'Календарь'!A124</f>
        <v/>
      </c>
      <c r="D2724">
        <f>MONTH(C2724)</f>
        <v/>
      </c>
      <c r="E2724">
        <f>'Календарь'!D124</f>
        <v/>
      </c>
      <c r="F2724">
        <f>INT((C2724-Нед_Начало)/7)+1</f>
        <v/>
      </c>
      <c r="G2724">
        <f>IF(E2724=0,0,INDEX('Планы менеджеров'!$B$5:$M$16,B2724,D2724)/INDEX(Мес_Раб,D2724))</f>
        <v/>
      </c>
    </row>
    <row r="2725">
      <c r="A2725" t="inlineStr">
        <is>
          <t>Алексеева</t>
        </is>
      </c>
      <c r="B2725" t="n">
        <v>12</v>
      </c>
      <c r="C2725" s="18">
        <f>'Календарь'!A125</f>
        <v/>
      </c>
      <c r="D2725">
        <f>MONTH(C2725)</f>
        <v/>
      </c>
      <c r="E2725">
        <f>'Календарь'!D125</f>
        <v/>
      </c>
      <c r="F2725">
        <f>INT((C2725-Нед_Начало)/7)+1</f>
        <v/>
      </c>
      <c r="G2725">
        <f>IF(E2725=0,0,INDEX('Планы менеджеров'!$B$5:$M$16,B2725,D2725)/INDEX(Мес_Раб,D2725))</f>
        <v/>
      </c>
    </row>
    <row r="2726">
      <c r="A2726" t="inlineStr">
        <is>
          <t>Алексеева</t>
        </is>
      </c>
      <c r="B2726" t="n">
        <v>12</v>
      </c>
      <c r="C2726" s="18">
        <f>'Календарь'!A126</f>
        <v/>
      </c>
      <c r="D2726">
        <f>MONTH(C2726)</f>
        <v/>
      </c>
      <c r="E2726">
        <f>'Календарь'!D126</f>
        <v/>
      </c>
      <c r="F2726">
        <f>INT((C2726-Нед_Начало)/7)+1</f>
        <v/>
      </c>
      <c r="G2726">
        <f>IF(E2726=0,0,INDEX('Планы менеджеров'!$B$5:$M$16,B2726,D2726)/INDEX(Мес_Раб,D2726))</f>
        <v/>
      </c>
    </row>
    <row r="2727">
      <c r="A2727" t="inlineStr">
        <is>
          <t>Алексеева</t>
        </is>
      </c>
      <c r="B2727" t="n">
        <v>12</v>
      </c>
      <c r="C2727" s="18">
        <f>'Календарь'!A127</f>
        <v/>
      </c>
      <c r="D2727">
        <f>MONTH(C2727)</f>
        <v/>
      </c>
      <c r="E2727">
        <f>'Календарь'!D127</f>
        <v/>
      </c>
      <c r="F2727">
        <f>INT((C2727-Нед_Начало)/7)+1</f>
        <v/>
      </c>
      <c r="G2727">
        <f>IF(E2727=0,0,INDEX('Планы менеджеров'!$B$5:$M$16,B2727,D2727)/INDEX(Мес_Раб,D2727))</f>
        <v/>
      </c>
    </row>
    <row r="2728">
      <c r="A2728" t="inlineStr">
        <is>
          <t>Алексеева</t>
        </is>
      </c>
      <c r="B2728" t="n">
        <v>12</v>
      </c>
      <c r="C2728" s="18">
        <f>'Календарь'!A128</f>
        <v/>
      </c>
      <c r="D2728">
        <f>MONTH(C2728)</f>
        <v/>
      </c>
      <c r="E2728">
        <f>'Календарь'!D128</f>
        <v/>
      </c>
      <c r="F2728">
        <f>INT((C2728-Нед_Начало)/7)+1</f>
        <v/>
      </c>
      <c r="G2728">
        <f>IF(E2728=0,0,INDEX('Планы менеджеров'!$B$5:$M$16,B2728,D2728)/INDEX(Мес_Раб,D2728))</f>
        <v/>
      </c>
    </row>
    <row r="2729">
      <c r="A2729" t="inlineStr">
        <is>
          <t>Алексеева</t>
        </is>
      </c>
      <c r="B2729" t="n">
        <v>12</v>
      </c>
      <c r="C2729" s="18">
        <f>'Календарь'!A129</f>
        <v/>
      </c>
      <c r="D2729">
        <f>MONTH(C2729)</f>
        <v/>
      </c>
      <c r="E2729">
        <f>'Календарь'!D129</f>
        <v/>
      </c>
      <c r="F2729">
        <f>INT((C2729-Нед_Начало)/7)+1</f>
        <v/>
      </c>
      <c r="G2729">
        <f>IF(E2729=0,0,INDEX('Планы менеджеров'!$B$5:$M$16,B2729,D2729)/INDEX(Мес_Раб,D2729))</f>
        <v/>
      </c>
    </row>
    <row r="2730">
      <c r="A2730" t="inlineStr">
        <is>
          <t>Алексеева</t>
        </is>
      </c>
      <c r="B2730" t="n">
        <v>12</v>
      </c>
      <c r="C2730" s="18">
        <f>'Календарь'!A130</f>
        <v/>
      </c>
      <c r="D2730">
        <f>MONTH(C2730)</f>
        <v/>
      </c>
      <c r="E2730">
        <f>'Календарь'!D130</f>
        <v/>
      </c>
      <c r="F2730">
        <f>INT((C2730-Нед_Начало)/7)+1</f>
        <v/>
      </c>
      <c r="G2730">
        <f>IF(E2730=0,0,INDEX('Планы менеджеров'!$B$5:$M$16,B2730,D2730)/INDEX(Мес_Раб,D2730))</f>
        <v/>
      </c>
    </row>
    <row r="2731">
      <c r="A2731" t="inlineStr">
        <is>
          <t>Алексеева</t>
        </is>
      </c>
      <c r="B2731" t="n">
        <v>12</v>
      </c>
      <c r="C2731" s="18">
        <f>'Календарь'!A131</f>
        <v/>
      </c>
      <c r="D2731">
        <f>MONTH(C2731)</f>
        <v/>
      </c>
      <c r="E2731">
        <f>'Календарь'!D131</f>
        <v/>
      </c>
      <c r="F2731">
        <f>INT((C2731-Нед_Начало)/7)+1</f>
        <v/>
      </c>
      <c r="G2731">
        <f>IF(E2731=0,0,INDEX('Планы менеджеров'!$B$5:$M$16,B2731,D2731)/INDEX(Мес_Раб,D2731))</f>
        <v/>
      </c>
    </row>
    <row r="2732">
      <c r="A2732" t="inlineStr">
        <is>
          <t>Алексеева</t>
        </is>
      </c>
      <c r="B2732" t="n">
        <v>12</v>
      </c>
      <c r="C2732" s="18">
        <f>'Календарь'!A132</f>
        <v/>
      </c>
      <c r="D2732">
        <f>MONTH(C2732)</f>
        <v/>
      </c>
      <c r="E2732">
        <f>'Календарь'!D132</f>
        <v/>
      </c>
      <c r="F2732">
        <f>INT((C2732-Нед_Начало)/7)+1</f>
        <v/>
      </c>
      <c r="G2732">
        <f>IF(E2732=0,0,INDEX('Планы менеджеров'!$B$5:$M$16,B2732,D2732)/INDEX(Мес_Раб,D2732))</f>
        <v/>
      </c>
    </row>
    <row r="2733">
      <c r="A2733" t="inlineStr">
        <is>
          <t>Алексеева</t>
        </is>
      </c>
      <c r="B2733" t="n">
        <v>12</v>
      </c>
      <c r="C2733" s="18">
        <f>'Календарь'!A133</f>
        <v/>
      </c>
      <c r="D2733">
        <f>MONTH(C2733)</f>
        <v/>
      </c>
      <c r="E2733">
        <f>'Календарь'!D133</f>
        <v/>
      </c>
      <c r="F2733">
        <f>INT((C2733-Нед_Начало)/7)+1</f>
        <v/>
      </c>
      <c r="G2733">
        <f>IF(E2733=0,0,INDEX('Планы менеджеров'!$B$5:$M$16,B2733,D2733)/INDEX(Мес_Раб,D2733))</f>
        <v/>
      </c>
    </row>
    <row r="2734">
      <c r="A2734" t="inlineStr">
        <is>
          <t>Алексеева</t>
        </is>
      </c>
      <c r="B2734" t="n">
        <v>12</v>
      </c>
      <c r="C2734" s="18">
        <f>'Календарь'!A134</f>
        <v/>
      </c>
      <c r="D2734">
        <f>MONTH(C2734)</f>
        <v/>
      </c>
      <c r="E2734">
        <f>'Календарь'!D134</f>
        <v/>
      </c>
      <c r="F2734">
        <f>INT((C2734-Нед_Начало)/7)+1</f>
        <v/>
      </c>
      <c r="G2734">
        <f>IF(E2734=0,0,INDEX('Планы менеджеров'!$B$5:$M$16,B2734,D2734)/INDEX(Мес_Раб,D2734))</f>
        <v/>
      </c>
    </row>
    <row r="2735">
      <c r="A2735" t="inlineStr">
        <is>
          <t>Алексеева</t>
        </is>
      </c>
      <c r="B2735" t="n">
        <v>12</v>
      </c>
      <c r="C2735" s="18">
        <f>'Календарь'!A135</f>
        <v/>
      </c>
      <c r="D2735">
        <f>MONTH(C2735)</f>
        <v/>
      </c>
      <c r="E2735">
        <f>'Календарь'!D135</f>
        <v/>
      </c>
      <c r="F2735">
        <f>INT((C2735-Нед_Начало)/7)+1</f>
        <v/>
      </c>
      <c r="G2735">
        <f>IF(E2735=0,0,INDEX('Планы менеджеров'!$B$5:$M$16,B2735,D2735)/INDEX(Мес_Раб,D2735))</f>
        <v/>
      </c>
    </row>
    <row r="2736">
      <c r="A2736" t="inlineStr">
        <is>
          <t>Алексеева</t>
        </is>
      </c>
      <c r="B2736" t="n">
        <v>12</v>
      </c>
      <c r="C2736" s="18">
        <f>'Календарь'!A136</f>
        <v/>
      </c>
      <c r="D2736">
        <f>MONTH(C2736)</f>
        <v/>
      </c>
      <c r="E2736">
        <f>'Календарь'!D136</f>
        <v/>
      </c>
      <c r="F2736">
        <f>INT((C2736-Нед_Начало)/7)+1</f>
        <v/>
      </c>
      <c r="G2736">
        <f>IF(E2736=0,0,INDEX('Планы менеджеров'!$B$5:$M$16,B2736,D2736)/INDEX(Мес_Раб,D2736))</f>
        <v/>
      </c>
    </row>
    <row r="2737">
      <c r="A2737" t="inlineStr">
        <is>
          <t>Алексеева</t>
        </is>
      </c>
      <c r="B2737" t="n">
        <v>12</v>
      </c>
      <c r="C2737" s="18">
        <f>'Календарь'!A137</f>
        <v/>
      </c>
      <c r="D2737">
        <f>MONTH(C2737)</f>
        <v/>
      </c>
      <c r="E2737">
        <f>'Календарь'!D137</f>
        <v/>
      </c>
      <c r="F2737">
        <f>INT((C2737-Нед_Начало)/7)+1</f>
        <v/>
      </c>
      <c r="G2737">
        <f>IF(E2737=0,0,INDEX('Планы менеджеров'!$B$5:$M$16,B2737,D2737)/INDEX(Мес_Раб,D2737))</f>
        <v/>
      </c>
    </row>
    <row r="2738">
      <c r="A2738" t="inlineStr">
        <is>
          <t>Алексеева</t>
        </is>
      </c>
      <c r="B2738" t="n">
        <v>12</v>
      </c>
      <c r="C2738" s="18">
        <f>'Календарь'!A138</f>
        <v/>
      </c>
      <c r="D2738">
        <f>MONTH(C2738)</f>
        <v/>
      </c>
      <c r="E2738">
        <f>'Календарь'!D138</f>
        <v/>
      </c>
      <c r="F2738">
        <f>INT((C2738-Нед_Начало)/7)+1</f>
        <v/>
      </c>
      <c r="G2738">
        <f>IF(E2738=0,0,INDEX('Планы менеджеров'!$B$5:$M$16,B2738,D2738)/INDEX(Мес_Раб,D2738))</f>
        <v/>
      </c>
    </row>
    <row r="2739">
      <c r="A2739" t="inlineStr">
        <is>
          <t>Алексеева</t>
        </is>
      </c>
      <c r="B2739" t="n">
        <v>12</v>
      </c>
      <c r="C2739" s="18">
        <f>'Календарь'!A139</f>
        <v/>
      </c>
      <c r="D2739">
        <f>MONTH(C2739)</f>
        <v/>
      </c>
      <c r="E2739">
        <f>'Календарь'!D139</f>
        <v/>
      </c>
      <c r="F2739">
        <f>INT((C2739-Нед_Начало)/7)+1</f>
        <v/>
      </c>
      <c r="G2739">
        <f>IF(E2739=0,0,INDEX('Планы менеджеров'!$B$5:$M$16,B2739,D2739)/INDEX(Мес_Раб,D2739))</f>
        <v/>
      </c>
    </row>
    <row r="2740">
      <c r="A2740" t="inlineStr">
        <is>
          <t>Алексеева</t>
        </is>
      </c>
      <c r="B2740" t="n">
        <v>12</v>
      </c>
      <c r="C2740" s="18">
        <f>'Календарь'!A140</f>
        <v/>
      </c>
      <c r="D2740">
        <f>MONTH(C2740)</f>
        <v/>
      </c>
      <c r="E2740">
        <f>'Календарь'!D140</f>
        <v/>
      </c>
      <c r="F2740">
        <f>INT((C2740-Нед_Начало)/7)+1</f>
        <v/>
      </c>
      <c r="G2740">
        <f>IF(E2740=0,0,INDEX('Планы менеджеров'!$B$5:$M$16,B2740,D2740)/INDEX(Мес_Раб,D2740))</f>
        <v/>
      </c>
    </row>
    <row r="2741">
      <c r="A2741" t="inlineStr">
        <is>
          <t>Алексеева</t>
        </is>
      </c>
      <c r="B2741" t="n">
        <v>12</v>
      </c>
      <c r="C2741" s="18">
        <f>'Календарь'!A141</f>
        <v/>
      </c>
      <c r="D2741">
        <f>MONTH(C2741)</f>
        <v/>
      </c>
      <c r="E2741">
        <f>'Календарь'!D141</f>
        <v/>
      </c>
      <c r="F2741">
        <f>INT((C2741-Нед_Начало)/7)+1</f>
        <v/>
      </c>
      <c r="G2741">
        <f>IF(E2741=0,0,INDEX('Планы менеджеров'!$B$5:$M$16,B2741,D2741)/INDEX(Мес_Раб,D2741))</f>
        <v/>
      </c>
    </row>
    <row r="2742">
      <c r="A2742" t="inlineStr">
        <is>
          <t>Алексеева</t>
        </is>
      </c>
      <c r="B2742" t="n">
        <v>12</v>
      </c>
      <c r="C2742" s="18">
        <f>'Календарь'!A142</f>
        <v/>
      </c>
      <c r="D2742">
        <f>MONTH(C2742)</f>
        <v/>
      </c>
      <c r="E2742">
        <f>'Календарь'!D142</f>
        <v/>
      </c>
      <c r="F2742">
        <f>INT((C2742-Нед_Начало)/7)+1</f>
        <v/>
      </c>
      <c r="G2742">
        <f>IF(E2742=0,0,INDEX('Планы менеджеров'!$B$5:$M$16,B2742,D2742)/INDEX(Мес_Раб,D2742))</f>
        <v/>
      </c>
    </row>
    <row r="2743">
      <c r="A2743" t="inlineStr">
        <is>
          <t>Алексеева</t>
        </is>
      </c>
      <c r="B2743" t="n">
        <v>12</v>
      </c>
      <c r="C2743" s="18">
        <f>'Календарь'!A143</f>
        <v/>
      </c>
      <c r="D2743">
        <f>MONTH(C2743)</f>
        <v/>
      </c>
      <c r="E2743">
        <f>'Календарь'!D143</f>
        <v/>
      </c>
      <c r="F2743">
        <f>INT((C2743-Нед_Начало)/7)+1</f>
        <v/>
      </c>
      <c r="G2743">
        <f>IF(E2743=0,0,INDEX('Планы менеджеров'!$B$5:$M$16,B2743,D2743)/INDEX(Мес_Раб,D2743))</f>
        <v/>
      </c>
    </row>
    <row r="2744">
      <c r="A2744" t="inlineStr">
        <is>
          <t>Алексеева</t>
        </is>
      </c>
      <c r="B2744" t="n">
        <v>12</v>
      </c>
      <c r="C2744" s="18">
        <f>'Календарь'!A144</f>
        <v/>
      </c>
      <c r="D2744">
        <f>MONTH(C2744)</f>
        <v/>
      </c>
      <c r="E2744">
        <f>'Календарь'!D144</f>
        <v/>
      </c>
      <c r="F2744">
        <f>INT((C2744-Нед_Начало)/7)+1</f>
        <v/>
      </c>
      <c r="G2744">
        <f>IF(E2744=0,0,INDEX('Планы менеджеров'!$B$5:$M$16,B2744,D2744)/INDEX(Мес_Раб,D2744))</f>
        <v/>
      </c>
    </row>
    <row r="2745">
      <c r="A2745" t="inlineStr">
        <is>
          <t>Алексеева</t>
        </is>
      </c>
      <c r="B2745" t="n">
        <v>12</v>
      </c>
      <c r="C2745" s="18">
        <f>'Календарь'!A145</f>
        <v/>
      </c>
      <c r="D2745">
        <f>MONTH(C2745)</f>
        <v/>
      </c>
      <c r="E2745">
        <f>'Календарь'!D145</f>
        <v/>
      </c>
      <c r="F2745">
        <f>INT((C2745-Нед_Начало)/7)+1</f>
        <v/>
      </c>
      <c r="G2745">
        <f>IF(E2745=0,0,INDEX('Планы менеджеров'!$B$5:$M$16,B2745,D2745)/INDEX(Мес_Раб,D2745))</f>
        <v/>
      </c>
    </row>
    <row r="2746">
      <c r="A2746" t="inlineStr">
        <is>
          <t>Алексеева</t>
        </is>
      </c>
      <c r="B2746" t="n">
        <v>12</v>
      </c>
      <c r="C2746" s="18">
        <f>'Календарь'!A146</f>
        <v/>
      </c>
      <c r="D2746">
        <f>MONTH(C2746)</f>
        <v/>
      </c>
      <c r="E2746">
        <f>'Календарь'!D146</f>
        <v/>
      </c>
      <c r="F2746">
        <f>INT((C2746-Нед_Начало)/7)+1</f>
        <v/>
      </c>
      <c r="G2746">
        <f>IF(E2746=0,0,INDEX('Планы менеджеров'!$B$5:$M$16,B2746,D2746)/INDEX(Мес_Раб,D2746))</f>
        <v/>
      </c>
    </row>
    <row r="2747">
      <c r="A2747" t="inlineStr">
        <is>
          <t>Алексеева</t>
        </is>
      </c>
      <c r="B2747" t="n">
        <v>12</v>
      </c>
      <c r="C2747" s="18">
        <f>'Календарь'!A147</f>
        <v/>
      </c>
      <c r="D2747">
        <f>MONTH(C2747)</f>
        <v/>
      </c>
      <c r="E2747">
        <f>'Календарь'!D147</f>
        <v/>
      </c>
      <c r="F2747">
        <f>INT((C2747-Нед_Начало)/7)+1</f>
        <v/>
      </c>
      <c r="G2747">
        <f>IF(E2747=0,0,INDEX('Планы менеджеров'!$B$5:$M$16,B2747,D2747)/INDEX(Мес_Раб,D2747))</f>
        <v/>
      </c>
    </row>
    <row r="2748">
      <c r="A2748" t="inlineStr">
        <is>
          <t>Алексеева</t>
        </is>
      </c>
      <c r="B2748" t="n">
        <v>12</v>
      </c>
      <c r="C2748" s="18">
        <f>'Календарь'!A148</f>
        <v/>
      </c>
      <c r="D2748">
        <f>MONTH(C2748)</f>
        <v/>
      </c>
      <c r="E2748">
        <f>'Календарь'!D148</f>
        <v/>
      </c>
      <c r="F2748">
        <f>INT((C2748-Нед_Начало)/7)+1</f>
        <v/>
      </c>
      <c r="G2748">
        <f>IF(E2748=0,0,INDEX('Планы менеджеров'!$B$5:$M$16,B2748,D2748)/INDEX(Мес_Раб,D2748))</f>
        <v/>
      </c>
    </row>
    <row r="2749">
      <c r="A2749" t="inlineStr">
        <is>
          <t>Алексеева</t>
        </is>
      </c>
      <c r="B2749" t="n">
        <v>12</v>
      </c>
      <c r="C2749" s="18">
        <f>'Календарь'!A149</f>
        <v/>
      </c>
      <c r="D2749">
        <f>MONTH(C2749)</f>
        <v/>
      </c>
      <c r="E2749">
        <f>'Календарь'!D149</f>
        <v/>
      </c>
      <c r="F2749">
        <f>INT((C2749-Нед_Начало)/7)+1</f>
        <v/>
      </c>
      <c r="G2749">
        <f>IF(E2749=0,0,INDEX('Планы менеджеров'!$B$5:$M$16,B2749,D2749)/INDEX(Мес_Раб,D2749))</f>
        <v/>
      </c>
    </row>
    <row r="2750">
      <c r="A2750" t="inlineStr">
        <is>
          <t>Алексеева</t>
        </is>
      </c>
      <c r="B2750" t="n">
        <v>12</v>
      </c>
      <c r="C2750" s="18">
        <f>'Календарь'!A150</f>
        <v/>
      </c>
      <c r="D2750">
        <f>MONTH(C2750)</f>
        <v/>
      </c>
      <c r="E2750">
        <f>'Календарь'!D150</f>
        <v/>
      </c>
      <c r="F2750">
        <f>INT((C2750-Нед_Начало)/7)+1</f>
        <v/>
      </c>
      <c r="G2750">
        <f>IF(E2750=0,0,INDEX('Планы менеджеров'!$B$5:$M$16,B2750,D2750)/INDEX(Мес_Раб,D2750))</f>
        <v/>
      </c>
    </row>
    <row r="2751">
      <c r="A2751" t="inlineStr">
        <is>
          <t>Алексеева</t>
        </is>
      </c>
      <c r="B2751" t="n">
        <v>12</v>
      </c>
      <c r="C2751" s="18">
        <f>'Календарь'!A151</f>
        <v/>
      </c>
      <c r="D2751">
        <f>MONTH(C2751)</f>
        <v/>
      </c>
      <c r="E2751">
        <f>'Календарь'!D151</f>
        <v/>
      </c>
      <c r="F2751">
        <f>INT((C2751-Нед_Начало)/7)+1</f>
        <v/>
      </c>
      <c r="G2751">
        <f>IF(E2751=0,0,INDEX('Планы менеджеров'!$B$5:$M$16,B2751,D2751)/INDEX(Мес_Раб,D2751))</f>
        <v/>
      </c>
    </row>
    <row r="2752">
      <c r="A2752" t="inlineStr">
        <is>
          <t>Алексеева</t>
        </is>
      </c>
      <c r="B2752" t="n">
        <v>12</v>
      </c>
      <c r="C2752" s="18">
        <f>'Календарь'!A152</f>
        <v/>
      </c>
      <c r="D2752">
        <f>MONTH(C2752)</f>
        <v/>
      </c>
      <c r="E2752">
        <f>'Календарь'!D152</f>
        <v/>
      </c>
      <c r="F2752">
        <f>INT((C2752-Нед_Начало)/7)+1</f>
        <v/>
      </c>
      <c r="G2752">
        <f>IF(E2752=0,0,INDEX('Планы менеджеров'!$B$5:$M$16,B2752,D2752)/INDEX(Мес_Раб,D2752))</f>
        <v/>
      </c>
    </row>
    <row r="2753">
      <c r="A2753" t="inlineStr">
        <is>
          <t>Алексеева</t>
        </is>
      </c>
      <c r="B2753" t="n">
        <v>12</v>
      </c>
      <c r="C2753" s="18">
        <f>'Календарь'!A153</f>
        <v/>
      </c>
      <c r="D2753">
        <f>MONTH(C2753)</f>
        <v/>
      </c>
      <c r="E2753">
        <f>'Календарь'!D153</f>
        <v/>
      </c>
      <c r="F2753">
        <f>INT((C2753-Нед_Начало)/7)+1</f>
        <v/>
      </c>
      <c r="G2753">
        <f>IF(E2753=0,0,INDEX('Планы менеджеров'!$B$5:$M$16,B2753,D2753)/INDEX(Мес_Раб,D2753))</f>
        <v/>
      </c>
    </row>
    <row r="2754">
      <c r="A2754" t="inlineStr">
        <is>
          <t>Алексеева</t>
        </is>
      </c>
      <c r="B2754" t="n">
        <v>12</v>
      </c>
      <c r="C2754" s="18">
        <f>'Календарь'!A154</f>
        <v/>
      </c>
      <c r="D2754">
        <f>MONTH(C2754)</f>
        <v/>
      </c>
      <c r="E2754">
        <f>'Календарь'!D154</f>
        <v/>
      </c>
      <c r="F2754">
        <f>INT((C2754-Нед_Начало)/7)+1</f>
        <v/>
      </c>
      <c r="G2754">
        <f>IF(E2754=0,0,INDEX('Планы менеджеров'!$B$5:$M$16,B2754,D2754)/INDEX(Мес_Раб,D2754))</f>
        <v/>
      </c>
    </row>
    <row r="2755">
      <c r="A2755" t="inlineStr">
        <is>
          <t>Алексеева</t>
        </is>
      </c>
      <c r="B2755" t="n">
        <v>12</v>
      </c>
      <c r="C2755" s="18">
        <f>'Календарь'!A155</f>
        <v/>
      </c>
      <c r="D2755">
        <f>MONTH(C2755)</f>
        <v/>
      </c>
      <c r="E2755">
        <f>'Календарь'!D155</f>
        <v/>
      </c>
      <c r="F2755">
        <f>INT((C2755-Нед_Начало)/7)+1</f>
        <v/>
      </c>
      <c r="G2755">
        <f>IF(E2755=0,0,INDEX('Планы менеджеров'!$B$5:$M$16,B2755,D2755)/INDEX(Мес_Раб,D2755))</f>
        <v/>
      </c>
    </row>
    <row r="2756">
      <c r="A2756" t="inlineStr">
        <is>
          <t>Алексеева</t>
        </is>
      </c>
      <c r="B2756" t="n">
        <v>12</v>
      </c>
      <c r="C2756" s="18">
        <f>'Календарь'!A156</f>
        <v/>
      </c>
      <c r="D2756">
        <f>MONTH(C2756)</f>
        <v/>
      </c>
      <c r="E2756">
        <f>'Календарь'!D156</f>
        <v/>
      </c>
      <c r="F2756">
        <f>INT((C2756-Нед_Начало)/7)+1</f>
        <v/>
      </c>
      <c r="G2756">
        <f>IF(E2756=0,0,INDEX('Планы менеджеров'!$B$5:$M$16,B2756,D2756)/INDEX(Мес_Раб,D2756))</f>
        <v/>
      </c>
    </row>
    <row r="2757">
      <c r="A2757" t="inlineStr">
        <is>
          <t>Алексеева</t>
        </is>
      </c>
      <c r="B2757" t="n">
        <v>12</v>
      </c>
      <c r="C2757" s="18">
        <f>'Календарь'!A157</f>
        <v/>
      </c>
      <c r="D2757">
        <f>MONTH(C2757)</f>
        <v/>
      </c>
      <c r="E2757">
        <f>'Календарь'!D157</f>
        <v/>
      </c>
      <c r="F2757">
        <f>INT((C2757-Нед_Начало)/7)+1</f>
        <v/>
      </c>
      <c r="G2757">
        <f>IF(E2757=0,0,INDEX('Планы менеджеров'!$B$5:$M$16,B2757,D2757)/INDEX(Мес_Раб,D2757))</f>
        <v/>
      </c>
    </row>
    <row r="2758">
      <c r="A2758" t="inlineStr">
        <is>
          <t>Алексеева</t>
        </is>
      </c>
      <c r="B2758" t="n">
        <v>12</v>
      </c>
      <c r="C2758" s="18">
        <f>'Календарь'!A158</f>
        <v/>
      </c>
      <c r="D2758">
        <f>MONTH(C2758)</f>
        <v/>
      </c>
      <c r="E2758">
        <f>'Календарь'!D158</f>
        <v/>
      </c>
      <c r="F2758">
        <f>INT((C2758-Нед_Начало)/7)+1</f>
        <v/>
      </c>
      <c r="G2758">
        <f>IF(E2758=0,0,INDEX('Планы менеджеров'!$B$5:$M$16,B2758,D2758)/INDEX(Мес_Раб,D2758))</f>
        <v/>
      </c>
    </row>
    <row r="2759">
      <c r="A2759" t="inlineStr">
        <is>
          <t>Алексеева</t>
        </is>
      </c>
      <c r="B2759" t="n">
        <v>12</v>
      </c>
      <c r="C2759" s="18">
        <f>'Календарь'!A159</f>
        <v/>
      </c>
      <c r="D2759">
        <f>MONTH(C2759)</f>
        <v/>
      </c>
      <c r="E2759">
        <f>'Календарь'!D159</f>
        <v/>
      </c>
      <c r="F2759">
        <f>INT((C2759-Нед_Начало)/7)+1</f>
        <v/>
      </c>
      <c r="G2759">
        <f>IF(E2759=0,0,INDEX('Планы менеджеров'!$B$5:$M$16,B2759,D2759)/INDEX(Мес_Раб,D2759))</f>
        <v/>
      </c>
    </row>
    <row r="2760">
      <c r="A2760" t="inlineStr">
        <is>
          <t>Алексеева</t>
        </is>
      </c>
      <c r="B2760" t="n">
        <v>12</v>
      </c>
      <c r="C2760" s="18">
        <f>'Календарь'!A160</f>
        <v/>
      </c>
      <c r="D2760">
        <f>MONTH(C2760)</f>
        <v/>
      </c>
      <c r="E2760">
        <f>'Календарь'!D160</f>
        <v/>
      </c>
      <c r="F2760">
        <f>INT((C2760-Нед_Начало)/7)+1</f>
        <v/>
      </c>
      <c r="G2760">
        <f>IF(E2760=0,0,INDEX('Планы менеджеров'!$B$5:$M$16,B2760,D2760)/INDEX(Мес_Раб,D2760))</f>
        <v/>
      </c>
    </row>
    <row r="2761">
      <c r="A2761" t="inlineStr">
        <is>
          <t>Алексеева</t>
        </is>
      </c>
      <c r="B2761" t="n">
        <v>12</v>
      </c>
      <c r="C2761" s="18">
        <f>'Календарь'!A161</f>
        <v/>
      </c>
      <c r="D2761">
        <f>MONTH(C2761)</f>
        <v/>
      </c>
      <c r="E2761">
        <f>'Календарь'!D161</f>
        <v/>
      </c>
      <c r="F2761">
        <f>INT((C2761-Нед_Начало)/7)+1</f>
        <v/>
      </c>
      <c r="G2761">
        <f>IF(E2761=0,0,INDEX('Планы менеджеров'!$B$5:$M$16,B2761,D2761)/INDEX(Мес_Раб,D2761))</f>
        <v/>
      </c>
    </row>
    <row r="2762">
      <c r="A2762" t="inlineStr">
        <is>
          <t>Алексеева</t>
        </is>
      </c>
      <c r="B2762" t="n">
        <v>12</v>
      </c>
      <c r="C2762" s="18">
        <f>'Календарь'!A162</f>
        <v/>
      </c>
      <c r="D2762">
        <f>MONTH(C2762)</f>
        <v/>
      </c>
      <c r="E2762">
        <f>'Календарь'!D162</f>
        <v/>
      </c>
      <c r="F2762">
        <f>INT((C2762-Нед_Начало)/7)+1</f>
        <v/>
      </c>
      <c r="G2762">
        <f>IF(E2762=0,0,INDEX('Планы менеджеров'!$B$5:$M$16,B2762,D2762)/INDEX(Мес_Раб,D2762))</f>
        <v/>
      </c>
    </row>
    <row r="2763">
      <c r="A2763" t="inlineStr">
        <is>
          <t>Алексеева</t>
        </is>
      </c>
      <c r="B2763" t="n">
        <v>12</v>
      </c>
      <c r="C2763" s="18">
        <f>'Календарь'!A163</f>
        <v/>
      </c>
      <c r="D2763">
        <f>MONTH(C2763)</f>
        <v/>
      </c>
      <c r="E2763">
        <f>'Календарь'!D163</f>
        <v/>
      </c>
      <c r="F2763">
        <f>INT((C2763-Нед_Начало)/7)+1</f>
        <v/>
      </c>
      <c r="G2763">
        <f>IF(E2763=0,0,INDEX('Планы менеджеров'!$B$5:$M$16,B2763,D2763)/INDEX(Мес_Раб,D2763))</f>
        <v/>
      </c>
    </row>
    <row r="2764">
      <c r="A2764" t="inlineStr">
        <is>
          <t>Алексеева</t>
        </is>
      </c>
      <c r="B2764" t="n">
        <v>12</v>
      </c>
      <c r="C2764" s="18">
        <f>'Календарь'!A164</f>
        <v/>
      </c>
      <c r="D2764">
        <f>MONTH(C2764)</f>
        <v/>
      </c>
      <c r="E2764">
        <f>'Календарь'!D164</f>
        <v/>
      </c>
      <c r="F2764">
        <f>INT((C2764-Нед_Начало)/7)+1</f>
        <v/>
      </c>
      <c r="G2764">
        <f>IF(E2764=0,0,INDEX('Планы менеджеров'!$B$5:$M$16,B2764,D2764)/INDEX(Мес_Раб,D2764))</f>
        <v/>
      </c>
    </row>
    <row r="2765">
      <c r="A2765" t="inlineStr">
        <is>
          <t>Алексеева</t>
        </is>
      </c>
      <c r="B2765" t="n">
        <v>12</v>
      </c>
      <c r="C2765" s="18">
        <f>'Календарь'!A165</f>
        <v/>
      </c>
      <c r="D2765">
        <f>MONTH(C2765)</f>
        <v/>
      </c>
      <c r="E2765">
        <f>'Календарь'!D165</f>
        <v/>
      </c>
      <c r="F2765">
        <f>INT((C2765-Нед_Начало)/7)+1</f>
        <v/>
      </c>
      <c r="G2765">
        <f>IF(E2765=0,0,INDEX('Планы менеджеров'!$B$5:$M$16,B2765,D2765)/INDEX(Мес_Раб,D2765))</f>
        <v/>
      </c>
    </row>
    <row r="2766">
      <c r="A2766" t="inlineStr">
        <is>
          <t>Алексеева</t>
        </is>
      </c>
      <c r="B2766" t="n">
        <v>12</v>
      </c>
      <c r="C2766" s="18">
        <f>'Календарь'!A166</f>
        <v/>
      </c>
      <c r="D2766">
        <f>MONTH(C2766)</f>
        <v/>
      </c>
      <c r="E2766">
        <f>'Календарь'!D166</f>
        <v/>
      </c>
      <c r="F2766">
        <f>INT((C2766-Нед_Начало)/7)+1</f>
        <v/>
      </c>
      <c r="G2766">
        <f>IF(E2766=0,0,INDEX('Планы менеджеров'!$B$5:$M$16,B2766,D2766)/INDEX(Мес_Раб,D2766))</f>
        <v/>
      </c>
    </row>
    <row r="2767">
      <c r="A2767" t="inlineStr">
        <is>
          <t>Алексеева</t>
        </is>
      </c>
      <c r="B2767" t="n">
        <v>12</v>
      </c>
      <c r="C2767" s="18">
        <f>'Календарь'!A167</f>
        <v/>
      </c>
      <c r="D2767">
        <f>MONTH(C2767)</f>
        <v/>
      </c>
      <c r="E2767">
        <f>'Календарь'!D167</f>
        <v/>
      </c>
      <c r="F2767">
        <f>INT((C2767-Нед_Начало)/7)+1</f>
        <v/>
      </c>
      <c r="G2767">
        <f>IF(E2767=0,0,INDEX('Планы менеджеров'!$B$5:$M$16,B2767,D2767)/INDEX(Мес_Раб,D2767))</f>
        <v/>
      </c>
    </row>
    <row r="2768">
      <c r="A2768" t="inlineStr">
        <is>
          <t>Алексеева</t>
        </is>
      </c>
      <c r="B2768" t="n">
        <v>12</v>
      </c>
      <c r="C2768" s="18">
        <f>'Календарь'!A168</f>
        <v/>
      </c>
      <c r="D2768">
        <f>MONTH(C2768)</f>
        <v/>
      </c>
      <c r="E2768">
        <f>'Календарь'!D168</f>
        <v/>
      </c>
      <c r="F2768">
        <f>INT((C2768-Нед_Начало)/7)+1</f>
        <v/>
      </c>
      <c r="G2768">
        <f>IF(E2768=0,0,INDEX('Планы менеджеров'!$B$5:$M$16,B2768,D2768)/INDEX(Мес_Раб,D2768))</f>
        <v/>
      </c>
    </row>
    <row r="2769">
      <c r="A2769" t="inlineStr">
        <is>
          <t>Алексеева</t>
        </is>
      </c>
      <c r="B2769" t="n">
        <v>12</v>
      </c>
      <c r="C2769" s="18">
        <f>'Календарь'!A169</f>
        <v/>
      </c>
      <c r="D2769">
        <f>MONTH(C2769)</f>
        <v/>
      </c>
      <c r="E2769">
        <f>'Календарь'!D169</f>
        <v/>
      </c>
      <c r="F2769">
        <f>INT((C2769-Нед_Начало)/7)+1</f>
        <v/>
      </c>
      <c r="G2769">
        <f>IF(E2769=0,0,INDEX('Планы менеджеров'!$B$5:$M$16,B2769,D2769)/INDEX(Мес_Раб,D2769))</f>
        <v/>
      </c>
    </row>
    <row r="2770">
      <c r="A2770" t="inlineStr">
        <is>
          <t>Алексеева</t>
        </is>
      </c>
      <c r="B2770" t="n">
        <v>12</v>
      </c>
      <c r="C2770" s="18">
        <f>'Календарь'!A170</f>
        <v/>
      </c>
      <c r="D2770">
        <f>MONTH(C2770)</f>
        <v/>
      </c>
      <c r="E2770">
        <f>'Календарь'!D170</f>
        <v/>
      </c>
      <c r="F2770">
        <f>INT((C2770-Нед_Начало)/7)+1</f>
        <v/>
      </c>
      <c r="G2770">
        <f>IF(E2770=0,0,INDEX('Планы менеджеров'!$B$5:$M$16,B2770,D2770)/INDEX(Мес_Раб,D2770))</f>
        <v/>
      </c>
    </row>
    <row r="2771">
      <c r="A2771" t="inlineStr">
        <is>
          <t>Алексеева</t>
        </is>
      </c>
      <c r="B2771" t="n">
        <v>12</v>
      </c>
      <c r="C2771" s="18">
        <f>'Календарь'!A171</f>
        <v/>
      </c>
      <c r="D2771">
        <f>MONTH(C2771)</f>
        <v/>
      </c>
      <c r="E2771">
        <f>'Календарь'!D171</f>
        <v/>
      </c>
      <c r="F2771">
        <f>INT((C2771-Нед_Начало)/7)+1</f>
        <v/>
      </c>
      <c r="G2771">
        <f>IF(E2771=0,0,INDEX('Планы менеджеров'!$B$5:$M$16,B2771,D2771)/INDEX(Мес_Раб,D2771))</f>
        <v/>
      </c>
    </row>
    <row r="2772">
      <c r="A2772" t="inlineStr">
        <is>
          <t>Алексеева</t>
        </is>
      </c>
      <c r="B2772" t="n">
        <v>12</v>
      </c>
      <c r="C2772" s="18">
        <f>'Календарь'!A172</f>
        <v/>
      </c>
      <c r="D2772">
        <f>MONTH(C2772)</f>
        <v/>
      </c>
      <c r="E2772">
        <f>'Календарь'!D172</f>
        <v/>
      </c>
      <c r="F2772">
        <f>INT((C2772-Нед_Начало)/7)+1</f>
        <v/>
      </c>
      <c r="G2772">
        <f>IF(E2772=0,0,INDEX('Планы менеджеров'!$B$5:$M$16,B2772,D2772)/INDEX(Мес_Раб,D2772))</f>
        <v/>
      </c>
    </row>
    <row r="2773">
      <c r="A2773" t="inlineStr">
        <is>
          <t>Алексеева</t>
        </is>
      </c>
      <c r="B2773" t="n">
        <v>12</v>
      </c>
      <c r="C2773" s="18">
        <f>'Календарь'!A173</f>
        <v/>
      </c>
      <c r="D2773">
        <f>MONTH(C2773)</f>
        <v/>
      </c>
      <c r="E2773">
        <f>'Календарь'!D173</f>
        <v/>
      </c>
      <c r="F2773">
        <f>INT((C2773-Нед_Начало)/7)+1</f>
        <v/>
      </c>
      <c r="G2773">
        <f>IF(E2773=0,0,INDEX('Планы менеджеров'!$B$5:$M$16,B2773,D2773)/INDEX(Мес_Раб,D2773))</f>
        <v/>
      </c>
    </row>
    <row r="2774">
      <c r="A2774" t="inlineStr">
        <is>
          <t>Алексеева</t>
        </is>
      </c>
      <c r="B2774" t="n">
        <v>12</v>
      </c>
      <c r="C2774" s="18">
        <f>'Календарь'!A174</f>
        <v/>
      </c>
      <c r="D2774">
        <f>MONTH(C2774)</f>
        <v/>
      </c>
      <c r="E2774">
        <f>'Календарь'!D174</f>
        <v/>
      </c>
      <c r="F2774">
        <f>INT((C2774-Нед_Начало)/7)+1</f>
        <v/>
      </c>
      <c r="G2774">
        <f>IF(E2774=0,0,INDEX('Планы менеджеров'!$B$5:$M$16,B2774,D2774)/INDEX(Мес_Раб,D2774))</f>
        <v/>
      </c>
    </row>
    <row r="2775">
      <c r="A2775" t="inlineStr">
        <is>
          <t>Алексеева</t>
        </is>
      </c>
      <c r="B2775" t="n">
        <v>12</v>
      </c>
      <c r="C2775" s="18">
        <f>'Календарь'!A175</f>
        <v/>
      </c>
      <c r="D2775">
        <f>MONTH(C2775)</f>
        <v/>
      </c>
      <c r="E2775">
        <f>'Календарь'!D175</f>
        <v/>
      </c>
      <c r="F2775">
        <f>INT((C2775-Нед_Начало)/7)+1</f>
        <v/>
      </c>
      <c r="G2775">
        <f>IF(E2775=0,0,INDEX('Планы менеджеров'!$B$5:$M$16,B2775,D2775)/INDEX(Мес_Раб,D2775))</f>
        <v/>
      </c>
    </row>
    <row r="2776">
      <c r="A2776" t="inlineStr">
        <is>
          <t>Алексеева</t>
        </is>
      </c>
      <c r="B2776" t="n">
        <v>12</v>
      </c>
      <c r="C2776" s="18">
        <f>'Календарь'!A176</f>
        <v/>
      </c>
      <c r="D2776">
        <f>MONTH(C2776)</f>
        <v/>
      </c>
      <c r="E2776">
        <f>'Календарь'!D176</f>
        <v/>
      </c>
      <c r="F2776">
        <f>INT((C2776-Нед_Начало)/7)+1</f>
        <v/>
      </c>
      <c r="G2776">
        <f>IF(E2776=0,0,INDEX('Планы менеджеров'!$B$5:$M$16,B2776,D2776)/INDEX(Мес_Раб,D2776))</f>
        <v/>
      </c>
    </row>
    <row r="2777">
      <c r="A2777" t="inlineStr">
        <is>
          <t>Алексеева</t>
        </is>
      </c>
      <c r="B2777" t="n">
        <v>12</v>
      </c>
      <c r="C2777" s="18">
        <f>'Календарь'!A177</f>
        <v/>
      </c>
      <c r="D2777">
        <f>MONTH(C2777)</f>
        <v/>
      </c>
      <c r="E2777">
        <f>'Календарь'!D177</f>
        <v/>
      </c>
      <c r="F2777">
        <f>INT((C2777-Нед_Начало)/7)+1</f>
        <v/>
      </c>
      <c r="G2777">
        <f>IF(E2777=0,0,INDEX('Планы менеджеров'!$B$5:$M$16,B2777,D2777)/INDEX(Мес_Раб,D2777))</f>
        <v/>
      </c>
    </row>
    <row r="2778">
      <c r="A2778" t="inlineStr">
        <is>
          <t>Алексеева</t>
        </is>
      </c>
      <c r="B2778" t="n">
        <v>12</v>
      </c>
      <c r="C2778" s="18">
        <f>'Календарь'!A178</f>
        <v/>
      </c>
      <c r="D2778">
        <f>MONTH(C2778)</f>
        <v/>
      </c>
      <c r="E2778">
        <f>'Календарь'!D178</f>
        <v/>
      </c>
      <c r="F2778">
        <f>INT((C2778-Нед_Начало)/7)+1</f>
        <v/>
      </c>
      <c r="G2778">
        <f>IF(E2778=0,0,INDEX('Планы менеджеров'!$B$5:$M$16,B2778,D2778)/INDEX(Мес_Раб,D2778))</f>
        <v/>
      </c>
    </row>
    <row r="2779">
      <c r="A2779" t="inlineStr">
        <is>
          <t>Алексеева</t>
        </is>
      </c>
      <c r="B2779" t="n">
        <v>12</v>
      </c>
      <c r="C2779" s="18">
        <f>'Календарь'!A179</f>
        <v/>
      </c>
      <c r="D2779">
        <f>MONTH(C2779)</f>
        <v/>
      </c>
      <c r="E2779">
        <f>'Календарь'!D179</f>
        <v/>
      </c>
      <c r="F2779">
        <f>INT((C2779-Нед_Начало)/7)+1</f>
        <v/>
      </c>
      <c r="G2779">
        <f>IF(E2779=0,0,INDEX('Планы менеджеров'!$B$5:$M$16,B2779,D2779)/INDEX(Мес_Раб,D2779))</f>
        <v/>
      </c>
    </row>
    <row r="2780">
      <c r="A2780" t="inlineStr">
        <is>
          <t>Алексеева</t>
        </is>
      </c>
      <c r="B2780" t="n">
        <v>12</v>
      </c>
      <c r="C2780" s="18">
        <f>'Календарь'!A180</f>
        <v/>
      </c>
      <c r="D2780">
        <f>MONTH(C2780)</f>
        <v/>
      </c>
      <c r="E2780">
        <f>'Календарь'!D180</f>
        <v/>
      </c>
      <c r="F2780">
        <f>INT((C2780-Нед_Начало)/7)+1</f>
        <v/>
      </c>
      <c r="G2780">
        <f>IF(E2780=0,0,INDEX('Планы менеджеров'!$B$5:$M$16,B2780,D2780)/INDEX(Мес_Раб,D2780))</f>
        <v/>
      </c>
    </row>
    <row r="2781">
      <c r="A2781" t="inlineStr">
        <is>
          <t>Алексеева</t>
        </is>
      </c>
      <c r="B2781" t="n">
        <v>12</v>
      </c>
      <c r="C2781" s="18">
        <f>'Календарь'!A181</f>
        <v/>
      </c>
      <c r="D2781">
        <f>MONTH(C2781)</f>
        <v/>
      </c>
      <c r="E2781">
        <f>'Календарь'!D181</f>
        <v/>
      </c>
      <c r="F2781">
        <f>INT((C2781-Нед_Начало)/7)+1</f>
        <v/>
      </c>
      <c r="G2781">
        <f>IF(E2781=0,0,INDEX('Планы менеджеров'!$B$5:$M$16,B2781,D2781)/INDEX(Мес_Раб,D2781))</f>
        <v/>
      </c>
    </row>
    <row r="2782">
      <c r="A2782" t="inlineStr">
        <is>
          <t>Алексеева</t>
        </is>
      </c>
      <c r="B2782" t="n">
        <v>12</v>
      </c>
      <c r="C2782" s="18">
        <f>'Календарь'!A182</f>
        <v/>
      </c>
      <c r="D2782">
        <f>MONTH(C2782)</f>
        <v/>
      </c>
      <c r="E2782">
        <f>'Календарь'!D182</f>
        <v/>
      </c>
      <c r="F2782">
        <f>INT((C2782-Нед_Начало)/7)+1</f>
        <v/>
      </c>
      <c r="G2782">
        <f>IF(E2782=0,0,INDEX('Планы менеджеров'!$B$5:$M$16,B2782,D2782)/INDEX(Мес_Раб,D2782))</f>
        <v/>
      </c>
    </row>
    <row r="2783">
      <c r="A2783" t="inlineStr">
        <is>
          <t>Алексеева</t>
        </is>
      </c>
      <c r="B2783" t="n">
        <v>12</v>
      </c>
      <c r="C2783" s="18">
        <f>'Календарь'!A183</f>
        <v/>
      </c>
      <c r="D2783">
        <f>MONTH(C2783)</f>
        <v/>
      </c>
      <c r="E2783">
        <f>'Календарь'!D183</f>
        <v/>
      </c>
      <c r="F2783">
        <f>INT((C2783-Нед_Начало)/7)+1</f>
        <v/>
      </c>
      <c r="G2783">
        <f>IF(E2783=0,0,INDEX('Планы менеджеров'!$B$5:$M$16,B2783,D2783)/INDEX(Мес_Раб,D2783))</f>
        <v/>
      </c>
    </row>
    <row r="2784">
      <c r="A2784" t="inlineStr">
        <is>
          <t>Алексеева</t>
        </is>
      </c>
      <c r="B2784" t="n">
        <v>12</v>
      </c>
      <c r="C2784" s="18">
        <f>'Календарь'!A184</f>
        <v/>
      </c>
      <c r="D2784">
        <f>MONTH(C2784)</f>
        <v/>
      </c>
      <c r="E2784">
        <f>'Календарь'!D184</f>
        <v/>
      </c>
      <c r="F2784">
        <f>INT((C2784-Нед_Начало)/7)+1</f>
        <v/>
      </c>
      <c r="G2784">
        <f>IF(E2784=0,0,INDEX('Планы менеджеров'!$B$5:$M$16,B2784,D2784)/INDEX(Мес_Раб,D2784))</f>
        <v/>
      </c>
    </row>
    <row r="2785">
      <c r="A2785" t="inlineStr">
        <is>
          <t>Алексеева</t>
        </is>
      </c>
      <c r="B2785" t="n">
        <v>12</v>
      </c>
      <c r="C2785" s="18">
        <f>'Календарь'!A185</f>
        <v/>
      </c>
      <c r="D2785">
        <f>MONTH(C2785)</f>
        <v/>
      </c>
      <c r="E2785">
        <f>'Календарь'!D185</f>
        <v/>
      </c>
      <c r="F2785">
        <f>INT((C2785-Нед_Начало)/7)+1</f>
        <v/>
      </c>
      <c r="G2785">
        <f>IF(E2785=0,0,INDEX('Планы менеджеров'!$B$5:$M$16,B2785,D2785)/INDEX(Мес_Раб,D2785))</f>
        <v/>
      </c>
    </row>
    <row r="2786">
      <c r="A2786" t="inlineStr">
        <is>
          <t>Алексеева</t>
        </is>
      </c>
      <c r="B2786" t="n">
        <v>12</v>
      </c>
      <c r="C2786" s="18">
        <f>'Календарь'!A186</f>
        <v/>
      </c>
      <c r="D2786">
        <f>MONTH(C2786)</f>
        <v/>
      </c>
      <c r="E2786">
        <f>'Календарь'!D186</f>
        <v/>
      </c>
      <c r="F2786">
        <f>INT((C2786-Нед_Начало)/7)+1</f>
        <v/>
      </c>
      <c r="G2786">
        <f>IF(E2786=0,0,INDEX('Планы менеджеров'!$B$5:$M$16,B2786,D2786)/INDEX(Мес_Раб,D2786))</f>
        <v/>
      </c>
    </row>
    <row r="2787">
      <c r="A2787" t="inlineStr">
        <is>
          <t>Алексеева</t>
        </is>
      </c>
      <c r="B2787" t="n">
        <v>12</v>
      </c>
      <c r="C2787" s="18">
        <f>'Календарь'!A187</f>
        <v/>
      </c>
      <c r="D2787">
        <f>MONTH(C2787)</f>
        <v/>
      </c>
      <c r="E2787">
        <f>'Календарь'!D187</f>
        <v/>
      </c>
      <c r="F2787">
        <f>INT((C2787-Нед_Начало)/7)+1</f>
        <v/>
      </c>
      <c r="G2787">
        <f>IF(E2787=0,0,INDEX('Планы менеджеров'!$B$5:$M$16,B2787,D2787)/INDEX(Мес_Раб,D2787))</f>
        <v/>
      </c>
    </row>
    <row r="2788">
      <c r="A2788" t="inlineStr">
        <is>
          <t>Алексеева</t>
        </is>
      </c>
      <c r="B2788" t="n">
        <v>12</v>
      </c>
      <c r="C2788" s="18">
        <f>'Календарь'!A188</f>
        <v/>
      </c>
      <c r="D2788">
        <f>MONTH(C2788)</f>
        <v/>
      </c>
      <c r="E2788">
        <f>'Календарь'!D188</f>
        <v/>
      </c>
      <c r="F2788">
        <f>INT((C2788-Нед_Начало)/7)+1</f>
        <v/>
      </c>
      <c r="G2788">
        <f>IF(E2788=0,0,INDEX('Планы менеджеров'!$B$5:$M$16,B2788,D2788)/INDEX(Мес_Раб,D2788))</f>
        <v/>
      </c>
    </row>
    <row r="2789">
      <c r="A2789" t="inlineStr">
        <is>
          <t>Алексеева</t>
        </is>
      </c>
      <c r="B2789" t="n">
        <v>12</v>
      </c>
      <c r="C2789" s="18">
        <f>'Календарь'!A189</f>
        <v/>
      </c>
      <c r="D2789">
        <f>MONTH(C2789)</f>
        <v/>
      </c>
      <c r="E2789">
        <f>'Календарь'!D189</f>
        <v/>
      </c>
      <c r="F2789">
        <f>INT((C2789-Нед_Начало)/7)+1</f>
        <v/>
      </c>
      <c r="G2789">
        <f>IF(E2789=0,0,INDEX('Планы менеджеров'!$B$5:$M$16,B2789,D2789)/INDEX(Мес_Раб,D2789))</f>
        <v/>
      </c>
    </row>
    <row r="2790">
      <c r="A2790" t="inlineStr">
        <is>
          <t>Алексеева</t>
        </is>
      </c>
      <c r="B2790" t="n">
        <v>12</v>
      </c>
      <c r="C2790" s="18">
        <f>'Календарь'!A190</f>
        <v/>
      </c>
      <c r="D2790">
        <f>MONTH(C2790)</f>
        <v/>
      </c>
      <c r="E2790">
        <f>'Календарь'!D190</f>
        <v/>
      </c>
      <c r="F2790">
        <f>INT((C2790-Нед_Начало)/7)+1</f>
        <v/>
      </c>
      <c r="G2790">
        <f>IF(E2790=0,0,INDEX('Планы менеджеров'!$B$5:$M$16,B2790,D2790)/INDEX(Мес_Раб,D2790))</f>
        <v/>
      </c>
    </row>
    <row r="2791">
      <c r="A2791" t="inlineStr">
        <is>
          <t>Алексеева</t>
        </is>
      </c>
      <c r="B2791" t="n">
        <v>12</v>
      </c>
      <c r="C2791" s="18">
        <f>'Календарь'!A191</f>
        <v/>
      </c>
      <c r="D2791">
        <f>MONTH(C2791)</f>
        <v/>
      </c>
      <c r="E2791">
        <f>'Календарь'!D191</f>
        <v/>
      </c>
      <c r="F2791">
        <f>INT((C2791-Нед_Начало)/7)+1</f>
        <v/>
      </c>
      <c r="G2791">
        <f>IF(E2791=0,0,INDEX('Планы менеджеров'!$B$5:$M$16,B2791,D2791)/INDEX(Мес_Раб,D2791))</f>
        <v/>
      </c>
    </row>
    <row r="2792">
      <c r="A2792" t="inlineStr">
        <is>
          <t>Алексеева</t>
        </is>
      </c>
      <c r="B2792" t="n">
        <v>12</v>
      </c>
      <c r="C2792" s="18">
        <f>'Календарь'!A192</f>
        <v/>
      </c>
      <c r="D2792">
        <f>MONTH(C2792)</f>
        <v/>
      </c>
      <c r="E2792">
        <f>'Календарь'!D192</f>
        <v/>
      </c>
      <c r="F2792">
        <f>INT((C2792-Нед_Начало)/7)+1</f>
        <v/>
      </c>
      <c r="G2792">
        <f>IF(E2792=0,0,INDEX('Планы менеджеров'!$B$5:$M$16,B2792,D2792)/INDEX(Мес_Раб,D2792))</f>
        <v/>
      </c>
    </row>
    <row r="2793">
      <c r="A2793" t="inlineStr">
        <is>
          <t>Алексеева</t>
        </is>
      </c>
      <c r="B2793" t="n">
        <v>12</v>
      </c>
      <c r="C2793" s="18">
        <f>'Календарь'!A193</f>
        <v/>
      </c>
      <c r="D2793">
        <f>MONTH(C2793)</f>
        <v/>
      </c>
      <c r="E2793">
        <f>'Календарь'!D193</f>
        <v/>
      </c>
      <c r="F2793">
        <f>INT((C2793-Нед_Начало)/7)+1</f>
        <v/>
      </c>
      <c r="G2793">
        <f>IF(E2793=0,0,INDEX('Планы менеджеров'!$B$5:$M$16,B2793,D2793)/INDEX(Мес_Раб,D2793))</f>
        <v/>
      </c>
    </row>
    <row r="2794">
      <c r="A2794" t="inlineStr">
        <is>
          <t>Алексеева</t>
        </is>
      </c>
      <c r="B2794" t="n">
        <v>12</v>
      </c>
      <c r="C2794" s="18">
        <f>'Календарь'!A194</f>
        <v/>
      </c>
      <c r="D2794">
        <f>MONTH(C2794)</f>
        <v/>
      </c>
      <c r="E2794">
        <f>'Календарь'!D194</f>
        <v/>
      </c>
      <c r="F2794">
        <f>INT((C2794-Нед_Начало)/7)+1</f>
        <v/>
      </c>
      <c r="G2794">
        <f>IF(E2794=0,0,INDEX('Планы менеджеров'!$B$5:$M$16,B2794,D2794)/INDEX(Мес_Раб,D2794))</f>
        <v/>
      </c>
    </row>
    <row r="2795">
      <c r="A2795" t="inlineStr">
        <is>
          <t>Алексеева</t>
        </is>
      </c>
      <c r="B2795" t="n">
        <v>12</v>
      </c>
      <c r="C2795" s="18">
        <f>'Календарь'!A195</f>
        <v/>
      </c>
      <c r="D2795">
        <f>MONTH(C2795)</f>
        <v/>
      </c>
      <c r="E2795">
        <f>'Календарь'!D195</f>
        <v/>
      </c>
      <c r="F2795">
        <f>INT((C2795-Нед_Начало)/7)+1</f>
        <v/>
      </c>
      <c r="G2795">
        <f>IF(E2795=0,0,INDEX('Планы менеджеров'!$B$5:$M$16,B2795,D2795)/INDEX(Мес_Раб,D2795))</f>
        <v/>
      </c>
    </row>
    <row r="2796">
      <c r="A2796" t="inlineStr">
        <is>
          <t>Алексеева</t>
        </is>
      </c>
      <c r="B2796" t="n">
        <v>12</v>
      </c>
      <c r="C2796" s="18">
        <f>'Календарь'!A196</f>
        <v/>
      </c>
      <c r="D2796">
        <f>MONTH(C2796)</f>
        <v/>
      </c>
      <c r="E2796">
        <f>'Календарь'!D196</f>
        <v/>
      </c>
      <c r="F2796">
        <f>INT((C2796-Нед_Начало)/7)+1</f>
        <v/>
      </c>
      <c r="G2796">
        <f>IF(E2796=0,0,INDEX('Планы менеджеров'!$B$5:$M$16,B2796,D2796)/INDEX(Мес_Раб,D2796))</f>
        <v/>
      </c>
    </row>
    <row r="2797">
      <c r="A2797" t="inlineStr">
        <is>
          <t>Алексеева</t>
        </is>
      </c>
      <c r="B2797" t="n">
        <v>12</v>
      </c>
      <c r="C2797" s="18">
        <f>'Календарь'!A197</f>
        <v/>
      </c>
      <c r="D2797">
        <f>MONTH(C2797)</f>
        <v/>
      </c>
      <c r="E2797">
        <f>'Календарь'!D197</f>
        <v/>
      </c>
      <c r="F2797">
        <f>INT((C2797-Нед_Начало)/7)+1</f>
        <v/>
      </c>
      <c r="G2797">
        <f>IF(E2797=0,0,INDEX('Планы менеджеров'!$B$5:$M$16,B2797,D2797)/INDEX(Мес_Раб,D2797))</f>
        <v/>
      </c>
    </row>
    <row r="2798">
      <c r="A2798" t="inlineStr">
        <is>
          <t>Алексеева</t>
        </is>
      </c>
      <c r="B2798" t="n">
        <v>12</v>
      </c>
      <c r="C2798" s="18">
        <f>'Календарь'!A198</f>
        <v/>
      </c>
      <c r="D2798">
        <f>MONTH(C2798)</f>
        <v/>
      </c>
      <c r="E2798">
        <f>'Календарь'!D198</f>
        <v/>
      </c>
      <c r="F2798">
        <f>INT((C2798-Нед_Начало)/7)+1</f>
        <v/>
      </c>
      <c r="G2798">
        <f>IF(E2798=0,0,INDEX('Планы менеджеров'!$B$5:$M$16,B2798,D2798)/INDEX(Мес_Раб,D2798))</f>
        <v/>
      </c>
    </row>
    <row r="2799">
      <c r="A2799" t="inlineStr">
        <is>
          <t>Алексеева</t>
        </is>
      </c>
      <c r="B2799" t="n">
        <v>12</v>
      </c>
      <c r="C2799" s="18">
        <f>'Календарь'!A199</f>
        <v/>
      </c>
      <c r="D2799">
        <f>MONTH(C2799)</f>
        <v/>
      </c>
      <c r="E2799">
        <f>'Календарь'!D199</f>
        <v/>
      </c>
      <c r="F2799">
        <f>INT((C2799-Нед_Начало)/7)+1</f>
        <v/>
      </c>
      <c r="G2799">
        <f>IF(E2799=0,0,INDEX('Планы менеджеров'!$B$5:$M$16,B2799,D2799)/INDEX(Мес_Раб,D2799))</f>
        <v/>
      </c>
    </row>
    <row r="2800">
      <c r="A2800" t="inlineStr">
        <is>
          <t>Алексеева</t>
        </is>
      </c>
      <c r="B2800" t="n">
        <v>12</v>
      </c>
      <c r="C2800" s="18">
        <f>'Календарь'!A200</f>
        <v/>
      </c>
      <c r="D2800">
        <f>MONTH(C2800)</f>
        <v/>
      </c>
      <c r="E2800">
        <f>'Календарь'!D200</f>
        <v/>
      </c>
      <c r="F2800">
        <f>INT((C2800-Нед_Начало)/7)+1</f>
        <v/>
      </c>
      <c r="G2800">
        <f>IF(E2800=0,0,INDEX('Планы менеджеров'!$B$5:$M$16,B2800,D2800)/INDEX(Мес_Раб,D2800))</f>
        <v/>
      </c>
    </row>
    <row r="2801">
      <c r="A2801" t="inlineStr">
        <is>
          <t>Алексеева</t>
        </is>
      </c>
      <c r="B2801" t="n">
        <v>12</v>
      </c>
      <c r="C2801" s="18">
        <f>'Календарь'!A201</f>
        <v/>
      </c>
      <c r="D2801">
        <f>MONTH(C2801)</f>
        <v/>
      </c>
      <c r="E2801">
        <f>'Календарь'!D201</f>
        <v/>
      </c>
      <c r="F2801">
        <f>INT((C2801-Нед_Начало)/7)+1</f>
        <v/>
      </c>
      <c r="G2801">
        <f>IF(E2801=0,0,INDEX('Планы менеджеров'!$B$5:$M$16,B2801,D2801)/INDEX(Мес_Раб,D2801))</f>
        <v/>
      </c>
    </row>
    <row r="2802">
      <c r="A2802" t="inlineStr">
        <is>
          <t>Алексеева</t>
        </is>
      </c>
      <c r="B2802" t="n">
        <v>12</v>
      </c>
      <c r="C2802" s="18">
        <f>'Календарь'!A202</f>
        <v/>
      </c>
      <c r="D2802">
        <f>MONTH(C2802)</f>
        <v/>
      </c>
      <c r="E2802">
        <f>'Календарь'!D202</f>
        <v/>
      </c>
      <c r="F2802">
        <f>INT((C2802-Нед_Начало)/7)+1</f>
        <v/>
      </c>
      <c r="G2802">
        <f>IF(E2802=0,0,INDEX('Планы менеджеров'!$B$5:$M$16,B2802,D2802)/INDEX(Мес_Раб,D2802))</f>
        <v/>
      </c>
    </row>
    <row r="2803">
      <c r="A2803" t="inlineStr">
        <is>
          <t>Алексеева</t>
        </is>
      </c>
      <c r="B2803" t="n">
        <v>12</v>
      </c>
      <c r="C2803" s="18">
        <f>'Календарь'!A203</f>
        <v/>
      </c>
      <c r="D2803">
        <f>MONTH(C2803)</f>
        <v/>
      </c>
      <c r="E2803">
        <f>'Календарь'!D203</f>
        <v/>
      </c>
      <c r="F2803">
        <f>INT((C2803-Нед_Начало)/7)+1</f>
        <v/>
      </c>
      <c r="G2803">
        <f>IF(E2803=0,0,INDEX('Планы менеджеров'!$B$5:$M$16,B2803,D2803)/INDEX(Мес_Раб,D2803))</f>
        <v/>
      </c>
    </row>
    <row r="2804">
      <c r="A2804" t="inlineStr">
        <is>
          <t>Алексеева</t>
        </is>
      </c>
      <c r="B2804" t="n">
        <v>12</v>
      </c>
      <c r="C2804" s="18">
        <f>'Календарь'!A204</f>
        <v/>
      </c>
      <c r="D2804">
        <f>MONTH(C2804)</f>
        <v/>
      </c>
      <c r="E2804">
        <f>'Календарь'!D204</f>
        <v/>
      </c>
      <c r="F2804">
        <f>INT((C2804-Нед_Начало)/7)+1</f>
        <v/>
      </c>
      <c r="G2804">
        <f>IF(E2804=0,0,INDEX('Планы менеджеров'!$B$5:$M$16,B2804,D2804)/INDEX(Мес_Раб,D2804))</f>
        <v/>
      </c>
    </row>
    <row r="2805">
      <c r="A2805" t="inlineStr">
        <is>
          <t>Алексеева</t>
        </is>
      </c>
      <c r="B2805" t="n">
        <v>12</v>
      </c>
      <c r="C2805" s="18">
        <f>'Календарь'!A205</f>
        <v/>
      </c>
      <c r="D2805">
        <f>MONTH(C2805)</f>
        <v/>
      </c>
      <c r="E2805">
        <f>'Календарь'!D205</f>
        <v/>
      </c>
      <c r="F2805">
        <f>INT((C2805-Нед_Начало)/7)+1</f>
        <v/>
      </c>
      <c r="G2805">
        <f>IF(E2805=0,0,INDEX('Планы менеджеров'!$B$5:$M$16,B2805,D2805)/INDEX(Мес_Раб,D2805))</f>
        <v/>
      </c>
    </row>
    <row r="2806">
      <c r="A2806" t="inlineStr">
        <is>
          <t>Алексеева</t>
        </is>
      </c>
      <c r="B2806" t="n">
        <v>12</v>
      </c>
      <c r="C2806" s="18">
        <f>'Календарь'!A206</f>
        <v/>
      </c>
      <c r="D2806">
        <f>MONTH(C2806)</f>
        <v/>
      </c>
      <c r="E2806">
        <f>'Календарь'!D206</f>
        <v/>
      </c>
      <c r="F2806">
        <f>INT((C2806-Нед_Начало)/7)+1</f>
        <v/>
      </c>
      <c r="G2806">
        <f>IF(E2806=0,0,INDEX('Планы менеджеров'!$B$5:$M$16,B2806,D2806)/INDEX(Мес_Раб,D2806))</f>
        <v/>
      </c>
    </row>
    <row r="2807">
      <c r="A2807" t="inlineStr">
        <is>
          <t>Алексеева</t>
        </is>
      </c>
      <c r="B2807" t="n">
        <v>12</v>
      </c>
      <c r="C2807" s="18">
        <f>'Календарь'!A207</f>
        <v/>
      </c>
      <c r="D2807">
        <f>MONTH(C2807)</f>
        <v/>
      </c>
      <c r="E2807">
        <f>'Календарь'!D207</f>
        <v/>
      </c>
      <c r="F2807">
        <f>INT((C2807-Нед_Начало)/7)+1</f>
        <v/>
      </c>
      <c r="G2807">
        <f>IF(E2807=0,0,INDEX('Планы менеджеров'!$B$5:$M$16,B2807,D2807)/INDEX(Мес_Раб,D2807))</f>
        <v/>
      </c>
    </row>
    <row r="2808">
      <c r="A2808" t="inlineStr">
        <is>
          <t>Алексеева</t>
        </is>
      </c>
      <c r="B2808" t="n">
        <v>12</v>
      </c>
      <c r="C2808" s="18">
        <f>'Календарь'!A208</f>
        <v/>
      </c>
      <c r="D2808">
        <f>MONTH(C2808)</f>
        <v/>
      </c>
      <c r="E2808">
        <f>'Календарь'!D208</f>
        <v/>
      </c>
      <c r="F2808">
        <f>INT((C2808-Нед_Начало)/7)+1</f>
        <v/>
      </c>
      <c r="G2808">
        <f>IF(E2808=0,0,INDEX('Планы менеджеров'!$B$5:$M$16,B2808,D2808)/INDEX(Мес_Раб,D2808))</f>
        <v/>
      </c>
    </row>
    <row r="2809">
      <c r="A2809" t="inlineStr">
        <is>
          <t>Алексеева</t>
        </is>
      </c>
      <c r="B2809" t="n">
        <v>12</v>
      </c>
      <c r="C2809" s="18">
        <f>'Календарь'!A209</f>
        <v/>
      </c>
      <c r="D2809">
        <f>MONTH(C2809)</f>
        <v/>
      </c>
      <c r="E2809">
        <f>'Календарь'!D209</f>
        <v/>
      </c>
      <c r="F2809">
        <f>INT((C2809-Нед_Начало)/7)+1</f>
        <v/>
      </c>
      <c r="G2809">
        <f>IF(E2809=0,0,INDEX('Планы менеджеров'!$B$5:$M$16,B2809,D2809)/INDEX(Мес_Раб,D2809))</f>
        <v/>
      </c>
    </row>
    <row r="2810">
      <c r="A2810" t="inlineStr">
        <is>
          <t>Алексеева</t>
        </is>
      </c>
      <c r="B2810" t="n">
        <v>12</v>
      </c>
      <c r="C2810" s="18">
        <f>'Календарь'!A210</f>
        <v/>
      </c>
      <c r="D2810">
        <f>MONTH(C2810)</f>
        <v/>
      </c>
      <c r="E2810">
        <f>'Календарь'!D210</f>
        <v/>
      </c>
      <c r="F2810">
        <f>INT((C2810-Нед_Начало)/7)+1</f>
        <v/>
      </c>
      <c r="G2810">
        <f>IF(E2810=0,0,INDEX('Планы менеджеров'!$B$5:$M$16,B2810,D2810)/INDEX(Мес_Раб,D2810))</f>
        <v/>
      </c>
    </row>
    <row r="2811">
      <c r="A2811" t="inlineStr">
        <is>
          <t>Алексеева</t>
        </is>
      </c>
      <c r="B2811" t="n">
        <v>12</v>
      </c>
      <c r="C2811" s="18">
        <f>'Календарь'!A211</f>
        <v/>
      </c>
      <c r="D2811">
        <f>MONTH(C2811)</f>
        <v/>
      </c>
      <c r="E2811">
        <f>'Календарь'!D211</f>
        <v/>
      </c>
      <c r="F2811">
        <f>INT((C2811-Нед_Начало)/7)+1</f>
        <v/>
      </c>
      <c r="G2811">
        <f>IF(E2811=0,0,INDEX('Планы менеджеров'!$B$5:$M$16,B2811,D2811)/INDEX(Мес_Раб,D2811))</f>
        <v/>
      </c>
    </row>
    <row r="2812">
      <c r="A2812" t="inlineStr">
        <is>
          <t>Алексеева</t>
        </is>
      </c>
      <c r="B2812" t="n">
        <v>12</v>
      </c>
      <c r="C2812" s="18">
        <f>'Календарь'!A212</f>
        <v/>
      </c>
      <c r="D2812">
        <f>MONTH(C2812)</f>
        <v/>
      </c>
      <c r="E2812">
        <f>'Календарь'!D212</f>
        <v/>
      </c>
      <c r="F2812">
        <f>INT((C2812-Нед_Начало)/7)+1</f>
        <v/>
      </c>
      <c r="G2812">
        <f>IF(E2812=0,0,INDEX('Планы менеджеров'!$B$5:$M$16,B2812,D2812)/INDEX(Мес_Раб,D2812))</f>
        <v/>
      </c>
    </row>
    <row r="2813">
      <c r="A2813" t="inlineStr">
        <is>
          <t>Алексеева</t>
        </is>
      </c>
      <c r="B2813" t="n">
        <v>12</v>
      </c>
      <c r="C2813" s="18">
        <f>'Календарь'!A213</f>
        <v/>
      </c>
      <c r="D2813">
        <f>MONTH(C2813)</f>
        <v/>
      </c>
      <c r="E2813">
        <f>'Календарь'!D213</f>
        <v/>
      </c>
      <c r="F2813">
        <f>INT((C2813-Нед_Начало)/7)+1</f>
        <v/>
      </c>
      <c r="G2813">
        <f>IF(E2813=0,0,INDEX('Планы менеджеров'!$B$5:$M$16,B2813,D2813)/INDEX(Мес_Раб,D2813))</f>
        <v/>
      </c>
    </row>
    <row r="2814">
      <c r="A2814" t="inlineStr">
        <is>
          <t>Алексеева</t>
        </is>
      </c>
      <c r="B2814" t="n">
        <v>12</v>
      </c>
      <c r="C2814" s="18">
        <f>'Календарь'!A214</f>
        <v/>
      </c>
      <c r="D2814">
        <f>MONTH(C2814)</f>
        <v/>
      </c>
      <c r="E2814">
        <f>'Календарь'!D214</f>
        <v/>
      </c>
      <c r="F2814">
        <f>INT((C2814-Нед_Начало)/7)+1</f>
        <v/>
      </c>
      <c r="G2814">
        <f>IF(E2814=0,0,INDEX('Планы менеджеров'!$B$5:$M$16,B2814,D2814)/INDEX(Мес_Раб,D2814))</f>
        <v/>
      </c>
    </row>
    <row r="2815">
      <c r="A2815" t="inlineStr">
        <is>
          <t>Алексеева</t>
        </is>
      </c>
      <c r="B2815" t="n">
        <v>12</v>
      </c>
      <c r="C2815" s="18">
        <f>'Календарь'!A215</f>
        <v/>
      </c>
      <c r="D2815">
        <f>MONTH(C2815)</f>
        <v/>
      </c>
      <c r="E2815">
        <f>'Календарь'!D215</f>
        <v/>
      </c>
      <c r="F2815">
        <f>INT((C2815-Нед_Начало)/7)+1</f>
        <v/>
      </c>
      <c r="G2815">
        <f>IF(E2815=0,0,INDEX('Планы менеджеров'!$B$5:$M$16,B2815,D2815)/INDEX(Мес_Раб,D2815))</f>
        <v/>
      </c>
    </row>
    <row r="2816">
      <c r="A2816" t="inlineStr">
        <is>
          <t>Алексеева</t>
        </is>
      </c>
      <c r="B2816" t="n">
        <v>12</v>
      </c>
      <c r="C2816" s="18">
        <f>'Календарь'!A216</f>
        <v/>
      </c>
      <c r="D2816">
        <f>MONTH(C2816)</f>
        <v/>
      </c>
      <c r="E2816">
        <f>'Календарь'!D216</f>
        <v/>
      </c>
      <c r="F2816">
        <f>INT((C2816-Нед_Начало)/7)+1</f>
        <v/>
      </c>
      <c r="G2816">
        <f>IF(E2816=0,0,INDEX('Планы менеджеров'!$B$5:$M$16,B2816,D2816)/INDEX(Мес_Раб,D2816))</f>
        <v/>
      </c>
    </row>
    <row r="2817">
      <c r="A2817" t="inlineStr">
        <is>
          <t>Алексеева</t>
        </is>
      </c>
      <c r="B2817" t="n">
        <v>12</v>
      </c>
      <c r="C2817" s="18">
        <f>'Календарь'!A217</f>
        <v/>
      </c>
      <c r="D2817">
        <f>MONTH(C2817)</f>
        <v/>
      </c>
      <c r="E2817">
        <f>'Календарь'!D217</f>
        <v/>
      </c>
      <c r="F2817">
        <f>INT((C2817-Нед_Начало)/7)+1</f>
        <v/>
      </c>
      <c r="G2817">
        <f>IF(E2817=0,0,INDEX('Планы менеджеров'!$B$5:$M$16,B2817,D2817)/INDEX(Мес_Раб,D2817))</f>
        <v/>
      </c>
    </row>
    <row r="2818">
      <c r="A2818" t="inlineStr">
        <is>
          <t>Алексеева</t>
        </is>
      </c>
      <c r="B2818" t="n">
        <v>12</v>
      </c>
      <c r="C2818" s="18">
        <f>'Календарь'!A218</f>
        <v/>
      </c>
      <c r="D2818">
        <f>MONTH(C2818)</f>
        <v/>
      </c>
      <c r="E2818">
        <f>'Календарь'!D218</f>
        <v/>
      </c>
      <c r="F2818">
        <f>INT((C2818-Нед_Начало)/7)+1</f>
        <v/>
      </c>
      <c r="G2818">
        <f>IF(E2818=0,0,INDEX('Планы менеджеров'!$B$5:$M$16,B2818,D2818)/INDEX(Мес_Раб,D2818))</f>
        <v/>
      </c>
    </row>
    <row r="2819">
      <c r="A2819" t="inlineStr">
        <is>
          <t>Алексеева</t>
        </is>
      </c>
      <c r="B2819" t="n">
        <v>12</v>
      </c>
      <c r="C2819" s="18">
        <f>'Календарь'!A219</f>
        <v/>
      </c>
      <c r="D2819">
        <f>MONTH(C2819)</f>
        <v/>
      </c>
      <c r="E2819">
        <f>'Календарь'!D219</f>
        <v/>
      </c>
      <c r="F2819">
        <f>INT((C2819-Нед_Начало)/7)+1</f>
        <v/>
      </c>
      <c r="G2819">
        <f>IF(E2819=0,0,INDEX('Планы менеджеров'!$B$5:$M$16,B2819,D2819)/INDEX(Мес_Раб,D2819))</f>
        <v/>
      </c>
    </row>
    <row r="2820">
      <c r="A2820" t="inlineStr">
        <is>
          <t>Алексеева</t>
        </is>
      </c>
      <c r="B2820" t="n">
        <v>12</v>
      </c>
      <c r="C2820" s="18">
        <f>'Календарь'!A220</f>
        <v/>
      </c>
      <c r="D2820">
        <f>MONTH(C2820)</f>
        <v/>
      </c>
      <c r="E2820">
        <f>'Календарь'!D220</f>
        <v/>
      </c>
      <c r="F2820">
        <f>INT((C2820-Нед_Начало)/7)+1</f>
        <v/>
      </c>
      <c r="G2820">
        <f>IF(E2820=0,0,INDEX('Планы менеджеров'!$B$5:$M$16,B2820,D2820)/INDEX(Мес_Раб,D2820))</f>
        <v/>
      </c>
    </row>
    <row r="2821">
      <c r="A2821" t="inlineStr">
        <is>
          <t>Алексеева</t>
        </is>
      </c>
      <c r="B2821" t="n">
        <v>12</v>
      </c>
      <c r="C2821" s="18">
        <f>'Календарь'!A221</f>
        <v/>
      </c>
      <c r="D2821">
        <f>MONTH(C2821)</f>
        <v/>
      </c>
      <c r="E2821">
        <f>'Календарь'!D221</f>
        <v/>
      </c>
      <c r="F2821">
        <f>INT((C2821-Нед_Начало)/7)+1</f>
        <v/>
      </c>
      <c r="G2821">
        <f>IF(E2821=0,0,INDEX('Планы менеджеров'!$B$5:$M$16,B2821,D2821)/INDEX(Мес_Раб,D2821))</f>
        <v/>
      </c>
    </row>
    <row r="2822">
      <c r="A2822" t="inlineStr">
        <is>
          <t>Алексеева</t>
        </is>
      </c>
      <c r="B2822" t="n">
        <v>12</v>
      </c>
      <c r="C2822" s="18">
        <f>'Календарь'!A222</f>
        <v/>
      </c>
      <c r="D2822">
        <f>MONTH(C2822)</f>
        <v/>
      </c>
      <c r="E2822">
        <f>'Календарь'!D222</f>
        <v/>
      </c>
      <c r="F2822">
        <f>INT((C2822-Нед_Начало)/7)+1</f>
        <v/>
      </c>
      <c r="G2822">
        <f>IF(E2822=0,0,INDEX('Планы менеджеров'!$B$5:$M$16,B2822,D2822)/INDEX(Мес_Раб,D2822))</f>
        <v/>
      </c>
    </row>
    <row r="2823">
      <c r="A2823" t="inlineStr">
        <is>
          <t>Алексеева</t>
        </is>
      </c>
      <c r="B2823" t="n">
        <v>12</v>
      </c>
      <c r="C2823" s="18">
        <f>'Календарь'!A223</f>
        <v/>
      </c>
      <c r="D2823">
        <f>MONTH(C2823)</f>
        <v/>
      </c>
      <c r="E2823">
        <f>'Календарь'!D223</f>
        <v/>
      </c>
      <c r="F2823">
        <f>INT((C2823-Нед_Начало)/7)+1</f>
        <v/>
      </c>
      <c r="G2823">
        <f>IF(E2823=0,0,INDEX('Планы менеджеров'!$B$5:$M$16,B2823,D2823)/INDEX(Мес_Раб,D2823))</f>
        <v/>
      </c>
    </row>
    <row r="2824">
      <c r="A2824" t="inlineStr">
        <is>
          <t>Алексеева</t>
        </is>
      </c>
      <c r="B2824" t="n">
        <v>12</v>
      </c>
      <c r="C2824" s="18">
        <f>'Календарь'!A224</f>
        <v/>
      </c>
      <c r="D2824">
        <f>MONTH(C2824)</f>
        <v/>
      </c>
      <c r="E2824">
        <f>'Календарь'!D224</f>
        <v/>
      </c>
      <c r="F2824">
        <f>INT((C2824-Нед_Начало)/7)+1</f>
        <v/>
      </c>
      <c r="G2824">
        <f>IF(E2824=0,0,INDEX('Планы менеджеров'!$B$5:$M$16,B2824,D2824)/INDEX(Мес_Раб,D2824))</f>
        <v/>
      </c>
    </row>
    <row r="2825">
      <c r="A2825" t="inlineStr">
        <is>
          <t>Алексеева</t>
        </is>
      </c>
      <c r="B2825" t="n">
        <v>12</v>
      </c>
      <c r="C2825" s="18">
        <f>'Календарь'!A225</f>
        <v/>
      </c>
      <c r="D2825">
        <f>MONTH(C2825)</f>
        <v/>
      </c>
      <c r="E2825">
        <f>'Календарь'!D225</f>
        <v/>
      </c>
      <c r="F2825">
        <f>INT((C2825-Нед_Начало)/7)+1</f>
        <v/>
      </c>
      <c r="G2825">
        <f>IF(E2825=0,0,INDEX('Планы менеджеров'!$B$5:$M$16,B2825,D2825)/INDEX(Мес_Раб,D2825))</f>
        <v/>
      </c>
    </row>
    <row r="2826">
      <c r="A2826" t="inlineStr">
        <is>
          <t>Алексеева</t>
        </is>
      </c>
      <c r="B2826" t="n">
        <v>12</v>
      </c>
      <c r="C2826" s="18">
        <f>'Календарь'!A226</f>
        <v/>
      </c>
      <c r="D2826">
        <f>MONTH(C2826)</f>
        <v/>
      </c>
      <c r="E2826">
        <f>'Календарь'!D226</f>
        <v/>
      </c>
      <c r="F2826">
        <f>INT((C2826-Нед_Начало)/7)+1</f>
        <v/>
      </c>
      <c r="G2826">
        <f>IF(E2826=0,0,INDEX('Планы менеджеров'!$B$5:$M$16,B2826,D2826)/INDEX(Мес_Раб,D2826))</f>
        <v/>
      </c>
    </row>
    <row r="2827">
      <c r="A2827" t="inlineStr">
        <is>
          <t>Алексеева</t>
        </is>
      </c>
      <c r="B2827" t="n">
        <v>12</v>
      </c>
      <c r="C2827" s="18">
        <f>'Календарь'!A227</f>
        <v/>
      </c>
      <c r="D2827">
        <f>MONTH(C2827)</f>
        <v/>
      </c>
      <c r="E2827">
        <f>'Календарь'!D227</f>
        <v/>
      </c>
      <c r="F2827">
        <f>INT((C2827-Нед_Начало)/7)+1</f>
        <v/>
      </c>
      <c r="G2827">
        <f>IF(E2827=0,0,INDEX('Планы менеджеров'!$B$5:$M$16,B2827,D2827)/INDEX(Мес_Раб,D2827))</f>
        <v/>
      </c>
    </row>
    <row r="2828">
      <c r="A2828" t="inlineStr">
        <is>
          <t>Алексеева</t>
        </is>
      </c>
      <c r="B2828" t="n">
        <v>12</v>
      </c>
      <c r="C2828" s="18">
        <f>'Календарь'!A228</f>
        <v/>
      </c>
      <c r="D2828">
        <f>MONTH(C2828)</f>
        <v/>
      </c>
      <c r="E2828">
        <f>'Календарь'!D228</f>
        <v/>
      </c>
      <c r="F2828">
        <f>INT((C2828-Нед_Начало)/7)+1</f>
        <v/>
      </c>
      <c r="G2828">
        <f>IF(E2828=0,0,INDEX('Планы менеджеров'!$B$5:$M$16,B2828,D2828)/INDEX(Мес_Раб,D2828))</f>
        <v/>
      </c>
    </row>
    <row r="2829">
      <c r="A2829" t="inlineStr">
        <is>
          <t>Алексеева</t>
        </is>
      </c>
      <c r="B2829" t="n">
        <v>12</v>
      </c>
      <c r="C2829" s="18">
        <f>'Календарь'!A229</f>
        <v/>
      </c>
      <c r="D2829">
        <f>MONTH(C2829)</f>
        <v/>
      </c>
      <c r="E2829">
        <f>'Календарь'!D229</f>
        <v/>
      </c>
      <c r="F2829">
        <f>INT((C2829-Нед_Начало)/7)+1</f>
        <v/>
      </c>
      <c r="G2829">
        <f>IF(E2829=0,0,INDEX('Планы менеджеров'!$B$5:$M$16,B2829,D2829)/INDEX(Мес_Раб,D2829))</f>
        <v/>
      </c>
    </row>
    <row r="2830">
      <c r="A2830" t="inlineStr">
        <is>
          <t>Алексеева</t>
        </is>
      </c>
      <c r="B2830" t="n">
        <v>12</v>
      </c>
      <c r="C2830" s="18">
        <f>'Календарь'!A230</f>
        <v/>
      </c>
      <c r="D2830">
        <f>MONTH(C2830)</f>
        <v/>
      </c>
      <c r="E2830">
        <f>'Календарь'!D230</f>
        <v/>
      </c>
      <c r="F2830">
        <f>INT((C2830-Нед_Начало)/7)+1</f>
        <v/>
      </c>
      <c r="G2830">
        <f>IF(E2830=0,0,INDEX('Планы менеджеров'!$B$5:$M$16,B2830,D2830)/INDEX(Мес_Раб,D2830))</f>
        <v/>
      </c>
    </row>
    <row r="2831">
      <c r="A2831" t="inlineStr">
        <is>
          <t>Алексеева</t>
        </is>
      </c>
      <c r="B2831" t="n">
        <v>12</v>
      </c>
      <c r="C2831" s="18">
        <f>'Календарь'!A231</f>
        <v/>
      </c>
      <c r="D2831">
        <f>MONTH(C2831)</f>
        <v/>
      </c>
      <c r="E2831">
        <f>'Календарь'!D231</f>
        <v/>
      </c>
      <c r="F2831">
        <f>INT((C2831-Нед_Начало)/7)+1</f>
        <v/>
      </c>
      <c r="G2831">
        <f>IF(E2831=0,0,INDEX('Планы менеджеров'!$B$5:$M$16,B2831,D2831)/INDEX(Мес_Раб,D2831))</f>
        <v/>
      </c>
    </row>
    <row r="2832">
      <c r="A2832" t="inlineStr">
        <is>
          <t>Алексеева</t>
        </is>
      </c>
      <c r="B2832" t="n">
        <v>12</v>
      </c>
      <c r="C2832" s="18">
        <f>'Календарь'!A232</f>
        <v/>
      </c>
      <c r="D2832">
        <f>MONTH(C2832)</f>
        <v/>
      </c>
      <c r="E2832">
        <f>'Календарь'!D232</f>
        <v/>
      </c>
      <c r="F2832">
        <f>INT((C2832-Нед_Начало)/7)+1</f>
        <v/>
      </c>
      <c r="G2832">
        <f>IF(E2832=0,0,INDEX('Планы менеджеров'!$B$5:$M$16,B2832,D2832)/INDEX(Мес_Раб,D2832))</f>
        <v/>
      </c>
    </row>
    <row r="2833">
      <c r="A2833" t="inlineStr">
        <is>
          <t>Алексеева</t>
        </is>
      </c>
      <c r="B2833" t="n">
        <v>12</v>
      </c>
      <c r="C2833" s="18">
        <f>'Календарь'!A233</f>
        <v/>
      </c>
      <c r="D2833">
        <f>MONTH(C2833)</f>
        <v/>
      </c>
      <c r="E2833">
        <f>'Календарь'!D233</f>
        <v/>
      </c>
      <c r="F2833">
        <f>INT((C2833-Нед_Начало)/7)+1</f>
        <v/>
      </c>
      <c r="G2833">
        <f>IF(E2833=0,0,INDEX('Планы менеджеров'!$B$5:$M$16,B2833,D2833)/INDEX(Мес_Раб,D2833))</f>
        <v/>
      </c>
    </row>
    <row r="2834">
      <c r="A2834" t="inlineStr">
        <is>
          <t>Алексеева</t>
        </is>
      </c>
      <c r="B2834" t="n">
        <v>12</v>
      </c>
      <c r="C2834" s="18">
        <f>'Календарь'!A234</f>
        <v/>
      </c>
      <c r="D2834">
        <f>MONTH(C2834)</f>
        <v/>
      </c>
      <c r="E2834">
        <f>'Календарь'!D234</f>
        <v/>
      </c>
      <c r="F2834">
        <f>INT((C2834-Нед_Начало)/7)+1</f>
        <v/>
      </c>
      <c r="G2834">
        <f>IF(E2834=0,0,INDEX('Планы менеджеров'!$B$5:$M$16,B2834,D2834)/INDEX(Мес_Раб,D2834))</f>
        <v/>
      </c>
    </row>
    <row r="2835">
      <c r="A2835" t="inlineStr">
        <is>
          <t>Алексеева</t>
        </is>
      </c>
      <c r="B2835" t="n">
        <v>12</v>
      </c>
      <c r="C2835" s="18">
        <f>'Календарь'!A235</f>
        <v/>
      </c>
      <c r="D2835">
        <f>MONTH(C2835)</f>
        <v/>
      </c>
      <c r="E2835">
        <f>'Календарь'!D235</f>
        <v/>
      </c>
      <c r="F2835">
        <f>INT((C2835-Нед_Начало)/7)+1</f>
        <v/>
      </c>
      <c r="G2835">
        <f>IF(E2835=0,0,INDEX('Планы менеджеров'!$B$5:$M$16,B2835,D2835)/INDEX(Мес_Раб,D2835))</f>
        <v/>
      </c>
    </row>
    <row r="2836">
      <c r="A2836" t="inlineStr">
        <is>
          <t>Алексеева</t>
        </is>
      </c>
      <c r="B2836" t="n">
        <v>12</v>
      </c>
      <c r="C2836" s="18">
        <f>'Календарь'!A236</f>
        <v/>
      </c>
      <c r="D2836">
        <f>MONTH(C2836)</f>
        <v/>
      </c>
      <c r="E2836">
        <f>'Календарь'!D236</f>
        <v/>
      </c>
      <c r="F2836">
        <f>INT((C2836-Нед_Начало)/7)+1</f>
        <v/>
      </c>
      <c r="G2836">
        <f>IF(E2836=0,0,INDEX('Планы менеджеров'!$B$5:$M$16,B2836,D2836)/INDEX(Мес_Раб,D2836))</f>
        <v/>
      </c>
    </row>
    <row r="2837">
      <c r="A2837" t="inlineStr">
        <is>
          <t>Алексеева</t>
        </is>
      </c>
      <c r="B2837" t="n">
        <v>12</v>
      </c>
      <c r="C2837" s="18">
        <f>'Календарь'!A237</f>
        <v/>
      </c>
      <c r="D2837">
        <f>MONTH(C2837)</f>
        <v/>
      </c>
      <c r="E2837">
        <f>'Календарь'!D237</f>
        <v/>
      </c>
      <c r="F2837">
        <f>INT((C2837-Нед_Начало)/7)+1</f>
        <v/>
      </c>
      <c r="G2837">
        <f>IF(E2837=0,0,INDEX('Планы менеджеров'!$B$5:$M$16,B2837,D2837)/INDEX(Мес_Раб,D2837))</f>
        <v/>
      </c>
    </row>
    <row r="2838">
      <c r="A2838" t="inlineStr">
        <is>
          <t>Алексеева</t>
        </is>
      </c>
      <c r="B2838" t="n">
        <v>12</v>
      </c>
      <c r="C2838" s="18">
        <f>'Календарь'!A238</f>
        <v/>
      </c>
      <c r="D2838">
        <f>MONTH(C2838)</f>
        <v/>
      </c>
      <c r="E2838">
        <f>'Календарь'!D238</f>
        <v/>
      </c>
      <c r="F2838">
        <f>INT((C2838-Нед_Начало)/7)+1</f>
        <v/>
      </c>
      <c r="G2838">
        <f>IF(E2838=0,0,INDEX('Планы менеджеров'!$B$5:$M$16,B2838,D2838)/INDEX(Мес_Раб,D2838))</f>
        <v/>
      </c>
    </row>
    <row r="2839">
      <c r="A2839" t="inlineStr">
        <is>
          <t>Алексеева</t>
        </is>
      </c>
      <c r="B2839" t="n">
        <v>12</v>
      </c>
      <c r="C2839" s="18">
        <f>'Календарь'!A239</f>
        <v/>
      </c>
      <c r="D2839">
        <f>MONTH(C2839)</f>
        <v/>
      </c>
      <c r="E2839">
        <f>'Календарь'!D239</f>
        <v/>
      </c>
      <c r="F2839">
        <f>INT((C2839-Нед_Начало)/7)+1</f>
        <v/>
      </c>
      <c r="G2839">
        <f>IF(E2839=0,0,INDEX('Планы менеджеров'!$B$5:$M$16,B2839,D2839)/INDEX(Мес_Раб,D2839))</f>
        <v/>
      </c>
    </row>
    <row r="2840">
      <c r="A2840" t="inlineStr">
        <is>
          <t>Алексеева</t>
        </is>
      </c>
      <c r="B2840" t="n">
        <v>12</v>
      </c>
      <c r="C2840" s="18">
        <f>'Календарь'!A240</f>
        <v/>
      </c>
      <c r="D2840">
        <f>MONTH(C2840)</f>
        <v/>
      </c>
      <c r="E2840">
        <f>'Календарь'!D240</f>
        <v/>
      </c>
      <c r="F2840">
        <f>INT((C2840-Нед_Начало)/7)+1</f>
        <v/>
      </c>
      <c r="G2840">
        <f>IF(E2840=0,0,INDEX('Планы менеджеров'!$B$5:$M$16,B2840,D2840)/INDEX(Мес_Раб,D2840))</f>
        <v/>
      </c>
    </row>
    <row r="2841">
      <c r="A2841" t="inlineStr">
        <is>
          <t>Алексеева</t>
        </is>
      </c>
      <c r="B2841" t="n">
        <v>12</v>
      </c>
      <c r="C2841" s="18">
        <f>'Календарь'!A241</f>
        <v/>
      </c>
      <c r="D2841">
        <f>MONTH(C2841)</f>
        <v/>
      </c>
      <c r="E2841">
        <f>'Календарь'!D241</f>
        <v/>
      </c>
      <c r="F2841">
        <f>INT((C2841-Нед_Начало)/7)+1</f>
        <v/>
      </c>
      <c r="G2841">
        <f>IF(E2841=0,0,INDEX('Планы менеджеров'!$B$5:$M$16,B2841,D2841)/INDEX(Мес_Раб,D2841))</f>
        <v/>
      </c>
    </row>
    <row r="2842">
      <c r="A2842" t="inlineStr">
        <is>
          <t>Алексеева</t>
        </is>
      </c>
      <c r="B2842" t="n">
        <v>12</v>
      </c>
      <c r="C2842" s="18">
        <f>'Календарь'!A242</f>
        <v/>
      </c>
      <c r="D2842">
        <f>MONTH(C2842)</f>
        <v/>
      </c>
      <c r="E2842">
        <f>'Календарь'!D242</f>
        <v/>
      </c>
      <c r="F2842">
        <f>INT((C2842-Нед_Начало)/7)+1</f>
        <v/>
      </c>
      <c r="G2842">
        <f>IF(E2842=0,0,INDEX('Планы менеджеров'!$B$5:$M$16,B2842,D2842)/INDEX(Мес_Раб,D2842))</f>
        <v/>
      </c>
    </row>
    <row r="2843">
      <c r="A2843" t="inlineStr">
        <is>
          <t>Алексеева</t>
        </is>
      </c>
      <c r="B2843" t="n">
        <v>12</v>
      </c>
      <c r="C2843" s="18">
        <f>'Календарь'!A243</f>
        <v/>
      </c>
      <c r="D2843">
        <f>MONTH(C2843)</f>
        <v/>
      </c>
      <c r="E2843">
        <f>'Календарь'!D243</f>
        <v/>
      </c>
      <c r="F2843">
        <f>INT((C2843-Нед_Начало)/7)+1</f>
        <v/>
      </c>
      <c r="G2843">
        <f>IF(E2843=0,0,INDEX('Планы менеджеров'!$B$5:$M$16,B2843,D2843)/INDEX(Мес_Раб,D2843))</f>
        <v/>
      </c>
    </row>
    <row r="2844">
      <c r="A2844" t="inlineStr">
        <is>
          <t>Алексеева</t>
        </is>
      </c>
      <c r="B2844" t="n">
        <v>12</v>
      </c>
      <c r="C2844" s="18">
        <f>'Календарь'!A244</f>
        <v/>
      </c>
      <c r="D2844">
        <f>MONTH(C2844)</f>
        <v/>
      </c>
      <c r="E2844">
        <f>'Календарь'!D244</f>
        <v/>
      </c>
      <c r="F2844">
        <f>INT((C2844-Нед_Начало)/7)+1</f>
        <v/>
      </c>
      <c r="G2844">
        <f>IF(E2844=0,0,INDEX('Планы менеджеров'!$B$5:$M$16,B2844,D2844)/INDEX(Мес_Раб,D2844))</f>
        <v/>
      </c>
    </row>
    <row r="2845">
      <c r="A2845" t="inlineStr">
        <is>
          <t>Алексеева</t>
        </is>
      </c>
      <c r="B2845" t="n">
        <v>12</v>
      </c>
      <c r="C2845" s="18">
        <f>'Календарь'!A245</f>
        <v/>
      </c>
      <c r="D2845">
        <f>MONTH(C2845)</f>
        <v/>
      </c>
      <c r="E2845">
        <f>'Календарь'!D245</f>
        <v/>
      </c>
      <c r="F2845">
        <f>INT((C2845-Нед_Начало)/7)+1</f>
        <v/>
      </c>
      <c r="G2845">
        <f>IF(E2845=0,0,INDEX('Планы менеджеров'!$B$5:$M$16,B2845,D2845)/INDEX(Мес_Раб,D2845))</f>
        <v/>
      </c>
    </row>
    <row r="2846">
      <c r="A2846" t="inlineStr">
        <is>
          <t>Алексеева</t>
        </is>
      </c>
      <c r="B2846" t="n">
        <v>12</v>
      </c>
      <c r="C2846" s="18">
        <f>'Календарь'!A246</f>
        <v/>
      </c>
      <c r="D2846">
        <f>MONTH(C2846)</f>
        <v/>
      </c>
      <c r="E2846">
        <f>'Календарь'!D246</f>
        <v/>
      </c>
      <c r="F2846">
        <f>INT((C2846-Нед_Начало)/7)+1</f>
        <v/>
      </c>
      <c r="G2846">
        <f>IF(E2846=0,0,INDEX('Планы менеджеров'!$B$5:$M$16,B2846,D2846)/INDEX(Мес_Раб,D2846))</f>
        <v/>
      </c>
    </row>
    <row r="2847">
      <c r="A2847" t="inlineStr">
        <is>
          <t>Алексеева</t>
        </is>
      </c>
      <c r="B2847" t="n">
        <v>12</v>
      </c>
      <c r="C2847" s="18">
        <f>'Календарь'!A247</f>
        <v/>
      </c>
      <c r="D2847">
        <f>MONTH(C2847)</f>
        <v/>
      </c>
      <c r="E2847">
        <f>'Календарь'!D247</f>
        <v/>
      </c>
      <c r="F2847">
        <f>INT((C2847-Нед_Начало)/7)+1</f>
        <v/>
      </c>
      <c r="G2847">
        <f>IF(E2847=0,0,INDEX('Планы менеджеров'!$B$5:$M$16,B2847,D2847)/INDEX(Мес_Раб,D2847))</f>
        <v/>
      </c>
    </row>
    <row r="2848">
      <c r="A2848" t="inlineStr">
        <is>
          <t>Алексеева</t>
        </is>
      </c>
      <c r="B2848" t="n">
        <v>12</v>
      </c>
      <c r="C2848" s="18">
        <f>'Календарь'!A248</f>
        <v/>
      </c>
      <c r="D2848">
        <f>MONTH(C2848)</f>
        <v/>
      </c>
      <c r="E2848">
        <f>'Календарь'!D248</f>
        <v/>
      </c>
      <c r="F2848">
        <f>INT((C2848-Нед_Начало)/7)+1</f>
        <v/>
      </c>
      <c r="G2848">
        <f>IF(E2848=0,0,INDEX('Планы менеджеров'!$B$5:$M$16,B2848,D2848)/INDEX(Мес_Раб,D2848))</f>
        <v/>
      </c>
    </row>
    <row r="2849">
      <c r="A2849" t="inlineStr">
        <is>
          <t>Алексеева</t>
        </is>
      </c>
      <c r="B2849" t="n">
        <v>12</v>
      </c>
      <c r="C2849" s="18">
        <f>'Календарь'!A249</f>
        <v/>
      </c>
      <c r="D2849">
        <f>MONTH(C2849)</f>
        <v/>
      </c>
      <c r="E2849">
        <f>'Календарь'!D249</f>
        <v/>
      </c>
      <c r="F2849">
        <f>INT((C2849-Нед_Начало)/7)+1</f>
        <v/>
      </c>
      <c r="G2849">
        <f>IF(E2849=0,0,INDEX('Планы менеджеров'!$B$5:$M$16,B2849,D2849)/INDEX(Мес_Раб,D2849))</f>
        <v/>
      </c>
    </row>
    <row r="2850">
      <c r="A2850" t="inlineStr">
        <is>
          <t>Алексеева</t>
        </is>
      </c>
      <c r="B2850" t="n">
        <v>12</v>
      </c>
      <c r="C2850" s="18">
        <f>'Календарь'!A250</f>
        <v/>
      </c>
      <c r="D2850">
        <f>MONTH(C2850)</f>
        <v/>
      </c>
      <c r="E2850">
        <f>'Календарь'!D250</f>
        <v/>
      </c>
      <c r="F2850">
        <f>INT((C2850-Нед_Начало)/7)+1</f>
        <v/>
      </c>
      <c r="G2850">
        <f>IF(E2850=0,0,INDEX('Планы менеджеров'!$B$5:$M$16,B2850,D2850)/INDEX(Мес_Раб,D2850))</f>
        <v/>
      </c>
    </row>
    <row r="2851">
      <c r="A2851" t="inlineStr">
        <is>
          <t>Алексеева</t>
        </is>
      </c>
      <c r="B2851" t="n">
        <v>12</v>
      </c>
      <c r="C2851" s="18">
        <f>'Календарь'!A251</f>
        <v/>
      </c>
      <c r="D2851">
        <f>MONTH(C2851)</f>
        <v/>
      </c>
      <c r="E2851">
        <f>'Календарь'!D251</f>
        <v/>
      </c>
      <c r="F2851">
        <f>INT((C2851-Нед_Начало)/7)+1</f>
        <v/>
      </c>
      <c r="G2851">
        <f>IF(E2851=0,0,INDEX('Планы менеджеров'!$B$5:$M$16,B2851,D2851)/INDEX(Мес_Раб,D2851))</f>
        <v/>
      </c>
    </row>
    <row r="2852">
      <c r="A2852" t="inlineStr">
        <is>
          <t>Алексеева</t>
        </is>
      </c>
      <c r="B2852" t="n">
        <v>12</v>
      </c>
      <c r="C2852" s="18">
        <f>'Календарь'!A252</f>
        <v/>
      </c>
      <c r="D2852">
        <f>MONTH(C2852)</f>
        <v/>
      </c>
      <c r="E2852">
        <f>'Календарь'!D252</f>
        <v/>
      </c>
      <c r="F2852">
        <f>INT((C2852-Нед_Начало)/7)+1</f>
        <v/>
      </c>
      <c r="G2852">
        <f>IF(E2852=0,0,INDEX('Планы менеджеров'!$B$5:$M$16,B2852,D2852)/INDEX(Мес_Раб,D2852))</f>
        <v/>
      </c>
    </row>
    <row r="2853">
      <c r="A2853" t="inlineStr">
        <is>
          <t>Алексеева</t>
        </is>
      </c>
      <c r="B2853" t="n">
        <v>12</v>
      </c>
      <c r="C2853" s="18">
        <f>'Календарь'!A253</f>
        <v/>
      </c>
      <c r="D2853">
        <f>MONTH(C2853)</f>
        <v/>
      </c>
      <c r="E2853">
        <f>'Календарь'!D253</f>
        <v/>
      </c>
      <c r="F2853">
        <f>INT((C2853-Нед_Начало)/7)+1</f>
        <v/>
      </c>
      <c r="G2853">
        <f>IF(E2853=0,0,INDEX('Планы менеджеров'!$B$5:$M$16,B2853,D2853)/INDEX(Мес_Раб,D2853))</f>
        <v/>
      </c>
    </row>
    <row r="2854">
      <c r="A2854" t="inlineStr">
        <is>
          <t>Алексеева</t>
        </is>
      </c>
      <c r="B2854" t="n">
        <v>12</v>
      </c>
      <c r="C2854" s="18">
        <f>'Календарь'!A254</f>
        <v/>
      </c>
      <c r="D2854">
        <f>MONTH(C2854)</f>
        <v/>
      </c>
      <c r="E2854">
        <f>'Календарь'!D254</f>
        <v/>
      </c>
      <c r="F2854">
        <f>INT((C2854-Нед_Начало)/7)+1</f>
        <v/>
      </c>
      <c r="G2854">
        <f>IF(E2854=0,0,INDEX('Планы менеджеров'!$B$5:$M$16,B2854,D2854)/INDEX(Мес_Раб,D2854))</f>
        <v/>
      </c>
    </row>
    <row r="2855">
      <c r="A2855" t="inlineStr">
        <is>
          <t>Алексеева</t>
        </is>
      </c>
      <c r="B2855" t="n">
        <v>12</v>
      </c>
      <c r="C2855" s="18">
        <f>'Календарь'!A255</f>
        <v/>
      </c>
      <c r="D2855">
        <f>MONTH(C2855)</f>
        <v/>
      </c>
      <c r="E2855">
        <f>'Календарь'!D255</f>
        <v/>
      </c>
      <c r="F2855">
        <f>INT((C2855-Нед_Начало)/7)+1</f>
        <v/>
      </c>
      <c r="G2855">
        <f>IF(E2855=0,0,INDEX('Планы менеджеров'!$B$5:$M$16,B2855,D2855)/INDEX(Мес_Раб,D2855))</f>
        <v/>
      </c>
    </row>
    <row r="2856">
      <c r="A2856" t="inlineStr">
        <is>
          <t>Алексеева</t>
        </is>
      </c>
      <c r="B2856" t="n">
        <v>12</v>
      </c>
      <c r="C2856" s="18">
        <f>'Календарь'!A256</f>
        <v/>
      </c>
      <c r="D2856">
        <f>MONTH(C2856)</f>
        <v/>
      </c>
      <c r="E2856">
        <f>'Календарь'!D256</f>
        <v/>
      </c>
      <c r="F2856">
        <f>INT((C2856-Нед_Начало)/7)+1</f>
        <v/>
      </c>
      <c r="G2856">
        <f>IF(E2856=0,0,INDEX('Планы менеджеров'!$B$5:$M$16,B2856,D2856)/INDEX(Мес_Раб,D2856))</f>
        <v/>
      </c>
    </row>
    <row r="2857">
      <c r="A2857" t="inlineStr">
        <is>
          <t>Алексеева</t>
        </is>
      </c>
      <c r="B2857" t="n">
        <v>12</v>
      </c>
      <c r="C2857" s="18">
        <f>'Календарь'!A257</f>
        <v/>
      </c>
      <c r="D2857">
        <f>MONTH(C2857)</f>
        <v/>
      </c>
      <c r="E2857">
        <f>'Календарь'!D257</f>
        <v/>
      </c>
      <c r="F2857">
        <f>INT((C2857-Нед_Начало)/7)+1</f>
        <v/>
      </c>
      <c r="G2857">
        <f>IF(E2857=0,0,INDEX('Планы менеджеров'!$B$5:$M$16,B2857,D2857)/INDEX(Мес_Раб,D2857))</f>
        <v/>
      </c>
    </row>
    <row r="2858">
      <c r="A2858" t="inlineStr">
        <is>
          <t>Алексеева</t>
        </is>
      </c>
      <c r="B2858" t="n">
        <v>12</v>
      </c>
      <c r="C2858" s="18">
        <f>'Календарь'!A258</f>
        <v/>
      </c>
      <c r="D2858">
        <f>MONTH(C2858)</f>
        <v/>
      </c>
      <c r="E2858">
        <f>'Календарь'!D258</f>
        <v/>
      </c>
      <c r="F2858">
        <f>INT((C2858-Нед_Начало)/7)+1</f>
        <v/>
      </c>
      <c r="G2858">
        <f>IF(E2858=0,0,INDEX('Планы менеджеров'!$B$5:$M$16,B2858,D2858)/INDEX(Мес_Раб,D2858))</f>
        <v/>
      </c>
    </row>
    <row r="2859">
      <c r="A2859" t="inlineStr">
        <is>
          <t>Алексеева</t>
        </is>
      </c>
      <c r="B2859" t="n">
        <v>12</v>
      </c>
      <c r="C2859" s="18">
        <f>'Календарь'!A259</f>
        <v/>
      </c>
      <c r="D2859">
        <f>MONTH(C2859)</f>
        <v/>
      </c>
      <c r="E2859">
        <f>'Календарь'!D259</f>
        <v/>
      </c>
      <c r="F2859">
        <f>INT((C2859-Нед_Начало)/7)+1</f>
        <v/>
      </c>
      <c r="G2859">
        <f>IF(E2859=0,0,INDEX('Планы менеджеров'!$B$5:$M$16,B2859,D2859)/INDEX(Мес_Раб,D2859))</f>
        <v/>
      </c>
    </row>
    <row r="2860">
      <c r="A2860" t="inlineStr">
        <is>
          <t>Алексеева</t>
        </is>
      </c>
      <c r="B2860" t="n">
        <v>12</v>
      </c>
      <c r="C2860" s="18">
        <f>'Календарь'!A260</f>
        <v/>
      </c>
      <c r="D2860">
        <f>MONTH(C2860)</f>
        <v/>
      </c>
      <c r="E2860">
        <f>'Календарь'!D260</f>
        <v/>
      </c>
      <c r="F2860">
        <f>INT((C2860-Нед_Начало)/7)+1</f>
        <v/>
      </c>
      <c r="G2860">
        <f>IF(E2860=0,0,INDEX('Планы менеджеров'!$B$5:$M$16,B2860,D2860)/INDEX(Мес_Раб,D2860))</f>
        <v/>
      </c>
    </row>
    <row r="2861">
      <c r="A2861" t="inlineStr">
        <is>
          <t>Алексеева</t>
        </is>
      </c>
      <c r="B2861" t="n">
        <v>12</v>
      </c>
      <c r="C2861" s="18">
        <f>'Календарь'!A261</f>
        <v/>
      </c>
      <c r="D2861">
        <f>MONTH(C2861)</f>
        <v/>
      </c>
      <c r="E2861">
        <f>'Календарь'!D261</f>
        <v/>
      </c>
      <c r="F2861">
        <f>INT((C2861-Нед_Начало)/7)+1</f>
        <v/>
      </c>
      <c r="G2861">
        <f>IF(E2861=0,0,INDEX('Планы менеджеров'!$B$5:$M$16,B2861,D2861)/INDEX(Мес_Раб,D2861))</f>
        <v/>
      </c>
    </row>
    <row r="2862">
      <c r="A2862" t="inlineStr">
        <is>
          <t>Алексеева</t>
        </is>
      </c>
      <c r="B2862" t="n">
        <v>12</v>
      </c>
      <c r="C2862" s="18">
        <f>'Календарь'!A262</f>
        <v/>
      </c>
      <c r="D2862">
        <f>MONTH(C2862)</f>
        <v/>
      </c>
      <c r="E2862">
        <f>'Календарь'!D262</f>
        <v/>
      </c>
      <c r="F2862">
        <f>INT((C2862-Нед_Начало)/7)+1</f>
        <v/>
      </c>
      <c r="G2862">
        <f>IF(E2862=0,0,INDEX('Планы менеджеров'!$B$5:$M$16,B2862,D2862)/INDEX(Мес_Раб,D2862))</f>
        <v/>
      </c>
    </row>
    <row r="2863">
      <c r="A2863" t="inlineStr">
        <is>
          <t>Алексеева</t>
        </is>
      </c>
      <c r="B2863" t="n">
        <v>12</v>
      </c>
      <c r="C2863" s="18">
        <f>'Календарь'!A263</f>
        <v/>
      </c>
      <c r="D2863">
        <f>MONTH(C2863)</f>
        <v/>
      </c>
      <c r="E2863">
        <f>'Календарь'!D263</f>
        <v/>
      </c>
      <c r="F2863">
        <f>INT((C2863-Нед_Начало)/7)+1</f>
        <v/>
      </c>
      <c r="G2863">
        <f>IF(E2863=0,0,INDEX('Планы менеджеров'!$B$5:$M$16,B2863,D2863)/INDEX(Мес_Раб,D2863))</f>
        <v/>
      </c>
    </row>
    <row r="2864">
      <c r="A2864" t="inlineStr">
        <is>
          <t>Алексеева</t>
        </is>
      </c>
      <c r="B2864" t="n">
        <v>12</v>
      </c>
      <c r="C2864" s="18">
        <f>'Календарь'!A264</f>
        <v/>
      </c>
      <c r="D2864">
        <f>MONTH(C2864)</f>
        <v/>
      </c>
      <c r="E2864">
        <f>'Календарь'!D264</f>
        <v/>
      </c>
      <c r="F2864">
        <f>INT((C2864-Нед_Начало)/7)+1</f>
        <v/>
      </c>
      <c r="G2864">
        <f>IF(E2864=0,0,INDEX('Планы менеджеров'!$B$5:$M$16,B2864,D2864)/INDEX(Мес_Раб,D2864))</f>
        <v/>
      </c>
    </row>
    <row r="2865">
      <c r="A2865" t="inlineStr">
        <is>
          <t>Алексеева</t>
        </is>
      </c>
      <c r="B2865" t="n">
        <v>12</v>
      </c>
      <c r="C2865" s="18">
        <f>'Календарь'!A265</f>
        <v/>
      </c>
      <c r="D2865">
        <f>MONTH(C2865)</f>
        <v/>
      </c>
      <c r="E2865">
        <f>'Календарь'!D265</f>
        <v/>
      </c>
      <c r="F2865">
        <f>INT((C2865-Нед_Начало)/7)+1</f>
        <v/>
      </c>
      <c r="G2865">
        <f>IF(E2865=0,0,INDEX('Планы менеджеров'!$B$5:$M$16,B2865,D2865)/INDEX(Мес_Раб,D2865))</f>
        <v/>
      </c>
    </row>
    <row r="2866">
      <c r="A2866" t="inlineStr">
        <is>
          <t>Алексеева</t>
        </is>
      </c>
      <c r="B2866" t="n">
        <v>12</v>
      </c>
      <c r="C2866" s="18">
        <f>'Календарь'!A266</f>
        <v/>
      </c>
      <c r="D2866">
        <f>MONTH(C2866)</f>
        <v/>
      </c>
      <c r="E2866">
        <f>'Календарь'!D266</f>
        <v/>
      </c>
      <c r="F2866">
        <f>INT((C2866-Нед_Начало)/7)+1</f>
        <v/>
      </c>
      <c r="G2866">
        <f>IF(E2866=0,0,INDEX('Планы менеджеров'!$B$5:$M$16,B2866,D2866)/INDEX(Мес_Раб,D2866))</f>
        <v/>
      </c>
    </row>
    <row r="2867">
      <c r="A2867" t="inlineStr">
        <is>
          <t>Алексеева</t>
        </is>
      </c>
      <c r="B2867" t="n">
        <v>12</v>
      </c>
      <c r="C2867" s="18">
        <f>'Календарь'!A267</f>
        <v/>
      </c>
      <c r="D2867">
        <f>MONTH(C2867)</f>
        <v/>
      </c>
      <c r="E2867">
        <f>'Календарь'!D267</f>
        <v/>
      </c>
      <c r="F2867">
        <f>INT((C2867-Нед_Начало)/7)+1</f>
        <v/>
      </c>
      <c r="G2867">
        <f>IF(E2867=0,0,INDEX('Планы менеджеров'!$B$5:$M$16,B2867,D2867)/INDEX(Мес_Раб,D2867))</f>
        <v/>
      </c>
    </row>
    <row r="2868">
      <c r="A2868" t="inlineStr">
        <is>
          <t>Алексеева</t>
        </is>
      </c>
      <c r="B2868" t="n">
        <v>12</v>
      </c>
      <c r="C2868" s="18">
        <f>'Календарь'!A268</f>
        <v/>
      </c>
      <c r="D2868">
        <f>MONTH(C2868)</f>
        <v/>
      </c>
      <c r="E2868">
        <f>'Календарь'!D268</f>
        <v/>
      </c>
      <c r="F2868">
        <f>INT((C2868-Нед_Начало)/7)+1</f>
        <v/>
      </c>
      <c r="G2868">
        <f>IF(E2868=0,0,INDEX('Планы менеджеров'!$B$5:$M$16,B2868,D2868)/INDEX(Мес_Раб,D2868))</f>
        <v/>
      </c>
    </row>
    <row r="2869">
      <c r="A2869" t="inlineStr">
        <is>
          <t>Алексеева</t>
        </is>
      </c>
      <c r="B2869" t="n">
        <v>12</v>
      </c>
      <c r="C2869" s="18">
        <f>'Календарь'!A269</f>
        <v/>
      </c>
      <c r="D2869">
        <f>MONTH(C2869)</f>
        <v/>
      </c>
      <c r="E2869">
        <f>'Календарь'!D269</f>
        <v/>
      </c>
      <c r="F2869">
        <f>INT((C2869-Нед_Начало)/7)+1</f>
        <v/>
      </c>
      <c r="G2869">
        <f>IF(E2869=0,0,INDEX('Планы менеджеров'!$B$5:$M$16,B2869,D2869)/INDEX(Мес_Раб,D2869))</f>
        <v/>
      </c>
    </row>
    <row r="2870">
      <c r="A2870" t="inlineStr">
        <is>
          <t>Алексеева</t>
        </is>
      </c>
      <c r="B2870" t="n">
        <v>12</v>
      </c>
      <c r="C2870" s="18">
        <f>'Календарь'!A270</f>
        <v/>
      </c>
      <c r="D2870">
        <f>MONTH(C2870)</f>
        <v/>
      </c>
      <c r="E2870">
        <f>'Календарь'!D270</f>
        <v/>
      </c>
      <c r="F2870">
        <f>INT((C2870-Нед_Начало)/7)+1</f>
        <v/>
      </c>
      <c r="G2870">
        <f>IF(E2870=0,0,INDEX('Планы менеджеров'!$B$5:$M$16,B2870,D2870)/INDEX(Мес_Раб,D2870))</f>
        <v/>
      </c>
    </row>
    <row r="2871">
      <c r="A2871" t="inlineStr">
        <is>
          <t>Алексеева</t>
        </is>
      </c>
      <c r="B2871" t="n">
        <v>12</v>
      </c>
      <c r="C2871" s="18">
        <f>'Календарь'!A271</f>
        <v/>
      </c>
      <c r="D2871">
        <f>MONTH(C2871)</f>
        <v/>
      </c>
      <c r="E2871">
        <f>'Календарь'!D271</f>
        <v/>
      </c>
      <c r="F2871">
        <f>INT((C2871-Нед_Начало)/7)+1</f>
        <v/>
      </c>
      <c r="G2871">
        <f>IF(E2871=0,0,INDEX('Планы менеджеров'!$B$5:$M$16,B2871,D2871)/INDEX(Мес_Раб,D2871))</f>
        <v/>
      </c>
    </row>
    <row r="2872">
      <c r="A2872" t="inlineStr">
        <is>
          <t>Алексеева</t>
        </is>
      </c>
      <c r="B2872" t="n">
        <v>12</v>
      </c>
      <c r="C2872" s="18">
        <f>'Календарь'!A272</f>
        <v/>
      </c>
      <c r="D2872">
        <f>MONTH(C2872)</f>
        <v/>
      </c>
      <c r="E2872">
        <f>'Календарь'!D272</f>
        <v/>
      </c>
      <c r="F2872">
        <f>INT((C2872-Нед_Начало)/7)+1</f>
        <v/>
      </c>
      <c r="G2872">
        <f>IF(E2872=0,0,INDEX('Планы менеджеров'!$B$5:$M$16,B2872,D2872)/INDEX(Мес_Раб,D2872))</f>
        <v/>
      </c>
    </row>
    <row r="2873">
      <c r="A2873" t="inlineStr">
        <is>
          <t>Алексеева</t>
        </is>
      </c>
      <c r="B2873" t="n">
        <v>12</v>
      </c>
      <c r="C2873" s="18">
        <f>'Календарь'!A273</f>
        <v/>
      </c>
      <c r="D2873">
        <f>MONTH(C2873)</f>
        <v/>
      </c>
      <c r="E2873">
        <f>'Календарь'!D273</f>
        <v/>
      </c>
      <c r="F2873">
        <f>INT((C2873-Нед_Начало)/7)+1</f>
        <v/>
      </c>
      <c r="G2873">
        <f>IF(E2873=0,0,INDEX('Планы менеджеров'!$B$5:$M$16,B2873,D2873)/INDEX(Мес_Раб,D2873))</f>
        <v/>
      </c>
    </row>
    <row r="2874">
      <c r="A2874" t="inlineStr">
        <is>
          <t>Алексеева</t>
        </is>
      </c>
      <c r="B2874" t="n">
        <v>12</v>
      </c>
      <c r="C2874" s="18">
        <f>'Календарь'!A274</f>
        <v/>
      </c>
      <c r="D2874">
        <f>MONTH(C2874)</f>
        <v/>
      </c>
      <c r="E2874">
        <f>'Календарь'!D274</f>
        <v/>
      </c>
      <c r="F2874">
        <f>INT((C2874-Нед_Начало)/7)+1</f>
        <v/>
      </c>
      <c r="G2874">
        <f>IF(E2874=0,0,INDEX('Планы менеджеров'!$B$5:$M$16,B2874,D2874)/INDEX(Мес_Раб,D2874))</f>
        <v/>
      </c>
    </row>
    <row r="2875">
      <c r="A2875" t="inlineStr">
        <is>
          <t>Алексеева</t>
        </is>
      </c>
      <c r="B2875" t="n">
        <v>12</v>
      </c>
      <c r="C2875" s="18">
        <f>'Календарь'!A275</f>
        <v/>
      </c>
      <c r="D2875">
        <f>MONTH(C2875)</f>
        <v/>
      </c>
      <c r="E2875">
        <f>'Календарь'!D275</f>
        <v/>
      </c>
      <c r="F2875">
        <f>INT((C2875-Нед_Начало)/7)+1</f>
        <v/>
      </c>
      <c r="G2875">
        <f>IF(E2875=0,0,INDEX('Планы менеджеров'!$B$5:$M$16,B2875,D2875)/INDEX(Мес_Раб,D2875))</f>
        <v/>
      </c>
    </row>
    <row r="2876">
      <c r="A2876" t="inlineStr">
        <is>
          <t>Алексеева</t>
        </is>
      </c>
      <c r="B2876" t="n">
        <v>12</v>
      </c>
      <c r="C2876" s="18">
        <f>'Календарь'!A276</f>
        <v/>
      </c>
      <c r="D2876">
        <f>MONTH(C2876)</f>
        <v/>
      </c>
      <c r="E2876">
        <f>'Календарь'!D276</f>
        <v/>
      </c>
      <c r="F2876">
        <f>INT((C2876-Нед_Начало)/7)+1</f>
        <v/>
      </c>
      <c r="G2876">
        <f>IF(E2876=0,0,INDEX('Планы менеджеров'!$B$5:$M$16,B2876,D2876)/INDEX(Мес_Раб,D2876))</f>
        <v/>
      </c>
    </row>
    <row r="2877">
      <c r="A2877" t="inlineStr">
        <is>
          <t>Алексеева</t>
        </is>
      </c>
      <c r="B2877" t="n">
        <v>12</v>
      </c>
      <c r="C2877" s="18">
        <f>'Календарь'!A277</f>
        <v/>
      </c>
      <c r="D2877">
        <f>MONTH(C2877)</f>
        <v/>
      </c>
      <c r="E2877">
        <f>'Календарь'!D277</f>
        <v/>
      </c>
      <c r="F2877">
        <f>INT((C2877-Нед_Начало)/7)+1</f>
        <v/>
      </c>
      <c r="G2877">
        <f>IF(E2877=0,0,INDEX('Планы менеджеров'!$B$5:$M$16,B2877,D2877)/INDEX(Мес_Раб,D2877))</f>
        <v/>
      </c>
    </row>
    <row r="2878">
      <c r="A2878" t="inlineStr">
        <is>
          <t>Алексеева</t>
        </is>
      </c>
      <c r="B2878" t="n">
        <v>12</v>
      </c>
      <c r="C2878" s="18">
        <f>'Календарь'!A278</f>
        <v/>
      </c>
      <c r="D2878">
        <f>MONTH(C2878)</f>
        <v/>
      </c>
      <c r="E2878">
        <f>'Календарь'!D278</f>
        <v/>
      </c>
      <c r="F2878">
        <f>INT((C2878-Нед_Начало)/7)+1</f>
        <v/>
      </c>
      <c r="G2878">
        <f>IF(E2878=0,0,INDEX('Планы менеджеров'!$B$5:$M$16,B2878,D2878)/INDEX(Мес_Раб,D2878))</f>
        <v/>
      </c>
    </row>
    <row r="2879">
      <c r="A2879" t="inlineStr">
        <is>
          <t>Алексеева</t>
        </is>
      </c>
      <c r="B2879" t="n">
        <v>12</v>
      </c>
      <c r="C2879" s="18">
        <f>'Календарь'!A279</f>
        <v/>
      </c>
      <c r="D2879">
        <f>MONTH(C2879)</f>
        <v/>
      </c>
      <c r="E2879">
        <f>'Календарь'!D279</f>
        <v/>
      </c>
      <c r="F2879">
        <f>INT((C2879-Нед_Начало)/7)+1</f>
        <v/>
      </c>
      <c r="G2879">
        <f>IF(E2879=0,0,INDEX('Планы менеджеров'!$B$5:$M$16,B2879,D2879)/INDEX(Мес_Раб,D2879))</f>
        <v/>
      </c>
    </row>
    <row r="2880">
      <c r="A2880" t="inlineStr">
        <is>
          <t>Алексеева</t>
        </is>
      </c>
      <c r="B2880" t="n">
        <v>12</v>
      </c>
      <c r="C2880" s="18">
        <f>'Календарь'!A280</f>
        <v/>
      </c>
      <c r="D2880">
        <f>MONTH(C2880)</f>
        <v/>
      </c>
      <c r="E2880">
        <f>'Календарь'!D280</f>
        <v/>
      </c>
      <c r="F2880">
        <f>INT((C2880-Нед_Начало)/7)+1</f>
        <v/>
      </c>
      <c r="G2880">
        <f>IF(E2880=0,0,INDEX('Планы менеджеров'!$B$5:$M$16,B2880,D2880)/INDEX(Мес_Раб,D2880))</f>
        <v/>
      </c>
    </row>
    <row r="2881">
      <c r="A2881" t="inlineStr">
        <is>
          <t>Алексеева</t>
        </is>
      </c>
      <c r="B2881" t="n">
        <v>12</v>
      </c>
      <c r="C2881" s="18">
        <f>'Календарь'!A281</f>
        <v/>
      </c>
      <c r="D2881">
        <f>MONTH(C2881)</f>
        <v/>
      </c>
      <c r="E2881">
        <f>'Календарь'!D281</f>
        <v/>
      </c>
      <c r="F2881">
        <f>INT((C2881-Нед_Начало)/7)+1</f>
        <v/>
      </c>
      <c r="G2881">
        <f>IF(E2881=0,0,INDEX('Планы менеджеров'!$B$5:$M$16,B2881,D2881)/INDEX(Мес_Раб,D2881))</f>
        <v/>
      </c>
    </row>
    <row r="2882">
      <c r="A2882" t="inlineStr">
        <is>
          <t>Алексеева</t>
        </is>
      </c>
      <c r="B2882" t="n">
        <v>12</v>
      </c>
      <c r="C2882" s="18">
        <f>'Календарь'!A282</f>
        <v/>
      </c>
      <c r="D2882">
        <f>MONTH(C2882)</f>
        <v/>
      </c>
      <c r="E2882">
        <f>'Календарь'!D282</f>
        <v/>
      </c>
      <c r="F2882">
        <f>INT((C2882-Нед_Начало)/7)+1</f>
        <v/>
      </c>
      <c r="G2882">
        <f>IF(E2882=0,0,INDEX('Планы менеджеров'!$B$5:$M$16,B2882,D2882)/INDEX(Мес_Раб,D2882))</f>
        <v/>
      </c>
    </row>
    <row r="2883">
      <c r="A2883" t="inlineStr">
        <is>
          <t>Алексеева</t>
        </is>
      </c>
      <c r="B2883" t="n">
        <v>12</v>
      </c>
      <c r="C2883" s="18">
        <f>'Календарь'!A283</f>
        <v/>
      </c>
      <c r="D2883">
        <f>MONTH(C2883)</f>
        <v/>
      </c>
      <c r="E2883">
        <f>'Календарь'!D283</f>
        <v/>
      </c>
      <c r="F2883">
        <f>INT((C2883-Нед_Начало)/7)+1</f>
        <v/>
      </c>
      <c r="G2883">
        <f>IF(E2883=0,0,INDEX('Планы менеджеров'!$B$5:$M$16,B2883,D2883)/INDEX(Мес_Раб,D2883))</f>
        <v/>
      </c>
    </row>
    <row r="2884">
      <c r="A2884" t="inlineStr">
        <is>
          <t>Алексеева</t>
        </is>
      </c>
      <c r="B2884" t="n">
        <v>12</v>
      </c>
      <c r="C2884" s="18">
        <f>'Календарь'!A284</f>
        <v/>
      </c>
      <c r="D2884">
        <f>MONTH(C2884)</f>
        <v/>
      </c>
      <c r="E2884">
        <f>'Календарь'!D284</f>
        <v/>
      </c>
      <c r="F2884">
        <f>INT((C2884-Нед_Начало)/7)+1</f>
        <v/>
      </c>
      <c r="G2884">
        <f>IF(E2884=0,0,INDEX('Планы менеджеров'!$B$5:$M$16,B2884,D2884)/INDEX(Мес_Раб,D2884))</f>
        <v/>
      </c>
    </row>
    <row r="2885">
      <c r="A2885" t="inlineStr">
        <is>
          <t>Алексеева</t>
        </is>
      </c>
      <c r="B2885" t="n">
        <v>12</v>
      </c>
      <c r="C2885" s="18">
        <f>'Календарь'!A285</f>
        <v/>
      </c>
      <c r="D2885">
        <f>MONTH(C2885)</f>
        <v/>
      </c>
      <c r="E2885">
        <f>'Календарь'!D285</f>
        <v/>
      </c>
      <c r="F2885">
        <f>INT((C2885-Нед_Начало)/7)+1</f>
        <v/>
      </c>
      <c r="G2885">
        <f>IF(E2885=0,0,INDEX('Планы менеджеров'!$B$5:$M$16,B2885,D2885)/INDEX(Мес_Раб,D2885))</f>
        <v/>
      </c>
    </row>
    <row r="2886">
      <c r="A2886" t="inlineStr">
        <is>
          <t>Алексеева</t>
        </is>
      </c>
      <c r="B2886" t="n">
        <v>12</v>
      </c>
      <c r="C2886" s="18">
        <f>'Календарь'!A286</f>
        <v/>
      </c>
      <c r="D2886">
        <f>MONTH(C2886)</f>
        <v/>
      </c>
      <c r="E2886">
        <f>'Календарь'!D286</f>
        <v/>
      </c>
      <c r="F2886">
        <f>INT((C2886-Нед_Начало)/7)+1</f>
        <v/>
      </c>
      <c r="G2886">
        <f>IF(E2886=0,0,INDEX('Планы менеджеров'!$B$5:$M$16,B2886,D2886)/INDEX(Мес_Раб,D2886))</f>
        <v/>
      </c>
    </row>
    <row r="2887">
      <c r="A2887" t="inlineStr">
        <is>
          <t>Алексеева</t>
        </is>
      </c>
      <c r="B2887" t="n">
        <v>12</v>
      </c>
      <c r="C2887" s="18">
        <f>'Календарь'!A287</f>
        <v/>
      </c>
      <c r="D2887">
        <f>MONTH(C2887)</f>
        <v/>
      </c>
      <c r="E2887">
        <f>'Календарь'!D287</f>
        <v/>
      </c>
      <c r="F2887">
        <f>INT((C2887-Нед_Начало)/7)+1</f>
        <v/>
      </c>
      <c r="G2887">
        <f>IF(E2887=0,0,INDEX('Планы менеджеров'!$B$5:$M$16,B2887,D2887)/INDEX(Мес_Раб,D2887))</f>
        <v/>
      </c>
    </row>
    <row r="2888">
      <c r="A2888" t="inlineStr">
        <is>
          <t>Алексеева</t>
        </is>
      </c>
      <c r="B2888" t="n">
        <v>12</v>
      </c>
      <c r="C2888" s="18">
        <f>'Календарь'!A288</f>
        <v/>
      </c>
      <c r="D2888">
        <f>MONTH(C2888)</f>
        <v/>
      </c>
      <c r="E2888">
        <f>'Календарь'!D288</f>
        <v/>
      </c>
      <c r="F2888">
        <f>INT((C2888-Нед_Начало)/7)+1</f>
        <v/>
      </c>
      <c r="G2888">
        <f>IF(E2888=0,0,INDEX('Планы менеджеров'!$B$5:$M$16,B2888,D2888)/INDEX(Мес_Раб,D2888))</f>
        <v/>
      </c>
    </row>
    <row r="2889">
      <c r="A2889" t="inlineStr">
        <is>
          <t>Алексеева</t>
        </is>
      </c>
      <c r="B2889" t="n">
        <v>12</v>
      </c>
      <c r="C2889" s="18">
        <f>'Календарь'!A289</f>
        <v/>
      </c>
      <c r="D2889">
        <f>MONTH(C2889)</f>
        <v/>
      </c>
      <c r="E2889">
        <f>'Календарь'!D289</f>
        <v/>
      </c>
      <c r="F2889">
        <f>INT((C2889-Нед_Начало)/7)+1</f>
        <v/>
      </c>
      <c r="G2889">
        <f>IF(E2889=0,0,INDEX('Планы менеджеров'!$B$5:$M$16,B2889,D2889)/INDEX(Мес_Раб,D2889))</f>
        <v/>
      </c>
    </row>
    <row r="2890">
      <c r="A2890" t="inlineStr">
        <is>
          <t>Алексеева</t>
        </is>
      </c>
      <c r="B2890" t="n">
        <v>12</v>
      </c>
      <c r="C2890" s="18">
        <f>'Календарь'!A290</f>
        <v/>
      </c>
      <c r="D2890">
        <f>MONTH(C2890)</f>
        <v/>
      </c>
      <c r="E2890">
        <f>'Календарь'!D290</f>
        <v/>
      </c>
      <c r="F2890">
        <f>INT((C2890-Нед_Начало)/7)+1</f>
        <v/>
      </c>
      <c r="G2890">
        <f>IF(E2890=0,0,INDEX('Планы менеджеров'!$B$5:$M$16,B2890,D2890)/INDEX(Мес_Раб,D2890))</f>
        <v/>
      </c>
    </row>
    <row r="2891">
      <c r="A2891" t="inlineStr">
        <is>
          <t>Алексеева</t>
        </is>
      </c>
      <c r="B2891" t="n">
        <v>12</v>
      </c>
      <c r="C2891" s="18">
        <f>'Календарь'!A291</f>
        <v/>
      </c>
      <c r="D2891">
        <f>MONTH(C2891)</f>
        <v/>
      </c>
      <c r="E2891">
        <f>'Календарь'!D291</f>
        <v/>
      </c>
      <c r="F2891">
        <f>INT((C2891-Нед_Начало)/7)+1</f>
        <v/>
      </c>
      <c r="G2891">
        <f>IF(E2891=0,0,INDEX('Планы менеджеров'!$B$5:$M$16,B2891,D2891)/INDEX(Мес_Раб,D2891))</f>
        <v/>
      </c>
    </row>
    <row r="2892">
      <c r="A2892" t="inlineStr">
        <is>
          <t>Алексеева</t>
        </is>
      </c>
      <c r="B2892" t="n">
        <v>12</v>
      </c>
      <c r="C2892" s="18">
        <f>'Календарь'!A292</f>
        <v/>
      </c>
      <c r="D2892">
        <f>MONTH(C2892)</f>
        <v/>
      </c>
      <c r="E2892">
        <f>'Календарь'!D292</f>
        <v/>
      </c>
      <c r="F2892">
        <f>INT((C2892-Нед_Начало)/7)+1</f>
        <v/>
      </c>
      <c r="G2892">
        <f>IF(E2892=0,0,INDEX('Планы менеджеров'!$B$5:$M$16,B2892,D2892)/INDEX(Мес_Раб,D2892))</f>
        <v/>
      </c>
    </row>
    <row r="2893">
      <c r="A2893" t="inlineStr">
        <is>
          <t>Алексеева</t>
        </is>
      </c>
      <c r="B2893" t="n">
        <v>12</v>
      </c>
      <c r="C2893" s="18">
        <f>'Календарь'!A293</f>
        <v/>
      </c>
      <c r="D2893">
        <f>MONTH(C2893)</f>
        <v/>
      </c>
      <c r="E2893">
        <f>'Календарь'!D293</f>
        <v/>
      </c>
      <c r="F2893">
        <f>INT((C2893-Нед_Начало)/7)+1</f>
        <v/>
      </c>
      <c r="G2893">
        <f>IF(E2893=0,0,INDEX('Планы менеджеров'!$B$5:$M$16,B2893,D2893)/INDEX(Мес_Раб,D2893))</f>
        <v/>
      </c>
    </row>
    <row r="2894">
      <c r="A2894" t="inlineStr">
        <is>
          <t>Алексеева</t>
        </is>
      </c>
      <c r="B2894" t="n">
        <v>12</v>
      </c>
      <c r="C2894" s="18">
        <f>'Календарь'!A294</f>
        <v/>
      </c>
      <c r="D2894">
        <f>MONTH(C2894)</f>
        <v/>
      </c>
      <c r="E2894">
        <f>'Календарь'!D294</f>
        <v/>
      </c>
      <c r="F2894">
        <f>INT((C2894-Нед_Начало)/7)+1</f>
        <v/>
      </c>
      <c r="G2894">
        <f>IF(E2894=0,0,INDEX('Планы менеджеров'!$B$5:$M$16,B2894,D2894)/INDEX(Мес_Раб,D2894))</f>
        <v/>
      </c>
    </row>
    <row r="2895">
      <c r="A2895" t="inlineStr">
        <is>
          <t>Алексеева</t>
        </is>
      </c>
      <c r="B2895" t="n">
        <v>12</v>
      </c>
      <c r="C2895" s="18">
        <f>'Календарь'!A295</f>
        <v/>
      </c>
      <c r="D2895">
        <f>MONTH(C2895)</f>
        <v/>
      </c>
      <c r="E2895">
        <f>'Календарь'!D295</f>
        <v/>
      </c>
      <c r="F2895">
        <f>INT((C2895-Нед_Начало)/7)+1</f>
        <v/>
      </c>
      <c r="G2895">
        <f>IF(E2895=0,0,INDEX('Планы менеджеров'!$B$5:$M$16,B2895,D2895)/INDEX(Мес_Раб,D2895))</f>
        <v/>
      </c>
    </row>
    <row r="2896">
      <c r="A2896" t="inlineStr">
        <is>
          <t>Алексеева</t>
        </is>
      </c>
      <c r="B2896" t="n">
        <v>12</v>
      </c>
      <c r="C2896" s="18">
        <f>'Календарь'!A296</f>
        <v/>
      </c>
      <c r="D2896">
        <f>MONTH(C2896)</f>
        <v/>
      </c>
      <c r="E2896">
        <f>'Календарь'!D296</f>
        <v/>
      </c>
      <c r="F2896">
        <f>INT((C2896-Нед_Начало)/7)+1</f>
        <v/>
      </c>
      <c r="G2896">
        <f>IF(E2896=0,0,INDEX('Планы менеджеров'!$B$5:$M$16,B2896,D2896)/INDEX(Мес_Раб,D2896))</f>
        <v/>
      </c>
    </row>
    <row r="2897">
      <c r="A2897" t="inlineStr">
        <is>
          <t>Алексеева</t>
        </is>
      </c>
      <c r="B2897" t="n">
        <v>12</v>
      </c>
      <c r="C2897" s="18">
        <f>'Календарь'!A297</f>
        <v/>
      </c>
      <c r="D2897">
        <f>MONTH(C2897)</f>
        <v/>
      </c>
      <c r="E2897">
        <f>'Календарь'!D297</f>
        <v/>
      </c>
      <c r="F2897">
        <f>INT((C2897-Нед_Начало)/7)+1</f>
        <v/>
      </c>
      <c r="G2897">
        <f>IF(E2897=0,0,INDEX('Планы менеджеров'!$B$5:$M$16,B2897,D2897)/INDEX(Мес_Раб,D2897))</f>
        <v/>
      </c>
    </row>
    <row r="2898">
      <c r="A2898" t="inlineStr">
        <is>
          <t>Алексеева</t>
        </is>
      </c>
      <c r="B2898" t="n">
        <v>12</v>
      </c>
      <c r="C2898" s="18">
        <f>'Календарь'!A298</f>
        <v/>
      </c>
      <c r="D2898">
        <f>MONTH(C2898)</f>
        <v/>
      </c>
      <c r="E2898">
        <f>'Календарь'!D298</f>
        <v/>
      </c>
      <c r="F2898">
        <f>INT((C2898-Нед_Начало)/7)+1</f>
        <v/>
      </c>
      <c r="G2898">
        <f>IF(E2898=0,0,INDEX('Планы менеджеров'!$B$5:$M$16,B2898,D2898)/INDEX(Мес_Раб,D2898))</f>
        <v/>
      </c>
    </row>
    <row r="2899">
      <c r="A2899" t="inlineStr">
        <is>
          <t>Алексеева</t>
        </is>
      </c>
      <c r="B2899" t="n">
        <v>12</v>
      </c>
      <c r="C2899" s="18">
        <f>'Календарь'!A299</f>
        <v/>
      </c>
      <c r="D2899">
        <f>MONTH(C2899)</f>
        <v/>
      </c>
      <c r="E2899">
        <f>'Календарь'!D299</f>
        <v/>
      </c>
      <c r="F2899">
        <f>INT((C2899-Нед_Начало)/7)+1</f>
        <v/>
      </c>
      <c r="G2899">
        <f>IF(E2899=0,0,INDEX('Планы менеджеров'!$B$5:$M$16,B2899,D2899)/INDEX(Мес_Раб,D2899))</f>
        <v/>
      </c>
    </row>
    <row r="2900">
      <c r="A2900" t="inlineStr">
        <is>
          <t>Алексеева</t>
        </is>
      </c>
      <c r="B2900" t="n">
        <v>12</v>
      </c>
      <c r="C2900" s="18">
        <f>'Календарь'!A300</f>
        <v/>
      </c>
      <c r="D2900">
        <f>MONTH(C2900)</f>
        <v/>
      </c>
      <c r="E2900">
        <f>'Календарь'!D300</f>
        <v/>
      </c>
      <c r="F2900">
        <f>INT((C2900-Нед_Начало)/7)+1</f>
        <v/>
      </c>
      <c r="G2900">
        <f>IF(E2900=0,0,INDEX('Планы менеджеров'!$B$5:$M$16,B2900,D2900)/INDEX(Мес_Раб,D2900))</f>
        <v/>
      </c>
    </row>
    <row r="2901">
      <c r="A2901" t="inlineStr">
        <is>
          <t>Алексеева</t>
        </is>
      </c>
      <c r="B2901" t="n">
        <v>12</v>
      </c>
      <c r="C2901" s="18">
        <f>'Календарь'!A301</f>
        <v/>
      </c>
      <c r="D2901">
        <f>MONTH(C2901)</f>
        <v/>
      </c>
      <c r="E2901">
        <f>'Календарь'!D301</f>
        <v/>
      </c>
      <c r="F2901">
        <f>INT((C2901-Нед_Начало)/7)+1</f>
        <v/>
      </c>
      <c r="G2901">
        <f>IF(E2901=0,0,INDEX('Планы менеджеров'!$B$5:$M$16,B2901,D2901)/INDEX(Мес_Раб,D2901))</f>
        <v/>
      </c>
    </row>
    <row r="2902">
      <c r="A2902" t="inlineStr">
        <is>
          <t>Алексеева</t>
        </is>
      </c>
      <c r="B2902" t="n">
        <v>12</v>
      </c>
      <c r="C2902" s="18">
        <f>'Календарь'!A302</f>
        <v/>
      </c>
      <c r="D2902">
        <f>MONTH(C2902)</f>
        <v/>
      </c>
      <c r="E2902">
        <f>'Календарь'!D302</f>
        <v/>
      </c>
      <c r="F2902">
        <f>INT((C2902-Нед_Начало)/7)+1</f>
        <v/>
      </c>
      <c r="G2902">
        <f>IF(E2902=0,0,INDEX('Планы менеджеров'!$B$5:$M$16,B2902,D2902)/INDEX(Мес_Раб,D2902))</f>
        <v/>
      </c>
    </row>
    <row r="2903">
      <c r="A2903" t="inlineStr">
        <is>
          <t>Алексеева</t>
        </is>
      </c>
      <c r="B2903" t="n">
        <v>12</v>
      </c>
      <c r="C2903" s="18">
        <f>'Календарь'!A303</f>
        <v/>
      </c>
      <c r="D2903">
        <f>MONTH(C2903)</f>
        <v/>
      </c>
      <c r="E2903">
        <f>'Календарь'!D303</f>
        <v/>
      </c>
      <c r="F2903">
        <f>INT((C2903-Нед_Начало)/7)+1</f>
        <v/>
      </c>
      <c r="G2903">
        <f>IF(E2903=0,0,INDEX('Планы менеджеров'!$B$5:$M$16,B2903,D2903)/INDEX(Мес_Раб,D2903))</f>
        <v/>
      </c>
    </row>
    <row r="2904">
      <c r="A2904" t="inlineStr">
        <is>
          <t>Алексеева</t>
        </is>
      </c>
      <c r="B2904" t="n">
        <v>12</v>
      </c>
      <c r="C2904" s="18">
        <f>'Календарь'!A304</f>
        <v/>
      </c>
      <c r="D2904">
        <f>MONTH(C2904)</f>
        <v/>
      </c>
      <c r="E2904">
        <f>'Календарь'!D304</f>
        <v/>
      </c>
      <c r="F2904">
        <f>INT((C2904-Нед_Начало)/7)+1</f>
        <v/>
      </c>
      <c r="G2904">
        <f>IF(E2904=0,0,INDEX('Планы менеджеров'!$B$5:$M$16,B2904,D2904)/INDEX(Мес_Раб,D2904))</f>
        <v/>
      </c>
    </row>
    <row r="2905">
      <c r="A2905" t="inlineStr">
        <is>
          <t>Алексеева</t>
        </is>
      </c>
      <c r="B2905" t="n">
        <v>12</v>
      </c>
      <c r="C2905" s="18">
        <f>'Календарь'!A305</f>
        <v/>
      </c>
      <c r="D2905">
        <f>MONTH(C2905)</f>
        <v/>
      </c>
      <c r="E2905">
        <f>'Календарь'!D305</f>
        <v/>
      </c>
      <c r="F2905">
        <f>INT((C2905-Нед_Начало)/7)+1</f>
        <v/>
      </c>
      <c r="G2905">
        <f>IF(E2905=0,0,INDEX('Планы менеджеров'!$B$5:$M$16,B2905,D2905)/INDEX(Мес_Раб,D2905))</f>
        <v/>
      </c>
    </row>
    <row r="2906">
      <c r="A2906" t="inlineStr">
        <is>
          <t>Алексеева</t>
        </is>
      </c>
      <c r="B2906" t="n">
        <v>12</v>
      </c>
      <c r="C2906" s="18">
        <f>'Календарь'!A306</f>
        <v/>
      </c>
      <c r="D2906">
        <f>MONTH(C2906)</f>
        <v/>
      </c>
      <c r="E2906">
        <f>'Календарь'!D306</f>
        <v/>
      </c>
      <c r="F2906">
        <f>INT((C2906-Нед_Начало)/7)+1</f>
        <v/>
      </c>
      <c r="G2906">
        <f>IF(E2906=0,0,INDEX('Планы менеджеров'!$B$5:$M$16,B2906,D2906)/INDEX(Мес_Раб,D2906))</f>
        <v/>
      </c>
    </row>
    <row r="2907">
      <c r="A2907" t="inlineStr">
        <is>
          <t>Алексеева</t>
        </is>
      </c>
      <c r="B2907" t="n">
        <v>12</v>
      </c>
      <c r="C2907" s="18">
        <f>'Календарь'!A307</f>
        <v/>
      </c>
      <c r="D2907">
        <f>MONTH(C2907)</f>
        <v/>
      </c>
      <c r="E2907">
        <f>'Календарь'!D307</f>
        <v/>
      </c>
      <c r="F2907">
        <f>INT((C2907-Нед_Начало)/7)+1</f>
        <v/>
      </c>
      <c r="G2907">
        <f>IF(E2907=0,0,INDEX('Планы менеджеров'!$B$5:$M$16,B2907,D2907)/INDEX(Мес_Раб,D2907))</f>
        <v/>
      </c>
    </row>
    <row r="2908">
      <c r="A2908" t="inlineStr">
        <is>
          <t>Алексеева</t>
        </is>
      </c>
      <c r="B2908" t="n">
        <v>12</v>
      </c>
      <c r="C2908" s="18">
        <f>'Календарь'!A308</f>
        <v/>
      </c>
      <c r="D2908">
        <f>MONTH(C2908)</f>
        <v/>
      </c>
      <c r="E2908">
        <f>'Календарь'!D308</f>
        <v/>
      </c>
      <c r="F2908">
        <f>INT((C2908-Нед_Начало)/7)+1</f>
        <v/>
      </c>
      <c r="G2908">
        <f>IF(E2908=0,0,INDEX('Планы менеджеров'!$B$5:$M$16,B2908,D2908)/INDEX(Мес_Раб,D2908))</f>
        <v/>
      </c>
    </row>
    <row r="2909">
      <c r="A2909" t="inlineStr">
        <is>
          <t>Алексеева</t>
        </is>
      </c>
      <c r="B2909" t="n">
        <v>12</v>
      </c>
      <c r="C2909" s="18">
        <f>'Календарь'!A309</f>
        <v/>
      </c>
      <c r="D2909">
        <f>MONTH(C2909)</f>
        <v/>
      </c>
      <c r="E2909">
        <f>'Календарь'!D309</f>
        <v/>
      </c>
      <c r="F2909">
        <f>INT((C2909-Нед_Начало)/7)+1</f>
        <v/>
      </c>
      <c r="G2909">
        <f>IF(E2909=0,0,INDEX('Планы менеджеров'!$B$5:$M$16,B2909,D2909)/INDEX(Мес_Раб,D2909))</f>
        <v/>
      </c>
    </row>
    <row r="2910">
      <c r="A2910" t="inlineStr">
        <is>
          <t>Алексеева</t>
        </is>
      </c>
      <c r="B2910" t="n">
        <v>12</v>
      </c>
      <c r="C2910" s="18">
        <f>'Календарь'!A310</f>
        <v/>
      </c>
      <c r="D2910">
        <f>MONTH(C2910)</f>
        <v/>
      </c>
      <c r="E2910">
        <f>'Календарь'!D310</f>
        <v/>
      </c>
      <c r="F2910">
        <f>INT((C2910-Нед_Начало)/7)+1</f>
        <v/>
      </c>
      <c r="G2910">
        <f>IF(E2910=0,0,INDEX('Планы менеджеров'!$B$5:$M$16,B2910,D2910)/INDEX(Мес_Раб,D2910))</f>
        <v/>
      </c>
    </row>
    <row r="2911">
      <c r="A2911" t="inlineStr">
        <is>
          <t>Алексеева</t>
        </is>
      </c>
      <c r="B2911" t="n">
        <v>12</v>
      </c>
      <c r="C2911" s="18">
        <f>'Календарь'!A311</f>
        <v/>
      </c>
      <c r="D2911">
        <f>MONTH(C2911)</f>
        <v/>
      </c>
      <c r="E2911">
        <f>'Календарь'!D311</f>
        <v/>
      </c>
      <c r="F2911">
        <f>INT((C2911-Нед_Начало)/7)+1</f>
        <v/>
      </c>
      <c r="G2911">
        <f>IF(E2911=0,0,INDEX('Планы менеджеров'!$B$5:$M$16,B2911,D2911)/INDEX(Мес_Раб,D2911))</f>
        <v/>
      </c>
    </row>
    <row r="2912">
      <c r="A2912" t="inlineStr">
        <is>
          <t>Алексеева</t>
        </is>
      </c>
      <c r="B2912" t="n">
        <v>12</v>
      </c>
      <c r="C2912" s="18">
        <f>'Календарь'!A312</f>
        <v/>
      </c>
      <c r="D2912">
        <f>MONTH(C2912)</f>
        <v/>
      </c>
      <c r="E2912">
        <f>'Календарь'!D312</f>
        <v/>
      </c>
      <c r="F2912">
        <f>INT((C2912-Нед_Начало)/7)+1</f>
        <v/>
      </c>
      <c r="G2912">
        <f>IF(E2912=0,0,INDEX('Планы менеджеров'!$B$5:$M$16,B2912,D2912)/INDEX(Мес_Раб,D2912))</f>
        <v/>
      </c>
    </row>
    <row r="2913">
      <c r="A2913" t="inlineStr">
        <is>
          <t>Алексеева</t>
        </is>
      </c>
      <c r="B2913" t="n">
        <v>12</v>
      </c>
      <c r="C2913" s="18">
        <f>'Календарь'!A313</f>
        <v/>
      </c>
      <c r="D2913">
        <f>MONTH(C2913)</f>
        <v/>
      </c>
      <c r="E2913">
        <f>'Календарь'!D313</f>
        <v/>
      </c>
      <c r="F2913">
        <f>INT((C2913-Нед_Начало)/7)+1</f>
        <v/>
      </c>
      <c r="G2913">
        <f>IF(E2913=0,0,INDEX('Планы менеджеров'!$B$5:$M$16,B2913,D2913)/INDEX(Мес_Раб,D2913))</f>
        <v/>
      </c>
    </row>
    <row r="2914">
      <c r="A2914" t="inlineStr">
        <is>
          <t>Алексеева</t>
        </is>
      </c>
      <c r="B2914" t="n">
        <v>12</v>
      </c>
      <c r="C2914" s="18">
        <f>'Календарь'!A314</f>
        <v/>
      </c>
      <c r="D2914">
        <f>MONTH(C2914)</f>
        <v/>
      </c>
      <c r="E2914">
        <f>'Календарь'!D314</f>
        <v/>
      </c>
      <c r="F2914">
        <f>INT((C2914-Нед_Начало)/7)+1</f>
        <v/>
      </c>
      <c r="G2914">
        <f>IF(E2914=0,0,INDEX('Планы менеджеров'!$B$5:$M$16,B2914,D2914)/INDEX(Мес_Раб,D2914))</f>
        <v/>
      </c>
    </row>
    <row r="2915">
      <c r="A2915" t="inlineStr">
        <is>
          <t>Алексеева</t>
        </is>
      </c>
      <c r="B2915" t="n">
        <v>12</v>
      </c>
      <c r="C2915" s="18">
        <f>'Календарь'!A315</f>
        <v/>
      </c>
      <c r="D2915">
        <f>MONTH(C2915)</f>
        <v/>
      </c>
      <c r="E2915">
        <f>'Календарь'!D315</f>
        <v/>
      </c>
      <c r="F2915">
        <f>INT((C2915-Нед_Начало)/7)+1</f>
        <v/>
      </c>
      <c r="G2915">
        <f>IF(E2915=0,0,INDEX('Планы менеджеров'!$B$5:$M$16,B2915,D2915)/INDEX(Мес_Раб,D2915))</f>
        <v/>
      </c>
    </row>
    <row r="2916">
      <c r="A2916" t="inlineStr">
        <is>
          <t>Алексеева</t>
        </is>
      </c>
      <c r="B2916" t="n">
        <v>12</v>
      </c>
      <c r="C2916" s="18">
        <f>'Календарь'!A316</f>
        <v/>
      </c>
      <c r="D2916">
        <f>MONTH(C2916)</f>
        <v/>
      </c>
      <c r="E2916">
        <f>'Календарь'!D316</f>
        <v/>
      </c>
      <c r="F2916">
        <f>INT((C2916-Нед_Начало)/7)+1</f>
        <v/>
      </c>
      <c r="G2916">
        <f>IF(E2916=0,0,INDEX('Планы менеджеров'!$B$5:$M$16,B2916,D2916)/INDEX(Мес_Раб,D2916))</f>
        <v/>
      </c>
    </row>
    <row r="2917">
      <c r="A2917" t="inlineStr">
        <is>
          <t>Алексеева</t>
        </is>
      </c>
      <c r="B2917" t="n">
        <v>12</v>
      </c>
      <c r="C2917" s="18">
        <f>'Календарь'!A317</f>
        <v/>
      </c>
      <c r="D2917">
        <f>MONTH(C2917)</f>
        <v/>
      </c>
      <c r="E2917">
        <f>'Календарь'!D317</f>
        <v/>
      </c>
      <c r="F2917">
        <f>INT((C2917-Нед_Начало)/7)+1</f>
        <v/>
      </c>
      <c r="G2917">
        <f>IF(E2917=0,0,INDEX('Планы менеджеров'!$B$5:$M$16,B2917,D2917)/INDEX(Мес_Раб,D2917))</f>
        <v/>
      </c>
    </row>
    <row r="2918">
      <c r="A2918" t="inlineStr">
        <is>
          <t>Алексеева</t>
        </is>
      </c>
      <c r="B2918" t="n">
        <v>12</v>
      </c>
      <c r="C2918" s="18">
        <f>'Календарь'!A318</f>
        <v/>
      </c>
      <c r="D2918">
        <f>MONTH(C2918)</f>
        <v/>
      </c>
      <c r="E2918">
        <f>'Календарь'!D318</f>
        <v/>
      </c>
      <c r="F2918">
        <f>INT((C2918-Нед_Начало)/7)+1</f>
        <v/>
      </c>
      <c r="G2918">
        <f>IF(E2918=0,0,INDEX('Планы менеджеров'!$B$5:$M$16,B2918,D2918)/INDEX(Мес_Раб,D2918))</f>
        <v/>
      </c>
    </row>
    <row r="2919">
      <c r="A2919" t="inlineStr">
        <is>
          <t>Алексеева</t>
        </is>
      </c>
      <c r="B2919" t="n">
        <v>12</v>
      </c>
      <c r="C2919" s="18">
        <f>'Календарь'!A319</f>
        <v/>
      </c>
      <c r="D2919">
        <f>MONTH(C2919)</f>
        <v/>
      </c>
      <c r="E2919">
        <f>'Календарь'!D319</f>
        <v/>
      </c>
      <c r="F2919">
        <f>INT((C2919-Нед_Начало)/7)+1</f>
        <v/>
      </c>
      <c r="G2919">
        <f>IF(E2919=0,0,INDEX('Планы менеджеров'!$B$5:$M$16,B2919,D2919)/INDEX(Мес_Раб,D2919))</f>
        <v/>
      </c>
    </row>
    <row r="2920">
      <c r="A2920" t="inlineStr">
        <is>
          <t>Алексеева</t>
        </is>
      </c>
      <c r="B2920" t="n">
        <v>12</v>
      </c>
      <c r="C2920" s="18">
        <f>'Календарь'!A320</f>
        <v/>
      </c>
      <c r="D2920">
        <f>MONTH(C2920)</f>
        <v/>
      </c>
      <c r="E2920">
        <f>'Календарь'!D320</f>
        <v/>
      </c>
      <c r="F2920">
        <f>INT((C2920-Нед_Начало)/7)+1</f>
        <v/>
      </c>
      <c r="G2920">
        <f>IF(E2920=0,0,INDEX('Планы менеджеров'!$B$5:$M$16,B2920,D2920)/INDEX(Мес_Раб,D2920))</f>
        <v/>
      </c>
    </row>
    <row r="2921">
      <c r="A2921" t="inlineStr">
        <is>
          <t>Алексеева</t>
        </is>
      </c>
      <c r="B2921" t="n">
        <v>12</v>
      </c>
      <c r="C2921" s="18">
        <f>'Календарь'!A321</f>
        <v/>
      </c>
      <c r="D2921">
        <f>MONTH(C2921)</f>
        <v/>
      </c>
      <c r="E2921">
        <f>'Календарь'!D321</f>
        <v/>
      </c>
      <c r="F2921">
        <f>INT((C2921-Нед_Начало)/7)+1</f>
        <v/>
      </c>
      <c r="G2921">
        <f>IF(E2921=0,0,INDEX('Планы менеджеров'!$B$5:$M$16,B2921,D2921)/INDEX(Мес_Раб,D2921))</f>
        <v/>
      </c>
    </row>
    <row r="2922">
      <c r="A2922" t="inlineStr">
        <is>
          <t>Алексеева</t>
        </is>
      </c>
      <c r="B2922" t="n">
        <v>12</v>
      </c>
      <c r="C2922" s="18">
        <f>'Календарь'!A322</f>
        <v/>
      </c>
      <c r="D2922">
        <f>MONTH(C2922)</f>
        <v/>
      </c>
      <c r="E2922">
        <f>'Календарь'!D322</f>
        <v/>
      </c>
      <c r="F2922">
        <f>INT((C2922-Нед_Начало)/7)+1</f>
        <v/>
      </c>
      <c r="G2922">
        <f>IF(E2922=0,0,INDEX('Планы менеджеров'!$B$5:$M$16,B2922,D2922)/INDEX(Мес_Раб,D2922))</f>
        <v/>
      </c>
    </row>
    <row r="2923">
      <c r="A2923" t="inlineStr">
        <is>
          <t>Алексеева</t>
        </is>
      </c>
      <c r="B2923" t="n">
        <v>12</v>
      </c>
      <c r="C2923" s="18">
        <f>'Календарь'!A323</f>
        <v/>
      </c>
      <c r="D2923">
        <f>MONTH(C2923)</f>
        <v/>
      </c>
      <c r="E2923">
        <f>'Календарь'!D323</f>
        <v/>
      </c>
      <c r="F2923">
        <f>INT((C2923-Нед_Начало)/7)+1</f>
        <v/>
      </c>
      <c r="G2923">
        <f>IF(E2923=0,0,INDEX('Планы менеджеров'!$B$5:$M$16,B2923,D2923)/INDEX(Мес_Раб,D2923))</f>
        <v/>
      </c>
    </row>
    <row r="2924">
      <c r="A2924" t="inlineStr">
        <is>
          <t>Алексеева</t>
        </is>
      </c>
      <c r="B2924" t="n">
        <v>12</v>
      </c>
      <c r="C2924" s="18">
        <f>'Календарь'!A324</f>
        <v/>
      </c>
      <c r="D2924">
        <f>MONTH(C2924)</f>
        <v/>
      </c>
      <c r="E2924">
        <f>'Календарь'!D324</f>
        <v/>
      </c>
      <c r="F2924">
        <f>INT((C2924-Нед_Начало)/7)+1</f>
        <v/>
      </c>
      <c r="G2924">
        <f>IF(E2924=0,0,INDEX('Планы менеджеров'!$B$5:$M$16,B2924,D2924)/INDEX(Мес_Раб,D2924))</f>
        <v/>
      </c>
    </row>
    <row r="2925">
      <c r="A2925" t="inlineStr">
        <is>
          <t>Алексеева</t>
        </is>
      </c>
      <c r="B2925" t="n">
        <v>12</v>
      </c>
      <c r="C2925" s="18">
        <f>'Календарь'!A325</f>
        <v/>
      </c>
      <c r="D2925">
        <f>MONTH(C2925)</f>
        <v/>
      </c>
      <c r="E2925">
        <f>'Календарь'!D325</f>
        <v/>
      </c>
      <c r="F2925">
        <f>INT((C2925-Нед_Начало)/7)+1</f>
        <v/>
      </c>
      <c r="G2925">
        <f>IF(E2925=0,0,INDEX('Планы менеджеров'!$B$5:$M$16,B2925,D2925)/INDEX(Мес_Раб,D2925))</f>
        <v/>
      </c>
    </row>
    <row r="2926">
      <c r="A2926" t="inlineStr">
        <is>
          <t>Алексеева</t>
        </is>
      </c>
      <c r="B2926" t="n">
        <v>12</v>
      </c>
      <c r="C2926" s="18">
        <f>'Календарь'!A326</f>
        <v/>
      </c>
      <c r="D2926">
        <f>MONTH(C2926)</f>
        <v/>
      </c>
      <c r="E2926">
        <f>'Календарь'!D326</f>
        <v/>
      </c>
      <c r="F2926">
        <f>INT((C2926-Нед_Начало)/7)+1</f>
        <v/>
      </c>
      <c r="G2926">
        <f>IF(E2926=0,0,INDEX('Планы менеджеров'!$B$5:$M$16,B2926,D2926)/INDEX(Мес_Раб,D2926))</f>
        <v/>
      </c>
    </row>
    <row r="2927">
      <c r="A2927" t="inlineStr">
        <is>
          <t>Алексеева</t>
        </is>
      </c>
      <c r="B2927" t="n">
        <v>12</v>
      </c>
      <c r="C2927" s="18">
        <f>'Календарь'!A327</f>
        <v/>
      </c>
      <c r="D2927">
        <f>MONTH(C2927)</f>
        <v/>
      </c>
      <c r="E2927">
        <f>'Календарь'!D327</f>
        <v/>
      </c>
      <c r="F2927">
        <f>INT((C2927-Нед_Начало)/7)+1</f>
        <v/>
      </c>
      <c r="G2927">
        <f>IF(E2927=0,0,INDEX('Планы менеджеров'!$B$5:$M$16,B2927,D2927)/INDEX(Мес_Раб,D2927))</f>
        <v/>
      </c>
    </row>
    <row r="2928">
      <c r="A2928" t="inlineStr">
        <is>
          <t>Алексеева</t>
        </is>
      </c>
      <c r="B2928" t="n">
        <v>12</v>
      </c>
      <c r="C2928" s="18">
        <f>'Календарь'!A328</f>
        <v/>
      </c>
      <c r="D2928">
        <f>MONTH(C2928)</f>
        <v/>
      </c>
      <c r="E2928">
        <f>'Календарь'!D328</f>
        <v/>
      </c>
      <c r="F2928">
        <f>INT((C2928-Нед_Начало)/7)+1</f>
        <v/>
      </c>
      <c r="G2928">
        <f>IF(E2928=0,0,INDEX('Планы менеджеров'!$B$5:$M$16,B2928,D2928)/INDEX(Мес_Раб,D2928))</f>
        <v/>
      </c>
    </row>
    <row r="2929">
      <c r="A2929" t="inlineStr">
        <is>
          <t>Алексеева</t>
        </is>
      </c>
      <c r="B2929" t="n">
        <v>12</v>
      </c>
      <c r="C2929" s="18">
        <f>'Календарь'!A329</f>
        <v/>
      </c>
      <c r="D2929">
        <f>MONTH(C2929)</f>
        <v/>
      </c>
      <c r="E2929">
        <f>'Календарь'!D329</f>
        <v/>
      </c>
      <c r="F2929">
        <f>INT((C2929-Нед_Начало)/7)+1</f>
        <v/>
      </c>
      <c r="G2929">
        <f>IF(E2929=0,0,INDEX('Планы менеджеров'!$B$5:$M$16,B2929,D2929)/INDEX(Мес_Раб,D2929))</f>
        <v/>
      </c>
    </row>
    <row r="2930">
      <c r="A2930" t="inlineStr">
        <is>
          <t>Алексеева</t>
        </is>
      </c>
      <c r="B2930" t="n">
        <v>12</v>
      </c>
      <c r="C2930" s="18">
        <f>'Календарь'!A330</f>
        <v/>
      </c>
      <c r="D2930">
        <f>MONTH(C2930)</f>
        <v/>
      </c>
      <c r="E2930">
        <f>'Календарь'!D330</f>
        <v/>
      </c>
      <c r="F2930">
        <f>INT((C2930-Нед_Начало)/7)+1</f>
        <v/>
      </c>
      <c r="G2930">
        <f>IF(E2930=0,0,INDEX('Планы менеджеров'!$B$5:$M$16,B2930,D2930)/INDEX(Мес_Раб,D2930))</f>
        <v/>
      </c>
    </row>
    <row r="2931">
      <c r="A2931" t="inlineStr">
        <is>
          <t>Алексеева</t>
        </is>
      </c>
      <c r="B2931" t="n">
        <v>12</v>
      </c>
      <c r="C2931" s="18">
        <f>'Календарь'!A331</f>
        <v/>
      </c>
      <c r="D2931">
        <f>MONTH(C2931)</f>
        <v/>
      </c>
      <c r="E2931">
        <f>'Календарь'!D331</f>
        <v/>
      </c>
      <c r="F2931">
        <f>INT((C2931-Нед_Начало)/7)+1</f>
        <v/>
      </c>
      <c r="G2931">
        <f>IF(E2931=0,0,INDEX('Планы менеджеров'!$B$5:$M$16,B2931,D2931)/INDEX(Мес_Раб,D2931))</f>
        <v/>
      </c>
    </row>
    <row r="2932">
      <c r="A2932" t="inlineStr">
        <is>
          <t>Алексеева</t>
        </is>
      </c>
      <c r="B2932" t="n">
        <v>12</v>
      </c>
      <c r="C2932" s="18">
        <f>'Календарь'!A332</f>
        <v/>
      </c>
      <c r="D2932">
        <f>MONTH(C2932)</f>
        <v/>
      </c>
      <c r="E2932">
        <f>'Календарь'!D332</f>
        <v/>
      </c>
      <c r="F2932">
        <f>INT((C2932-Нед_Начало)/7)+1</f>
        <v/>
      </c>
      <c r="G2932">
        <f>IF(E2932=0,0,INDEX('Планы менеджеров'!$B$5:$M$16,B2932,D2932)/INDEX(Мес_Раб,D2932))</f>
        <v/>
      </c>
    </row>
    <row r="2933">
      <c r="A2933" t="inlineStr">
        <is>
          <t>Алексеева</t>
        </is>
      </c>
      <c r="B2933" t="n">
        <v>12</v>
      </c>
      <c r="C2933" s="18">
        <f>'Календарь'!A333</f>
        <v/>
      </c>
      <c r="D2933">
        <f>MONTH(C2933)</f>
        <v/>
      </c>
      <c r="E2933">
        <f>'Календарь'!D333</f>
        <v/>
      </c>
      <c r="F2933">
        <f>INT((C2933-Нед_Начало)/7)+1</f>
        <v/>
      </c>
      <c r="G2933">
        <f>IF(E2933=0,0,INDEX('Планы менеджеров'!$B$5:$M$16,B2933,D2933)/INDEX(Мес_Раб,D2933))</f>
        <v/>
      </c>
    </row>
    <row r="2934">
      <c r="A2934" t="inlineStr">
        <is>
          <t>Алексеева</t>
        </is>
      </c>
      <c r="B2934" t="n">
        <v>12</v>
      </c>
      <c r="C2934" s="18">
        <f>'Календарь'!A334</f>
        <v/>
      </c>
      <c r="D2934">
        <f>MONTH(C2934)</f>
        <v/>
      </c>
      <c r="E2934">
        <f>'Календарь'!D334</f>
        <v/>
      </c>
      <c r="F2934">
        <f>INT((C2934-Нед_Начало)/7)+1</f>
        <v/>
      </c>
      <c r="G2934">
        <f>IF(E2934=0,0,INDEX('Планы менеджеров'!$B$5:$M$16,B2934,D2934)/INDEX(Мес_Раб,D2934))</f>
        <v/>
      </c>
    </row>
    <row r="2935">
      <c r="A2935" t="inlineStr">
        <is>
          <t>Алексеева</t>
        </is>
      </c>
      <c r="B2935" t="n">
        <v>12</v>
      </c>
      <c r="C2935" s="18">
        <f>'Календарь'!A335</f>
        <v/>
      </c>
      <c r="D2935">
        <f>MONTH(C2935)</f>
        <v/>
      </c>
      <c r="E2935">
        <f>'Календарь'!D335</f>
        <v/>
      </c>
      <c r="F2935">
        <f>INT((C2935-Нед_Начало)/7)+1</f>
        <v/>
      </c>
      <c r="G2935">
        <f>IF(E2935=0,0,INDEX('Планы менеджеров'!$B$5:$M$16,B2935,D2935)/INDEX(Мес_Раб,D2935))</f>
        <v/>
      </c>
    </row>
    <row r="2936">
      <c r="A2936" t="inlineStr">
        <is>
          <t>Алексеева</t>
        </is>
      </c>
      <c r="B2936" t="n">
        <v>12</v>
      </c>
      <c r="C2936" s="18">
        <f>'Календарь'!A336</f>
        <v/>
      </c>
      <c r="D2936">
        <f>MONTH(C2936)</f>
        <v/>
      </c>
      <c r="E2936">
        <f>'Календарь'!D336</f>
        <v/>
      </c>
      <c r="F2936">
        <f>INT((C2936-Нед_Начало)/7)+1</f>
        <v/>
      </c>
      <c r="G2936">
        <f>IF(E2936=0,0,INDEX('Планы менеджеров'!$B$5:$M$16,B2936,D2936)/INDEX(Мес_Раб,D2936))</f>
        <v/>
      </c>
    </row>
    <row r="2937">
      <c r="A2937" t="inlineStr">
        <is>
          <t>Алексеева</t>
        </is>
      </c>
      <c r="B2937" t="n">
        <v>12</v>
      </c>
      <c r="C2937" s="18">
        <f>'Календарь'!A337</f>
        <v/>
      </c>
      <c r="D2937">
        <f>MONTH(C2937)</f>
        <v/>
      </c>
      <c r="E2937">
        <f>'Календарь'!D337</f>
        <v/>
      </c>
      <c r="F2937">
        <f>INT((C2937-Нед_Начало)/7)+1</f>
        <v/>
      </c>
      <c r="G2937">
        <f>IF(E2937=0,0,INDEX('Планы менеджеров'!$B$5:$M$16,B2937,D2937)/INDEX(Мес_Раб,D2937))</f>
        <v/>
      </c>
    </row>
    <row r="2938">
      <c r="A2938" t="inlineStr">
        <is>
          <t>Алексеева</t>
        </is>
      </c>
      <c r="B2938" t="n">
        <v>12</v>
      </c>
      <c r="C2938" s="18">
        <f>'Календарь'!A338</f>
        <v/>
      </c>
      <c r="D2938">
        <f>MONTH(C2938)</f>
        <v/>
      </c>
      <c r="E2938">
        <f>'Календарь'!D338</f>
        <v/>
      </c>
      <c r="F2938">
        <f>INT((C2938-Нед_Начало)/7)+1</f>
        <v/>
      </c>
      <c r="G2938">
        <f>IF(E2938=0,0,INDEX('Планы менеджеров'!$B$5:$M$16,B2938,D2938)/INDEX(Мес_Раб,D2938))</f>
        <v/>
      </c>
    </row>
    <row r="2939">
      <c r="A2939" t="inlineStr">
        <is>
          <t>Алексеева</t>
        </is>
      </c>
      <c r="B2939" t="n">
        <v>12</v>
      </c>
      <c r="C2939" s="18">
        <f>'Календарь'!A339</f>
        <v/>
      </c>
      <c r="D2939">
        <f>MONTH(C2939)</f>
        <v/>
      </c>
      <c r="E2939">
        <f>'Календарь'!D339</f>
        <v/>
      </c>
      <c r="F2939">
        <f>INT((C2939-Нед_Начало)/7)+1</f>
        <v/>
      </c>
      <c r="G2939">
        <f>IF(E2939=0,0,INDEX('Планы менеджеров'!$B$5:$M$16,B2939,D2939)/INDEX(Мес_Раб,D2939))</f>
        <v/>
      </c>
    </row>
    <row r="2940">
      <c r="A2940" t="inlineStr">
        <is>
          <t>Алексеева</t>
        </is>
      </c>
      <c r="B2940" t="n">
        <v>12</v>
      </c>
      <c r="C2940" s="18">
        <f>'Календарь'!A340</f>
        <v/>
      </c>
      <c r="D2940">
        <f>MONTH(C2940)</f>
        <v/>
      </c>
      <c r="E2940">
        <f>'Календарь'!D340</f>
        <v/>
      </c>
      <c r="F2940">
        <f>INT((C2940-Нед_Начало)/7)+1</f>
        <v/>
      </c>
      <c r="G2940">
        <f>IF(E2940=0,0,INDEX('Планы менеджеров'!$B$5:$M$16,B2940,D2940)/INDEX(Мес_Раб,D2940))</f>
        <v/>
      </c>
    </row>
    <row r="2941">
      <c r="A2941" t="inlineStr">
        <is>
          <t>Алексеева</t>
        </is>
      </c>
      <c r="B2941" t="n">
        <v>12</v>
      </c>
      <c r="C2941" s="18">
        <f>'Календарь'!A341</f>
        <v/>
      </c>
      <c r="D2941">
        <f>MONTH(C2941)</f>
        <v/>
      </c>
      <c r="E2941">
        <f>'Календарь'!D341</f>
        <v/>
      </c>
      <c r="F2941">
        <f>INT((C2941-Нед_Начало)/7)+1</f>
        <v/>
      </c>
      <c r="G2941">
        <f>IF(E2941=0,0,INDEX('Планы менеджеров'!$B$5:$M$16,B2941,D2941)/INDEX(Мес_Раб,D2941))</f>
        <v/>
      </c>
    </row>
    <row r="2942">
      <c r="A2942" t="inlineStr">
        <is>
          <t>Алексеева</t>
        </is>
      </c>
      <c r="B2942" t="n">
        <v>12</v>
      </c>
      <c r="C2942" s="18">
        <f>'Календарь'!A342</f>
        <v/>
      </c>
      <c r="D2942">
        <f>MONTH(C2942)</f>
        <v/>
      </c>
      <c r="E2942">
        <f>'Календарь'!D342</f>
        <v/>
      </c>
      <c r="F2942">
        <f>INT((C2942-Нед_Начало)/7)+1</f>
        <v/>
      </c>
      <c r="G2942">
        <f>IF(E2942=0,0,INDEX('Планы менеджеров'!$B$5:$M$16,B2942,D2942)/INDEX(Мес_Раб,D2942))</f>
        <v/>
      </c>
    </row>
    <row r="2943">
      <c r="A2943" t="inlineStr">
        <is>
          <t>Алексеева</t>
        </is>
      </c>
      <c r="B2943" t="n">
        <v>12</v>
      </c>
      <c r="C2943" s="18">
        <f>'Календарь'!A343</f>
        <v/>
      </c>
      <c r="D2943">
        <f>MONTH(C2943)</f>
        <v/>
      </c>
      <c r="E2943">
        <f>'Календарь'!D343</f>
        <v/>
      </c>
      <c r="F2943">
        <f>INT((C2943-Нед_Начало)/7)+1</f>
        <v/>
      </c>
      <c r="G2943">
        <f>IF(E2943=0,0,INDEX('Планы менеджеров'!$B$5:$M$16,B2943,D2943)/INDEX(Мес_Раб,D2943))</f>
        <v/>
      </c>
    </row>
    <row r="2944">
      <c r="A2944" t="inlineStr">
        <is>
          <t>Алексеева</t>
        </is>
      </c>
      <c r="B2944" t="n">
        <v>12</v>
      </c>
      <c r="C2944" s="18">
        <f>'Календарь'!A344</f>
        <v/>
      </c>
      <c r="D2944">
        <f>MONTH(C2944)</f>
        <v/>
      </c>
      <c r="E2944">
        <f>'Календарь'!D344</f>
        <v/>
      </c>
      <c r="F2944">
        <f>INT((C2944-Нед_Начало)/7)+1</f>
        <v/>
      </c>
      <c r="G2944">
        <f>IF(E2944=0,0,INDEX('Планы менеджеров'!$B$5:$M$16,B2944,D2944)/INDEX(Мес_Раб,D2944))</f>
        <v/>
      </c>
    </row>
    <row r="2945">
      <c r="A2945" t="inlineStr">
        <is>
          <t>Алексеева</t>
        </is>
      </c>
      <c r="B2945" t="n">
        <v>12</v>
      </c>
      <c r="C2945" s="18">
        <f>'Календарь'!A345</f>
        <v/>
      </c>
      <c r="D2945">
        <f>MONTH(C2945)</f>
        <v/>
      </c>
      <c r="E2945">
        <f>'Календарь'!D345</f>
        <v/>
      </c>
      <c r="F2945">
        <f>INT((C2945-Нед_Начало)/7)+1</f>
        <v/>
      </c>
      <c r="G2945">
        <f>IF(E2945=0,0,INDEX('Планы менеджеров'!$B$5:$M$16,B2945,D2945)/INDEX(Мес_Раб,D2945))</f>
        <v/>
      </c>
    </row>
    <row r="2946">
      <c r="A2946" t="inlineStr">
        <is>
          <t>Алексеева</t>
        </is>
      </c>
      <c r="B2946" t="n">
        <v>12</v>
      </c>
      <c r="C2946" s="18">
        <f>'Календарь'!A346</f>
        <v/>
      </c>
      <c r="D2946">
        <f>MONTH(C2946)</f>
        <v/>
      </c>
      <c r="E2946">
        <f>'Календарь'!D346</f>
        <v/>
      </c>
      <c r="F2946">
        <f>INT((C2946-Нед_Начало)/7)+1</f>
        <v/>
      </c>
      <c r="G2946">
        <f>IF(E2946=0,0,INDEX('Планы менеджеров'!$B$5:$M$16,B2946,D2946)/INDEX(Мес_Раб,D2946))</f>
        <v/>
      </c>
    </row>
    <row r="2947">
      <c r="A2947" t="inlineStr">
        <is>
          <t>Алексеева</t>
        </is>
      </c>
      <c r="B2947" t="n">
        <v>12</v>
      </c>
      <c r="C2947" s="18">
        <f>'Календарь'!A347</f>
        <v/>
      </c>
      <c r="D2947">
        <f>MONTH(C2947)</f>
        <v/>
      </c>
      <c r="E2947">
        <f>'Календарь'!D347</f>
        <v/>
      </c>
      <c r="F2947">
        <f>INT((C2947-Нед_Начало)/7)+1</f>
        <v/>
      </c>
      <c r="G2947">
        <f>IF(E2947=0,0,INDEX('Планы менеджеров'!$B$5:$M$16,B2947,D2947)/INDEX(Мес_Раб,D2947))</f>
        <v/>
      </c>
    </row>
    <row r="2948">
      <c r="A2948" t="inlineStr">
        <is>
          <t>Алексеева</t>
        </is>
      </c>
      <c r="B2948" t="n">
        <v>12</v>
      </c>
      <c r="C2948" s="18">
        <f>'Календарь'!A348</f>
        <v/>
      </c>
      <c r="D2948">
        <f>MONTH(C2948)</f>
        <v/>
      </c>
      <c r="E2948">
        <f>'Календарь'!D348</f>
        <v/>
      </c>
      <c r="F2948">
        <f>INT((C2948-Нед_Начало)/7)+1</f>
        <v/>
      </c>
      <c r="G2948">
        <f>IF(E2948=0,0,INDEX('Планы менеджеров'!$B$5:$M$16,B2948,D2948)/INDEX(Мес_Раб,D2948))</f>
        <v/>
      </c>
    </row>
    <row r="2949">
      <c r="A2949" t="inlineStr">
        <is>
          <t>Алексеева</t>
        </is>
      </c>
      <c r="B2949" t="n">
        <v>12</v>
      </c>
      <c r="C2949" s="18">
        <f>'Календарь'!A349</f>
        <v/>
      </c>
      <c r="D2949">
        <f>MONTH(C2949)</f>
        <v/>
      </c>
      <c r="E2949">
        <f>'Календарь'!D349</f>
        <v/>
      </c>
      <c r="F2949">
        <f>INT((C2949-Нед_Начало)/7)+1</f>
        <v/>
      </c>
      <c r="G2949">
        <f>IF(E2949=0,0,INDEX('Планы менеджеров'!$B$5:$M$16,B2949,D2949)/INDEX(Мес_Раб,D2949))</f>
        <v/>
      </c>
    </row>
    <row r="2950">
      <c r="A2950" t="inlineStr">
        <is>
          <t>Алексеева</t>
        </is>
      </c>
      <c r="B2950" t="n">
        <v>12</v>
      </c>
      <c r="C2950" s="18">
        <f>'Календарь'!A350</f>
        <v/>
      </c>
      <c r="D2950">
        <f>MONTH(C2950)</f>
        <v/>
      </c>
      <c r="E2950">
        <f>'Календарь'!D350</f>
        <v/>
      </c>
      <c r="F2950">
        <f>INT((C2950-Нед_Начало)/7)+1</f>
        <v/>
      </c>
      <c r="G2950">
        <f>IF(E2950=0,0,INDEX('Планы менеджеров'!$B$5:$M$16,B2950,D2950)/INDEX(Мес_Раб,D2950))</f>
        <v/>
      </c>
    </row>
    <row r="2951">
      <c r="A2951" t="inlineStr">
        <is>
          <t>Алексеева</t>
        </is>
      </c>
      <c r="B2951" t="n">
        <v>12</v>
      </c>
      <c r="C2951" s="18">
        <f>'Календарь'!A351</f>
        <v/>
      </c>
      <c r="D2951">
        <f>MONTH(C2951)</f>
        <v/>
      </c>
      <c r="E2951">
        <f>'Календарь'!D351</f>
        <v/>
      </c>
      <c r="F2951">
        <f>INT((C2951-Нед_Начало)/7)+1</f>
        <v/>
      </c>
      <c r="G2951">
        <f>IF(E2951=0,0,INDEX('Планы менеджеров'!$B$5:$M$16,B2951,D2951)/INDEX(Мес_Раб,D2951))</f>
        <v/>
      </c>
    </row>
    <row r="2952">
      <c r="A2952" t="inlineStr">
        <is>
          <t>Алексеева</t>
        </is>
      </c>
      <c r="B2952" t="n">
        <v>12</v>
      </c>
      <c r="C2952" s="18">
        <f>'Календарь'!A352</f>
        <v/>
      </c>
      <c r="D2952">
        <f>MONTH(C2952)</f>
        <v/>
      </c>
      <c r="E2952">
        <f>'Календарь'!D352</f>
        <v/>
      </c>
      <c r="F2952">
        <f>INT((C2952-Нед_Начало)/7)+1</f>
        <v/>
      </c>
      <c r="G2952">
        <f>IF(E2952=0,0,INDEX('Планы менеджеров'!$B$5:$M$16,B2952,D2952)/INDEX(Мес_Раб,D2952))</f>
        <v/>
      </c>
    </row>
    <row r="2953">
      <c r="A2953" t="inlineStr">
        <is>
          <t>Алексеева</t>
        </is>
      </c>
      <c r="B2953" t="n">
        <v>12</v>
      </c>
      <c r="C2953" s="18">
        <f>'Календарь'!A353</f>
        <v/>
      </c>
      <c r="D2953">
        <f>MONTH(C2953)</f>
        <v/>
      </c>
      <c r="E2953">
        <f>'Календарь'!D353</f>
        <v/>
      </c>
      <c r="F2953">
        <f>INT((C2953-Нед_Начало)/7)+1</f>
        <v/>
      </c>
      <c r="G2953">
        <f>IF(E2953=0,0,INDEX('Планы менеджеров'!$B$5:$M$16,B2953,D2953)/INDEX(Мес_Раб,D2953))</f>
        <v/>
      </c>
    </row>
    <row r="2954">
      <c r="A2954" t="inlineStr">
        <is>
          <t>Алексеева</t>
        </is>
      </c>
      <c r="B2954" t="n">
        <v>12</v>
      </c>
      <c r="C2954" s="18">
        <f>'Календарь'!A354</f>
        <v/>
      </c>
      <c r="D2954">
        <f>MONTH(C2954)</f>
        <v/>
      </c>
      <c r="E2954">
        <f>'Календарь'!D354</f>
        <v/>
      </c>
      <c r="F2954">
        <f>INT((C2954-Нед_Начало)/7)+1</f>
        <v/>
      </c>
      <c r="G2954">
        <f>IF(E2954=0,0,INDEX('Планы менеджеров'!$B$5:$M$16,B2954,D2954)/INDEX(Мес_Раб,D2954))</f>
        <v/>
      </c>
    </row>
    <row r="2955">
      <c r="A2955" t="inlineStr">
        <is>
          <t>Алексеева</t>
        </is>
      </c>
      <c r="B2955" t="n">
        <v>12</v>
      </c>
      <c r="C2955" s="18">
        <f>'Календарь'!A355</f>
        <v/>
      </c>
      <c r="D2955">
        <f>MONTH(C2955)</f>
        <v/>
      </c>
      <c r="E2955">
        <f>'Календарь'!D355</f>
        <v/>
      </c>
      <c r="F2955">
        <f>INT((C2955-Нед_Начало)/7)+1</f>
        <v/>
      </c>
      <c r="G2955">
        <f>IF(E2955=0,0,INDEX('Планы менеджеров'!$B$5:$M$16,B2955,D2955)/INDEX(Мес_Раб,D2955))</f>
        <v/>
      </c>
    </row>
    <row r="2956">
      <c r="A2956" t="inlineStr">
        <is>
          <t>Алексеева</t>
        </is>
      </c>
      <c r="B2956" t="n">
        <v>12</v>
      </c>
      <c r="C2956" s="18">
        <f>'Календарь'!A356</f>
        <v/>
      </c>
      <c r="D2956">
        <f>MONTH(C2956)</f>
        <v/>
      </c>
      <c r="E2956">
        <f>'Календарь'!D356</f>
        <v/>
      </c>
      <c r="F2956">
        <f>INT((C2956-Нед_Начало)/7)+1</f>
        <v/>
      </c>
      <c r="G2956">
        <f>IF(E2956=0,0,INDEX('Планы менеджеров'!$B$5:$M$16,B2956,D2956)/INDEX(Мес_Раб,D2956))</f>
        <v/>
      </c>
    </row>
    <row r="2957">
      <c r="A2957" t="inlineStr">
        <is>
          <t>Алексеева</t>
        </is>
      </c>
      <c r="B2957" t="n">
        <v>12</v>
      </c>
      <c r="C2957" s="18">
        <f>'Календарь'!A357</f>
        <v/>
      </c>
      <c r="D2957">
        <f>MONTH(C2957)</f>
        <v/>
      </c>
      <c r="E2957">
        <f>'Календарь'!D357</f>
        <v/>
      </c>
      <c r="F2957">
        <f>INT((C2957-Нед_Начало)/7)+1</f>
        <v/>
      </c>
      <c r="G2957">
        <f>IF(E2957=0,0,INDEX('Планы менеджеров'!$B$5:$M$16,B2957,D2957)/INDEX(Мес_Раб,D2957))</f>
        <v/>
      </c>
    </row>
    <row r="2958">
      <c r="A2958" t="inlineStr">
        <is>
          <t>Алексеева</t>
        </is>
      </c>
      <c r="B2958" t="n">
        <v>12</v>
      </c>
      <c r="C2958" s="18">
        <f>'Календарь'!A358</f>
        <v/>
      </c>
      <c r="D2958">
        <f>MONTH(C2958)</f>
        <v/>
      </c>
      <c r="E2958">
        <f>'Календарь'!D358</f>
        <v/>
      </c>
      <c r="F2958">
        <f>INT((C2958-Нед_Начало)/7)+1</f>
        <v/>
      </c>
      <c r="G2958">
        <f>IF(E2958=0,0,INDEX('Планы менеджеров'!$B$5:$M$16,B2958,D2958)/INDEX(Мес_Раб,D2958))</f>
        <v/>
      </c>
    </row>
    <row r="2959">
      <c r="A2959" t="inlineStr">
        <is>
          <t>Алексеева</t>
        </is>
      </c>
      <c r="B2959" t="n">
        <v>12</v>
      </c>
      <c r="C2959" s="18">
        <f>'Календарь'!A359</f>
        <v/>
      </c>
      <c r="D2959">
        <f>MONTH(C2959)</f>
        <v/>
      </c>
      <c r="E2959">
        <f>'Календарь'!D359</f>
        <v/>
      </c>
      <c r="F2959">
        <f>INT((C2959-Нед_Начало)/7)+1</f>
        <v/>
      </c>
      <c r="G2959">
        <f>IF(E2959=0,0,INDEX('Планы менеджеров'!$B$5:$M$16,B2959,D2959)/INDEX(Мес_Раб,D2959))</f>
        <v/>
      </c>
    </row>
    <row r="2960">
      <c r="A2960" t="inlineStr">
        <is>
          <t>Алексеева</t>
        </is>
      </c>
      <c r="B2960" t="n">
        <v>12</v>
      </c>
      <c r="C2960" s="18">
        <f>'Календарь'!A360</f>
        <v/>
      </c>
      <c r="D2960">
        <f>MONTH(C2960)</f>
        <v/>
      </c>
      <c r="E2960">
        <f>'Календарь'!D360</f>
        <v/>
      </c>
      <c r="F2960">
        <f>INT((C2960-Нед_Начало)/7)+1</f>
        <v/>
      </c>
      <c r="G2960">
        <f>IF(E2960=0,0,INDEX('Планы менеджеров'!$B$5:$M$16,B2960,D2960)/INDEX(Мес_Раб,D2960))</f>
        <v/>
      </c>
    </row>
    <row r="2961">
      <c r="A2961" t="inlineStr">
        <is>
          <t>Алексеева</t>
        </is>
      </c>
      <c r="B2961" t="n">
        <v>12</v>
      </c>
      <c r="C2961" s="18">
        <f>'Календарь'!A361</f>
        <v/>
      </c>
      <c r="D2961">
        <f>MONTH(C2961)</f>
        <v/>
      </c>
      <c r="E2961">
        <f>'Календарь'!D361</f>
        <v/>
      </c>
      <c r="F2961">
        <f>INT((C2961-Нед_Начало)/7)+1</f>
        <v/>
      </c>
      <c r="G2961">
        <f>IF(E2961=0,0,INDEX('Планы менеджеров'!$B$5:$M$16,B2961,D2961)/INDEX(Мес_Раб,D2961))</f>
        <v/>
      </c>
    </row>
    <row r="2962">
      <c r="A2962" t="inlineStr">
        <is>
          <t>Алексеева</t>
        </is>
      </c>
      <c r="B2962" t="n">
        <v>12</v>
      </c>
      <c r="C2962" s="18">
        <f>'Календарь'!A362</f>
        <v/>
      </c>
      <c r="D2962">
        <f>MONTH(C2962)</f>
        <v/>
      </c>
      <c r="E2962">
        <f>'Календарь'!D362</f>
        <v/>
      </c>
      <c r="F2962">
        <f>INT((C2962-Нед_Начало)/7)+1</f>
        <v/>
      </c>
      <c r="G2962">
        <f>IF(E2962=0,0,INDEX('Планы менеджеров'!$B$5:$M$16,B2962,D2962)/INDEX(Мес_Раб,D2962))</f>
        <v/>
      </c>
    </row>
    <row r="2963">
      <c r="A2963" t="inlineStr">
        <is>
          <t>Алексеева</t>
        </is>
      </c>
      <c r="B2963" t="n">
        <v>12</v>
      </c>
      <c r="C2963" s="18">
        <f>'Календарь'!A363</f>
        <v/>
      </c>
      <c r="D2963">
        <f>MONTH(C2963)</f>
        <v/>
      </c>
      <c r="E2963">
        <f>'Календарь'!D363</f>
        <v/>
      </c>
      <c r="F2963">
        <f>INT((C2963-Нед_Начало)/7)+1</f>
        <v/>
      </c>
      <c r="G2963">
        <f>IF(E2963=0,0,INDEX('Планы менеджеров'!$B$5:$M$16,B2963,D2963)/INDEX(Мес_Раб,D2963))</f>
        <v/>
      </c>
    </row>
    <row r="2964">
      <c r="A2964" t="inlineStr">
        <is>
          <t>Алексеева</t>
        </is>
      </c>
      <c r="B2964" t="n">
        <v>12</v>
      </c>
      <c r="C2964" s="18">
        <f>'Календарь'!A364</f>
        <v/>
      </c>
      <c r="D2964">
        <f>MONTH(C2964)</f>
        <v/>
      </c>
      <c r="E2964">
        <f>'Календарь'!D364</f>
        <v/>
      </c>
      <c r="F2964">
        <f>INT((C2964-Нед_Начало)/7)+1</f>
        <v/>
      </c>
      <c r="G2964">
        <f>IF(E2964=0,0,INDEX('Планы менеджеров'!$B$5:$M$16,B2964,D2964)/INDEX(Мес_Раб,D2964))</f>
        <v/>
      </c>
    </row>
    <row r="2965">
      <c r="A2965" t="inlineStr">
        <is>
          <t>Алексеева</t>
        </is>
      </c>
      <c r="B2965" t="n">
        <v>12</v>
      </c>
      <c r="C2965" s="18">
        <f>'Календарь'!A365</f>
        <v/>
      </c>
      <c r="D2965">
        <f>MONTH(C2965)</f>
        <v/>
      </c>
      <c r="E2965">
        <f>'Календарь'!D365</f>
        <v/>
      </c>
      <c r="F2965">
        <f>INT((C2965-Нед_Начало)/7)+1</f>
        <v/>
      </c>
      <c r="G2965">
        <f>IF(E2965=0,0,INDEX('Планы менеджеров'!$B$5:$M$16,B2965,D2965)/INDEX(Мес_Раб,D2965))</f>
        <v/>
      </c>
    </row>
    <row r="2966">
      <c r="A2966" t="inlineStr">
        <is>
          <t>Алексеева</t>
        </is>
      </c>
      <c r="B2966" t="n">
        <v>12</v>
      </c>
      <c r="C2966" s="18">
        <f>'Календарь'!A366</f>
        <v/>
      </c>
      <c r="D2966">
        <f>MONTH(C2966)</f>
        <v/>
      </c>
      <c r="E2966">
        <f>'Календарь'!D366</f>
        <v/>
      </c>
      <c r="F2966">
        <f>INT((C2966-Нед_Начало)/7)+1</f>
        <v/>
      </c>
      <c r="G2966">
        <f>IF(E2966=0,0,INDEX('Планы менеджеров'!$B$5:$M$16,B2966,D2966)/INDEX(Мес_Раб,D2966))</f>
        <v/>
      </c>
    </row>
    <row r="2967">
      <c r="A2967" t="inlineStr">
        <is>
          <t>Алексеева</t>
        </is>
      </c>
      <c r="B2967" t="n">
        <v>12</v>
      </c>
      <c r="C2967" s="18">
        <f>'Календарь'!A367</f>
        <v/>
      </c>
      <c r="D2967">
        <f>MONTH(C2967)</f>
        <v/>
      </c>
      <c r="E2967">
        <f>'Календарь'!D367</f>
        <v/>
      </c>
      <c r="F2967">
        <f>INT((C2967-Нед_Начало)/7)+1</f>
        <v/>
      </c>
      <c r="G2967">
        <f>IF(E2967=0,0,INDEX('Планы менеджеров'!$B$5:$M$16,B2967,D2967)/INDEX(Мес_Раб,D2967))</f>
        <v/>
      </c>
    </row>
    <row r="2968">
      <c r="A2968" t="inlineStr">
        <is>
          <t>Алексеева</t>
        </is>
      </c>
      <c r="B2968" t="n">
        <v>12</v>
      </c>
      <c r="C2968" s="18">
        <f>'Календарь'!A368</f>
        <v/>
      </c>
      <c r="D2968">
        <f>MONTH(C2968)</f>
        <v/>
      </c>
      <c r="E2968">
        <f>'Календарь'!D368</f>
        <v/>
      </c>
      <c r="F2968">
        <f>INT((C2968-Нед_Начало)/7)+1</f>
        <v/>
      </c>
      <c r="G2968">
        <f>IF(E2968=0,0,INDEX('Планы менеджеров'!$B$5:$M$16,B2968,D2968)/INDEX(Мес_Раб,D2968))</f>
        <v/>
      </c>
    </row>
    <row r="2969">
      <c r="A2969" t="inlineStr">
        <is>
          <t>Алексеева</t>
        </is>
      </c>
      <c r="B2969" t="n">
        <v>12</v>
      </c>
      <c r="C2969" s="18">
        <f>'Календарь'!A369</f>
        <v/>
      </c>
      <c r="D2969">
        <f>MONTH(C2969)</f>
        <v/>
      </c>
      <c r="E2969">
        <f>'Календарь'!D369</f>
        <v/>
      </c>
      <c r="F2969">
        <f>INT((C2969-Нед_Начало)/7)+1</f>
        <v/>
      </c>
      <c r="G2969">
        <f>IF(E2969=0,0,INDEX('Планы менеджеров'!$B$5:$M$16,B2969,D2969)/INDEX(Мес_Раб,D2969))</f>
        <v/>
      </c>
    </row>
    <row r="2970">
      <c r="A2970" t="inlineStr">
        <is>
          <t>Алексеева</t>
        </is>
      </c>
      <c r="B2970" t="n">
        <v>12</v>
      </c>
      <c r="C2970" s="18">
        <f>'Календарь'!A370</f>
        <v/>
      </c>
      <c r="D2970">
        <f>MONTH(C2970)</f>
        <v/>
      </c>
      <c r="E2970">
        <f>'Календарь'!D370</f>
        <v/>
      </c>
      <c r="F2970">
        <f>INT((C2970-Нед_Начало)/7)+1</f>
        <v/>
      </c>
      <c r="G2970">
        <f>IF(E2970=0,0,INDEX('Планы менеджеров'!$B$5:$M$16,B2970,D2970)/INDEX(Мес_Раб,D2970))</f>
        <v/>
      </c>
    </row>
    <row r="2971">
      <c r="A2971" t="inlineStr">
        <is>
          <t>Алексеева</t>
        </is>
      </c>
      <c r="B2971" t="n">
        <v>12</v>
      </c>
      <c r="C2971" s="18">
        <f>'Календарь'!A371</f>
        <v/>
      </c>
      <c r="D2971">
        <f>MONTH(C2971)</f>
        <v/>
      </c>
      <c r="E2971">
        <f>'Календарь'!D371</f>
        <v/>
      </c>
      <c r="F2971">
        <f>INT((C2971-Нед_Начало)/7)+1</f>
        <v/>
      </c>
      <c r="G2971">
        <f>IF(E2971=0,0,INDEX('Планы менеджеров'!$B$5:$M$16,B2971,D2971)/INDEX(Мес_Раб,D2971))</f>
        <v/>
      </c>
    </row>
    <row r="2972">
      <c r="A2972" t="inlineStr">
        <is>
          <t>Алексеева</t>
        </is>
      </c>
      <c r="B2972" t="n">
        <v>12</v>
      </c>
      <c r="C2972" s="18">
        <f>'Календарь'!A372</f>
        <v/>
      </c>
      <c r="D2972">
        <f>MONTH(C2972)</f>
        <v/>
      </c>
      <c r="E2972">
        <f>'Календарь'!D372</f>
        <v/>
      </c>
      <c r="F2972">
        <f>INT((C2972-Нед_Начало)/7)+1</f>
        <v/>
      </c>
      <c r="G2972">
        <f>IF(E2972=0,0,INDEX('Планы менеджеров'!$B$5:$M$16,B2972,D2972)/INDEX(Мес_Раб,D2972))</f>
        <v/>
      </c>
    </row>
    <row r="2973">
      <c r="A2973" t="inlineStr">
        <is>
          <t>Лебедев</t>
        </is>
      </c>
      <c r="B2973" t="n">
        <v>13</v>
      </c>
      <c r="C2973" s="18">
        <f>'Календарь'!A2</f>
        <v/>
      </c>
      <c r="D2973">
        <f>MONTH(C2973)</f>
        <v/>
      </c>
      <c r="E2973">
        <f>'Календарь'!D2</f>
        <v/>
      </c>
      <c r="F2973">
        <f>INT((C2973-Нед_Начало)/7)+1</f>
        <v/>
      </c>
      <c r="G2973">
        <f>IF(E2973=0,0,INDEX('Планы менеджеров'!$B$5:$M$16,B2973,D2973)/INDEX(Мес_Раб,D2973))</f>
        <v/>
      </c>
    </row>
    <row r="2974">
      <c r="A2974" t="inlineStr">
        <is>
          <t>Лебедев</t>
        </is>
      </c>
      <c r="B2974" t="n">
        <v>13</v>
      </c>
      <c r="C2974" s="18">
        <f>'Календарь'!A3</f>
        <v/>
      </c>
      <c r="D2974">
        <f>MONTH(C2974)</f>
        <v/>
      </c>
      <c r="E2974">
        <f>'Календарь'!D3</f>
        <v/>
      </c>
      <c r="F2974">
        <f>INT((C2974-Нед_Начало)/7)+1</f>
        <v/>
      </c>
      <c r="G2974">
        <f>IF(E2974=0,0,INDEX('Планы менеджеров'!$B$5:$M$16,B2974,D2974)/INDEX(Мес_Раб,D2974))</f>
        <v/>
      </c>
    </row>
    <row r="2975">
      <c r="A2975" t="inlineStr">
        <is>
          <t>Лебедев</t>
        </is>
      </c>
      <c r="B2975" t="n">
        <v>13</v>
      </c>
      <c r="C2975" s="18">
        <f>'Календарь'!A4</f>
        <v/>
      </c>
      <c r="D2975">
        <f>MONTH(C2975)</f>
        <v/>
      </c>
      <c r="E2975">
        <f>'Календарь'!D4</f>
        <v/>
      </c>
      <c r="F2975">
        <f>INT((C2975-Нед_Начало)/7)+1</f>
        <v/>
      </c>
      <c r="G2975">
        <f>IF(E2975=0,0,INDEX('Планы менеджеров'!$B$5:$M$16,B2975,D2975)/INDEX(Мес_Раб,D2975))</f>
        <v/>
      </c>
    </row>
    <row r="2976">
      <c r="A2976" t="inlineStr">
        <is>
          <t>Лебедев</t>
        </is>
      </c>
      <c r="B2976" t="n">
        <v>13</v>
      </c>
      <c r="C2976" s="18">
        <f>'Календарь'!A5</f>
        <v/>
      </c>
      <c r="D2976">
        <f>MONTH(C2976)</f>
        <v/>
      </c>
      <c r="E2976">
        <f>'Календарь'!D5</f>
        <v/>
      </c>
      <c r="F2976">
        <f>INT((C2976-Нед_Начало)/7)+1</f>
        <v/>
      </c>
      <c r="G2976">
        <f>IF(E2976=0,0,INDEX('Планы менеджеров'!$B$5:$M$16,B2976,D2976)/INDEX(Мес_Раб,D2976))</f>
        <v/>
      </c>
    </row>
    <row r="2977">
      <c r="A2977" t="inlineStr">
        <is>
          <t>Лебедев</t>
        </is>
      </c>
      <c r="B2977" t="n">
        <v>13</v>
      </c>
      <c r="C2977" s="18">
        <f>'Календарь'!A6</f>
        <v/>
      </c>
      <c r="D2977">
        <f>MONTH(C2977)</f>
        <v/>
      </c>
      <c r="E2977">
        <f>'Календарь'!D6</f>
        <v/>
      </c>
      <c r="F2977">
        <f>INT((C2977-Нед_Начало)/7)+1</f>
        <v/>
      </c>
      <c r="G2977">
        <f>IF(E2977=0,0,INDEX('Планы менеджеров'!$B$5:$M$16,B2977,D2977)/INDEX(Мес_Раб,D2977))</f>
        <v/>
      </c>
    </row>
    <row r="2978">
      <c r="A2978" t="inlineStr">
        <is>
          <t>Лебедев</t>
        </is>
      </c>
      <c r="B2978" t="n">
        <v>13</v>
      </c>
      <c r="C2978" s="18">
        <f>'Календарь'!A7</f>
        <v/>
      </c>
      <c r="D2978">
        <f>MONTH(C2978)</f>
        <v/>
      </c>
      <c r="E2978">
        <f>'Календарь'!D7</f>
        <v/>
      </c>
      <c r="F2978">
        <f>INT((C2978-Нед_Начало)/7)+1</f>
        <v/>
      </c>
      <c r="G2978">
        <f>IF(E2978=0,0,INDEX('Планы менеджеров'!$B$5:$M$16,B2978,D2978)/INDEX(Мес_Раб,D2978))</f>
        <v/>
      </c>
    </row>
    <row r="2979">
      <c r="A2979" t="inlineStr">
        <is>
          <t>Лебедев</t>
        </is>
      </c>
      <c r="B2979" t="n">
        <v>13</v>
      </c>
      <c r="C2979" s="18">
        <f>'Календарь'!A8</f>
        <v/>
      </c>
      <c r="D2979">
        <f>MONTH(C2979)</f>
        <v/>
      </c>
      <c r="E2979">
        <f>'Календарь'!D8</f>
        <v/>
      </c>
      <c r="F2979">
        <f>INT((C2979-Нед_Начало)/7)+1</f>
        <v/>
      </c>
      <c r="G2979">
        <f>IF(E2979=0,0,INDEX('Планы менеджеров'!$B$5:$M$16,B2979,D2979)/INDEX(Мес_Раб,D2979))</f>
        <v/>
      </c>
    </row>
    <row r="2980">
      <c r="A2980" t="inlineStr">
        <is>
          <t>Лебедев</t>
        </is>
      </c>
      <c r="B2980" t="n">
        <v>13</v>
      </c>
      <c r="C2980" s="18">
        <f>'Календарь'!A9</f>
        <v/>
      </c>
      <c r="D2980">
        <f>MONTH(C2980)</f>
        <v/>
      </c>
      <c r="E2980">
        <f>'Календарь'!D9</f>
        <v/>
      </c>
      <c r="F2980">
        <f>INT((C2980-Нед_Начало)/7)+1</f>
        <v/>
      </c>
      <c r="G2980">
        <f>IF(E2980=0,0,INDEX('Планы менеджеров'!$B$5:$M$16,B2980,D2980)/INDEX(Мес_Раб,D2980))</f>
        <v/>
      </c>
    </row>
    <row r="2981">
      <c r="A2981" t="inlineStr">
        <is>
          <t>Лебедев</t>
        </is>
      </c>
      <c r="B2981" t="n">
        <v>13</v>
      </c>
      <c r="C2981" s="18">
        <f>'Календарь'!A10</f>
        <v/>
      </c>
      <c r="D2981">
        <f>MONTH(C2981)</f>
        <v/>
      </c>
      <c r="E2981">
        <f>'Календарь'!D10</f>
        <v/>
      </c>
      <c r="F2981">
        <f>INT((C2981-Нед_Начало)/7)+1</f>
        <v/>
      </c>
      <c r="G2981">
        <f>IF(E2981=0,0,INDEX('Планы менеджеров'!$B$5:$M$16,B2981,D2981)/INDEX(Мес_Раб,D2981))</f>
        <v/>
      </c>
    </row>
    <row r="2982">
      <c r="A2982" t="inlineStr">
        <is>
          <t>Лебедев</t>
        </is>
      </c>
      <c r="B2982" t="n">
        <v>13</v>
      </c>
      <c r="C2982" s="18">
        <f>'Календарь'!A11</f>
        <v/>
      </c>
      <c r="D2982">
        <f>MONTH(C2982)</f>
        <v/>
      </c>
      <c r="E2982">
        <f>'Календарь'!D11</f>
        <v/>
      </c>
      <c r="F2982">
        <f>INT((C2982-Нед_Начало)/7)+1</f>
        <v/>
      </c>
      <c r="G2982">
        <f>IF(E2982=0,0,INDEX('Планы менеджеров'!$B$5:$M$16,B2982,D2982)/INDEX(Мес_Раб,D2982))</f>
        <v/>
      </c>
    </row>
    <row r="2983">
      <c r="A2983" t="inlineStr">
        <is>
          <t>Лебедев</t>
        </is>
      </c>
      <c r="B2983" t="n">
        <v>13</v>
      </c>
      <c r="C2983" s="18">
        <f>'Календарь'!A12</f>
        <v/>
      </c>
      <c r="D2983">
        <f>MONTH(C2983)</f>
        <v/>
      </c>
      <c r="E2983">
        <f>'Календарь'!D12</f>
        <v/>
      </c>
      <c r="F2983">
        <f>INT((C2983-Нед_Начало)/7)+1</f>
        <v/>
      </c>
      <c r="G2983">
        <f>IF(E2983=0,0,INDEX('Планы менеджеров'!$B$5:$M$16,B2983,D2983)/INDEX(Мес_Раб,D2983))</f>
        <v/>
      </c>
    </row>
    <row r="2984">
      <c r="A2984" t="inlineStr">
        <is>
          <t>Лебедев</t>
        </is>
      </c>
      <c r="B2984" t="n">
        <v>13</v>
      </c>
      <c r="C2984" s="18">
        <f>'Календарь'!A13</f>
        <v/>
      </c>
      <c r="D2984">
        <f>MONTH(C2984)</f>
        <v/>
      </c>
      <c r="E2984">
        <f>'Календарь'!D13</f>
        <v/>
      </c>
      <c r="F2984">
        <f>INT((C2984-Нед_Начало)/7)+1</f>
        <v/>
      </c>
      <c r="G2984">
        <f>IF(E2984=0,0,INDEX('Планы менеджеров'!$B$5:$M$16,B2984,D2984)/INDEX(Мес_Раб,D2984))</f>
        <v/>
      </c>
    </row>
    <row r="2985">
      <c r="A2985" t="inlineStr">
        <is>
          <t>Лебедев</t>
        </is>
      </c>
      <c r="B2985" t="n">
        <v>13</v>
      </c>
      <c r="C2985" s="18">
        <f>'Календарь'!A14</f>
        <v/>
      </c>
      <c r="D2985">
        <f>MONTH(C2985)</f>
        <v/>
      </c>
      <c r="E2985">
        <f>'Календарь'!D14</f>
        <v/>
      </c>
      <c r="F2985">
        <f>INT((C2985-Нед_Начало)/7)+1</f>
        <v/>
      </c>
      <c r="G2985">
        <f>IF(E2985=0,0,INDEX('Планы менеджеров'!$B$5:$M$16,B2985,D2985)/INDEX(Мес_Раб,D2985))</f>
        <v/>
      </c>
    </row>
    <row r="2986">
      <c r="A2986" t="inlineStr">
        <is>
          <t>Лебедев</t>
        </is>
      </c>
      <c r="B2986" t="n">
        <v>13</v>
      </c>
      <c r="C2986" s="18">
        <f>'Календарь'!A15</f>
        <v/>
      </c>
      <c r="D2986">
        <f>MONTH(C2986)</f>
        <v/>
      </c>
      <c r="E2986">
        <f>'Календарь'!D15</f>
        <v/>
      </c>
      <c r="F2986">
        <f>INT((C2986-Нед_Начало)/7)+1</f>
        <v/>
      </c>
      <c r="G2986">
        <f>IF(E2986=0,0,INDEX('Планы менеджеров'!$B$5:$M$16,B2986,D2986)/INDEX(Мес_Раб,D2986))</f>
        <v/>
      </c>
    </row>
    <row r="2987">
      <c r="A2987" t="inlineStr">
        <is>
          <t>Лебедев</t>
        </is>
      </c>
      <c r="B2987" t="n">
        <v>13</v>
      </c>
      <c r="C2987" s="18">
        <f>'Календарь'!A16</f>
        <v/>
      </c>
      <c r="D2987">
        <f>MONTH(C2987)</f>
        <v/>
      </c>
      <c r="E2987">
        <f>'Календарь'!D16</f>
        <v/>
      </c>
      <c r="F2987">
        <f>INT((C2987-Нед_Начало)/7)+1</f>
        <v/>
      </c>
      <c r="G2987">
        <f>IF(E2987=0,0,INDEX('Планы менеджеров'!$B$5:$M$16,B2987,D2987)/INDEX(Мес_Раб,D2987))</f>
        <v/>
      </c>
    </row>
    <row r="2988">
      <c r="A2988" t="inlineStr">
        <is>
          <t>Лебедев</t>
        </is>
      </c>
      <c r="B2988" t="n">
        <v>13</v>
      </c>
      <c r="C2988" s="18">
        <f>'Календарь'!A17</f>
        <v/>
      </c>
      <c r="D2988">
        <f>MONTH(C2988)</f>
        <v/>
      </c>
      <c r="E2988">
        <f>'Календарь'!D17</f>
        <v/>
      </c>
      <c r="F2988">
        <f>INT((C2988-Нед_Начало)/7)+1</f>
        <v/>
      </c>
      <c r="G2988">
        <f>IF(E2988=0,0,INDEX('Планы менеджеров'!$B$5:$M$16,B2988,D2988)/INDEX(Мес_Раб,D2988))</f>
        <v/>
      </c>
    </row>
    <row r="2989">
      <c r="A2989" t="inlineStr">
        <is>
          <t>Лебедев</t>
        </is>
      </c>
      <c r="B2989" t="n">
        <v>13</v>
      </c>
      <c r="C2989" s="18">
        <f>'Календарь'!A18</f>
        <v/>
      </c>
      <c r="D2989">
        <f>MONTH(C2989)</f>
        <v/>
      </c>
      <c r="E2989">
        <f>'Календарь'!D18</f>
        <v/>
      </c>
      <c r="F2989">
        <f>INT((C2989-Нед_Начало)/7)+1</f>
        <v/>
      </c>
      <c r="G2989">
        <f>IF(E2989=0,0,INDEX('Планы менеджеров'!$B$5:$M$16,B2989,D2989)/INDEX(Мес_Раб,D2989))</f>
        <v/>
      </c>
    </row>
    <row r="2990">
      <c r="A2990" t="inlineStr">
        <is>
          <t>Лебедев</t>
        </is>
      </c>
      <c r="B2990" t="n">
        <v>13</v>
      </c>
      <c r="C2990" s="18">
        <f>'Календарь'!A19</f>
        <v/>
      </c>
      <c r="D2990">
        <f>MONTH(C2990)</f>
        <v/>
      </c>
      <c r="E2990">
        <f>'Календарь'!D19</f>
        <v/>
      </c>
      <c r="F2990">
        <f>INT((C2990-Нед_Начало)/7)+1</f>
        <v/>
      </c>
      <c r="G2990">
        <f>IF(E2990=0,0,INDEX('Планы менеджеров'!$B$5:$M$16,B2990,D2990)/INDEX(Мес_Раб,D2990))</f>
        <v/>
      </c>
    </row>
    <row r="2991">
      <c r="A2991" t="inlineStr">
        <is>
          <t>Лебедев</t>
        </is>
      </c>
      <c r="B2991" t="n">
        <v>13</v>
      </c>
      <c r="C2991" s="18">
        <f>'Календарь'!A20</f>
        <v/>
      </c>
      <c r="D2991">
        <f>MONTH(C2991)</f>
        <v/>
      </c>
      <c r="E2991">
        <f>'Календарь'!D20</f>
        <v/>
      </c>
      <c r="F2991">
        <f>INT((C2991-Нед_Начало)/7)+1</f>
        <v/>
      </c>
      <c r="G2991">
        <f>IF(E2991=0,0,INDEX('Планы менеджеров'!$B$5:$M$16,B2991,D2991)/INDEX(Мес_Раб,D2991))</f>
        <v/>
      </c>
    </row>
    <row r="2992">
      <c r="A2992" t="inlineStr">
        <is>
          <t>Лебедев</t>
        </is>
      </c>
      <c r="B2992" t="n">
        <v>13</v>
      </c>
      <c r="C2992" s="18">
        <f>'Календарь'!A21</f>
        <v/>
      </c>
      <c r="D2992">
        <f>MONTH(C2992)</f>
        <v/>
      </c>
      <c r="E2992">
        <f>'Календарь'!D21</f>
        <v/>
      </c>
      <c r="F2992">
        <f>INT((C2992-Нед_Начало)/7)+1</f>
        <v/>
      </c>
      <c r="G2992">
        <f>IF(E2992=0,0,INDEX('Планы менеджеров'!$B$5:$M$16,B2992,D2992)/INDEX(Мес_Раб,D2992))</f>
        <v/>
      </c>
    </row>
    <row r="2993">
      <c r="A2993" t="inlineStr">
        <is>
          <t>Лебедев</t>
        </is>
      </c>
      <c r="B2993" t="n">
        <v>13</v>
      </c>
      <c r="C2993" s="18">
        <f>'Календарь'!A22</f>
        <v/>
      </c>
      <c r="D2993">
        <f>MONTH(C2993)</f>
        <v/>
      </c>
      <c r="E2993">
        <f>'Календарь'!D22</f>
        <v/>
      </c>
      <c r="F2993">
        <f>INT((C2993-Нед_Начало)/7)+1</f>
        <v/>
      </c>
      <c r="G2993">
        <f>IF(E2993=0,0,INDEX('Планы менеджеров'!$B$5:$M$16,B2993,D2993)/INDEX(Мес_Раб,D2993))</f>
        <v/>
      </c>
    </row>
    <row r="2994">
      <c r="A2994" t="inlineStr">
        <is>
          <t>Лебедев</t>
        </is>
      </c>
      <c r="B2994" t="n">
        <v>13</v>
      </c>
      <c r="C2994" s="18">
        <f>'Календарь'!A23</f>
        <v/>
      </c>
      <c r="D2994">
        <f>MONTH(C2994)</f>
        <v/>
      </c>
      <c r="E2994">
        <f>'Календарь'!D23</f>
        <v/>
      </c>
      <c r="F2994">
        <f>INT((C2994-Нед_Начало)/7)+1</f>
        <v/>
      </c>
      <c r="G2994">
        <f>IF(E2994=0,0,INDEX('Планы менеджеров'!$B$5:$M$16,B2994,D2994)/INDEX(Мес_Раб,D2994))</f>
        <v/>
      </c>
    </row>
    <row r="2995">
      <c r="A2995" t="inlineStr">
        <is>
          <t>Лебедев</t>
        </is>
      </c>
      <c r="B2995" t="n">
        <v>13</v>
      </c>
      <c r="C2995" s="18">
        <f>'Календарь'!A24</f>
        <v/>
      </c>
      <c r="D2995">
        <f>MONTH(C2995)</f>
        <v/>
      </c>
      <c r="E2995">
        <f>'Календарь'!D24</f>
        <v/>
      </c>
      <c r="F2995">
        <f>INT((C2995-Нед_Начало)/7)+1</f>
        <v/>
      </c>
      <c r="G2995">
        <f>IF(E2995=0,0,INDEX('Планы менеджеров'!$B$5:$M$16,B2995,D2995)/INDEX(Мес_Раб,D2995))</f>
        <v/>
      </c>
    </row>
    <row r="2996">
      <c r="A2996" t="inlineStr">
        <is>
          <t>Лебедев</t>
        </is>
      </c>
      <c r="B2996" t="n">
        <v>13</v>
      </c>
      <c r="C2996" s="18">
        <f>'Календарь'!A25</f>
        <v/>
      </c>
      <c r="D2996">
        <f>MONTH(C2996)</f>
        <v/>
      </c>
      <c r="E2996">
        <f>'Календарь'!D25</f>
        <v/>
      </c>
      <c r="F2996">
        <f>INT((C2996-Нед_Начало)/7)+1</f>
        <v/>
      </c>
      <c r="G2996">
        <f>IF(E2996=0,0,INDEX('Планы менеджеров'!$B$5:$M$16,B2996,D2996)/INDEX(Мес_Раб,D2996))</f>
        <v/>
      </c>
    </row>
    <row r="2997">
      <c r="A2997" t="inlineStr">
        <is>
          <t>Лебедев</t>
        </is>
      </c>
      <c r="B2997" t="n">
        <v>13</v>
      </c>
      <c r="C2997" s="18">
        <f>'Календарь'!A26</f>
        <v/>
      </c>
      <c r="D2997">
        <f>MONTH(C2997)</f>
        <v/>
      </c>
      <c r="E2997">
        <f>'Календарь'!D26</f>
        <v/>
      </c>
      <c r="F2997">
        <f>INT((C2997-Нед_Начало)/7)+1</f>
        <v/>
      </c>
      <c r="G2997">
        <f>IF(E2997=0,0,INDEX('Планы менеджеров'!$B$5:$M$16,B2997,D2997)/INDEX(Мес_Раб,D2997))</f>
        <v/>
      </c>
    </row>
    <row r="2998">
      <c r="A2998" t="inlineStr">
        <is>
          <t>Лебедев</t>
        </is>
      </c>
      <c r="B2998" t="n">
        <v>13</v>
      </c>
      <c r="C2998" s="18">
        <f>'Календарь'!A27</f>
        <v/>
      </c>
      <c r="D2998">
        <f>MONTH(C2998)</f>
        <v/>
      </c>
      <c r="E2998">
        <f>'Календарь'!D27</f>
        <v/>
      </c>
      <c r="F2998">
        <f>INT((C2998-Нед_Начало)/7)+1</f>
        <v/>
      </c>
      <c r="G2998">
        <f>IF(E2998=0,0,INDEX('Планы менеджеров'!$B$5:$M$16,B2998,D2998)/INDEX(Мес_Раб,D2998))</f>
        <v/>
      </c>
    </row>
    <row r="2999">
      <c r="A2999" t="inlineStr">
        <is>
          <t>Лебедев</t>
        </is>
      </c>
      <c r="B2999" t="n">
        <v>13</v>
      </c>
      <c r="C2999" s="18">
        <f>'Календарь'!A28</f>
        <v/>
      </c>
      <c r="D2999">
        <f>MONTH(C2999)</f>
        <v/>
      </c>
      <c r="E2999">
        <f>'Календарь'!D28</f>
        <v/>
      </c>
      <c r="F2999">
        <f>INT((C2999-Нед_Начало)/7)+1</f>
        <v/>
      </c>
      <c r="G2999">
        <f>IF(E2999=0,0,INDEX('Планы менеджеров'!$B$5:$M$16,B2999,D2999)/INDEX(Мес_Раб,D2999))</f>
        <v/>
      </c>
    </row>
    <row r="3000">
      <c r="A3000" t="inlineStr">
        <is>
          <t>Лебедев</t>
        </is>
      </c>
      <c r="B3000" t="n">
        <v>13</v>
      </c>
      <c r="C3000" s="18">
        <f>'Календарь'!A29</f>
        <v/>
      </c>
      <c r="D3000">
        <f>MONTH(C3000)</f>
        <v/>
      </c>
      <c r="E3000">
        <f>'Календарь'!D29</f>
        <v/>
      </c>
      <c r="F3000">
        <f>INT((C3000-Нед_Начало)/7)+1</f>
        <v/>
      </c>
      <c r="G3000">
        <f>IF(E3000=0,0,INDEX('Планы менеджеров'!$B$5:$M$16,B3000,D3000)/INDEX(Мес_Раб,D3000))</f>
        <v/>
      </c>
    </row>
    <row r="3001">
      <c r="A3001" t="inlineStr">
        <is>
          <t>Лебедев</t>
        </is>
      </c>
      <c r="B3001" t="n">
        <v>13</v>
      </c>
      <c r="C3001" s="18">
        <f>'Календарь'!A30</f>
        <v/>
      </c>
      <c r="D3001">
        <f>MONTH(C3001)</f>
        <v/>
      </c>
      <c r="E3001">
        <f>'Календарь'!D30</f>
        <v/>
      </c>
      <c r="F3001">
        <f>INT((C3001-Нед_Начало)/7)+1</f>
        <v/>
      </c>
      <c r="G3001">
        <f>IF(E3001=0,0,INDEX('Планы менеджеров'!$B$5:$M$16,B3001,D3001)/INDEX(Мес_Раб,D3001))</f>
        <v/>
      </c>
    </row>
    <row r="3002">
      <c r="A3002" t="inlineStr">
        <is>
          <t>Лебедев</t>
        </is>
      </c>
      <c r="B3002" t="n">
        <v>13</v>
      </c>
      <c r="C3002" s="18">
        <f>'Календарь'!A31</f>
        <v/>
      </c>
      <c r="D3002">
        <f>MONTH(C3002)</f>
        <v/>
      </c>
      <c r="E3002">
        <f>'Календарь'!D31</f>
        <v/>
      </c>
      <c r="F3002">
        <f>INT((C3002-Нед_Начало)/7)+1</f>
        <v/>
      </c>
      <c r="G3002">
        <f>IF(E3002=0,0,INDEX('Планы менеджеров'!$B$5:$M$16,B3002,D3002)/INDEX(Мес_Раб,D3002))</f>
        <v/>
      </c>
    </row>
    <row r="3003">
      <c r="A3003" t="inlineStr">
        <is>
          <t>Лебедев</t>
        </is>
      </c>
      <c r="B3003" t="n">
        <v>13</v>
      </c>
      <c r="C3003" s="18">
        <f>'Календарь'!A32</f>
        <v/>
      </c>
      <c r="D3003">
        <f>MONTH(C3003)</f>
        <v/>
      </c>
      <c r="E3003">
        <f>'Календарь'!D32</f>
        <v/>
      </c>
      <c r="F3003">
        <f>INT((C3003-Нед_Начало)/7)+1</f>
        <v/>
      </c>
      <c r="G3003">
        <f>IF(E3003=0,0,INDEX('Планы менеджеров'!$B$5:$M$16,B3003,D3003)/INDEX(Мес_Раб,D3003))</f>
        <v/>
      </c>
    </row>
    <row r="3004">
      <c r="A3004" t="inlineStr">
        <is>
          <t>Лебедев</t>
        </is>
      </c>
      <c r="B3004" t="n">
        <v>13</v>
      </c>
      <c r="C3004" s="18">
        <f>'Календарь'!A33</f>
        <v/>
      </c>
      <c r="D3004">
        <f>MONTH(C3004)</f>
        <v/>
      </c>
      <c r="E3004">
        <f>'Календарь'!D33</f>
        <v/>
      </c>
      <c r="F3004">
        <f>INT((C3004-Нед_Начало)/7)+1</f>
        <v/>
      </c>
      <c r="G3004">
        <f>IF(E3004=0,0,INDEX('Планы менеджеров'!$B$5:$M$16,B3004,D3004)/INDEX(Мес_Раб,D3004))</f>
        <v/>
      </c>
    </row>
    <row r="3005">
      <c r="A3005" t="inlineStr">
        <is>
          <t>Лебедев</t>
        </is>
      </c>
      <c r="B3005" t="n">
        <v>13</v>
      </c>
      <c r="C3005" s="18">
        <f>'Календарь'!A34</f>
        <v/>
      </c>
      <c r="D3005">
        <f>MONTH(C3005)</f>
        <v/>
      </c>
      <c r="E3005">
        <f>'Календарь'!D34</f>
        <v/>
      </c>
      <c r="F3005">
        <f>INT((C3005-Нед_Начало)/7)+1</f>
        <v/>
      </c>
      <c r="G3005">
        <f>IF(E3005=0,0,INDEX('Планы менеджеров'!$B$5:$M$16,B3005,D3005)/INDEX(Мес_Раб,D3005))</f>
        <v/>
      </c>
    </row>
    <row r="3006">
      <c r="A3006" t="inlineStr">
        <is>
          <t>Лебедев</t>
        </is>
      </c>
      <c r="B3006" t="n">
        <v>13</v>
      </c>
      <c r="C3006" s="18">
        <f>'Календарь'!A35</f>
        <v/>
      </c>
      <c r="D3006">
        <f>MONTH(C3006)</f>
        <v/>
      </c>
      <c r="E3006">
        <f>'Календарь'!D35</f>
        <v/>
      </c>
      <c r="F3006">
        <f>INT((C3006-Нед_Начало)/7)+1</f>
        <v/>
      </c>
      <c r="G3006">
        <f>IF(E3006=0,0,INDEX('Планы менеджеров'!$B$5:$M$16,B3006,D3006)/INDEX(Мес_Раб,D3006))</f>
        <v/>
      </c>
    </row>
    <row r="3007">
      <c r="A3007" t="inlineStr">
        <is>
          <t>Лебедев</t>
        </is>
      </c>
      <c r="B3007" t="n">
        <v>13</v>
      </c>
      <c r="C3007" s="18">
        <f>'Календарь'!A36</f>
        <v/>
      </c>
      <c r="D3007">
        <f>MONTH(C3007)</f>
        <v/>
      </c>
      <c r="E3007">
        <f>'Календарь'!D36</f>
        <v/>
      </c>
      <c r="F3007">
        <f>INT((C3007-Нед_Начало)/7)+1</f>
        <v/>
      </c>
      <c r="G3007">
        <f>IF(E3007=0,0,INDEX('Планы менеджеров'!$B$5:$M$16,B3007,D3007)/INDEX(Мес_Раб,D3007))</f>
        <v/>
      </c>
    </row>
    <row r="3008">
      <c r="A3008" t="inlineStr">
        <is>
          <t>Лебедев</t>
        </is>
      </c>
      <c r="B3008" t="n">
        <v>13</v>
      </c>
      <c r="C3008" s="18">
        <f>'Календарь'!A37</f>
        <v/>
      </c>
      <c r="D3008">
        <f>MONTH(C3008)</f>
        <v/>
      </c>
      <c r="E3008">
        <f>'Календарь'!D37</f>
        <v/>
      </c>
      <c r="F3008">
        <f>INT((C3008-Нед_Начало)/7)+1</f>
        <v/>
      </c>
      <c r="G3008">
        <f>IF(E3008=0,0,INDEX('Планы менеджеров'!$B$5:$M$16,B3008,D3008)/INDEX(Мес_Раб,D3008))</f>
        <v/>
      </c>
    </row>
    <row r="3009">
      <c r="A3009" t="inlineStr">
        <is>
          <t>Лебедев</t>
        </is>
      </c>
      <c r="B3009" t="n">
        <v>13</v>
      </c>
      <c r="C3009" s="18">
        <f>'Календарь'!A38</f>
        <v/>
      </c>
      <c r="D3009">
        <f>MONTH(C3009)</f>
        <v/>
      </c>
      <c r="E3009">
        <f>'Календарь'!D38</f>
        <v/>
      </c>
      <c r="F3009">
        <f>INT((C3009-Нед_Начало)/7)+1</f>
        <v/>
      </c>
      <c r="G3009">
        <f>IF(E3009=0,0,INDEX('Планы менеджеров'!$B$5:$M$16,B3009,D3009)/INDEX(Мес_Раб,D3009))</f>
        <v/>
      </c>
    </row>
    <row r="3010">
      <c r="A3010" t="inlineStr">
        <is>
          <t>Лебедев</t>
        </is>
      </c>
      <c r="B3010" t="n">
        <v>13</v>
      </c>
      <c r="C3010" s="18">
        <f>'Календарь'!A39</f>
        <v/>
      </c>
      <c r="D3010">
        <f>MONTH(C3010)</f>
        <v/>
      </c>
      <c r="E3010">
        <f>'Календарь'!D39</f>
        <v/>
      </c>
      <c r="F3010">
        <f>INT((C3010-Нед_Начало)/7)+1</f>
        <v/>
      </c>
      <c r="G3010">
        <f>IF(E3010=0,0,INDEX('Планы менеджеров'!$B$5:$M$16,B3010,D3010)/INDEX(Мес_Раб,D3010))</f>
        <v/>
      </c>
    </row>
    <row r="3011">
      <c r="A3011" t="inlineStr">
        <is>
          <t>Лебедев</t>
        </is>
      </c>
      <c r="B3011" t="n">
        <v>13</v>
      </c>
      <c r="C3011" s="18">
        <f>'Календарь'!A40</f>
        <v/>
      </c>
      <c r="D3011">
        <f>MONTH(C3011)</f>
        <v/>
      </c>
      <c r="E3011">
        <f>'Календарь'!D40</f>
        <v/>
      </c>
      <c r="F3011">
        <f>INT((C3011-Нед_Начало)/7)+1</f>
        <v/>
      </c>
      <c r="G3011">
        <f>IF(E3011=0,0,INDEX('Планы менеджеров'!$B$5:$M$16,B3011,D3011)/INDEX(Мес_Раб,D3011))</f>
        <v/>
      </c>
    </row>
    <row r="3012">
      <c r="A3012" t="inlineStr">
        <is>
          <t>Лебедев</t>
        </is>
      </c>
      <c r="B3012" t="n">
        <v>13</v>
      </c>
      <c r="C3012" s="18">
        <f>'Календарь'!A41</f>
        <v/>
      </c>
      <c r="D3012">
        <f>MONTH(C3012)</f>
        <v/>
      </c>
      <c r="E3012">
        <f>'Календарь'!D41</f>
        <v/>
      </c>
      <c r="F3012">
        <f>INT((C3012-Нед_Начало)/7)+1</f>
        <v/>
      </c>
      <c r="G3012">
        <f>IF(E3012=0,0,INDEX('Планы менеджеров'!$B$5:$M$16,B3012,D3012)/INDEX(Мес_Раб,D3012))</f>
        <v/>
      </c>
    </row>
    <row r="3013">
      <c r="A3013" t="inlineStr">
        <is>
          <t>Лебедев</t>
        </is>
      </c>
      <c r="B3013" t="n">
        <v>13</v>
      </c>
      <c r="C3013" s="18">
        <f>'Календарь'!A42</f>
        <v/>
      </c>
      <c r="D3013">
        <f>MONTH(C3013)</f>
        <v/>
      </c>
      <c r="E3013">
        <f>'Календарь'!D42</f>
        <v/>
      </c>
      <c r="F3013">
        <f>INT((C3013-Нед_Начало)/7)+1</f>
        <v/>
      </c>
      <c r="G3013">
        <f>IF(E3013=0,0,INDEX('Планы менеджеров'!$B$5:$M$16,B3013,D3013)/INDEX(Мес_Раб,D3013))</f>
        <v/>
      </c>
    </row>
    <row r="3014">
      <c r="A3014" t="inlineStr">
        <is>
          <t>Лебедев</t>
        </is>
      </c>
      <c r="B3014" t="n">
        <v>13</v>
      </c>
      <c r="C3014" s="18">
        <f>'Календарь'!A43</f>
        <v/>
      </c>
      <c r="D3014">
        <f>MONTH(C3014)</f>
        <v/>
      </c>
      <c r="E3014">
        <f>'Календарь'!D43</f>
        <v/>
      </c>
      <c r="F3014">
        <f>INT((C3014-Нед_Начало)/7)+1</f>
        <v/>
      </c>
      <c r="G3014">
        <f>IF(E3014=0,0,INDEX('Планы менеджеров'!$B$5:$M$16,B3014,D3014)/INDEX(Мес_Раб,D3014))</f>
        <v/>
      </c>
    </row>
    <row r="3015">
      <c r="A3015" t="inlineStr">
        <is>
          <t>Лебедев</t>
        </is>
      </c>
      <c r="B3015" t="n">
        <v>13</v>
      </c>
      <c r="C3015" s="18">
        <f>'Календарь'!A44</f>
        <v/>
      </c>
      <c r="D3015">
        <f>MONTH(C3015)</f>
        <v/>
      </c>
      <c r="E3015">
        <f>'Календарь'!D44</f>
        <v/>
      </c>
      <c r="F3015">
        <f>INT((C3015-Нед_Начало)/7)+1</f>
        <v/>
      </c>
      <c r="G3015">
        <f>IF(E3015=0,0,INDEX('Планы менеджеров'!$B$5:$M$16,B3015,D3015)/INDEX(Мес_Раб,D3015))</f>
        <v/>
      </c>
    </row>
    <row r="3016">
      <c r="A3016" t="inlineStr">
        <is>
          <t>Лебедев</t>
        </is>
      </c>
      <c r="B3016" t="n">
        <v>13</v>
      </c>
      <c r="C3016" s="18">
        <f>'Календарь'!A45</f>
        <v/>
      </c>
      <c r="D3016">
        <f>MONTH(C3016)</f>
        <v/>
      </c>
      <c r="E3016">
        <f>'Календарь'!D45</f>
        <v/>
      </c>
      <c r="F3016">
        <f>INT((C3016-Нед_Начало)/7)+1</f>
        <v/>
      </c>
      <c r="G3016">
        <f>IF(E3016=0,0,INDEX('Планы менеджеров'!$B$5:$M$16,B3016,D3016)/INDEX(Мес_Раб,D3016))</f>
        <v/>
      </c>
    </row>
    <row r="3017">
      <c r="A3017" t="inlineStr">
        <is>
          <t>Лебедев</t>
        </is>
      </c>
      <c r="B3017" t="n">
        <v>13</v>
      </c>
      <c r="C3017" s="18">
        <f>'Календарь'!A46</f>
        <v/>
      </c>
      <c r="D3017">
        <f>MONTH(C3017)</f>
        <v/>
      </c>
      <c r="E3017">
        <f>'Календарь'!D46</f>
        <v/>
      </c>
      <c r="F3017">
        <f>INT((C3017-Нед_Начало)/7)+1</f>
        <v/>
      </c>
      <c r="G3017">
        <f>IF(E3017=0,0,INDEX('Планы менеджеров'!$B$5:$M$16,B3017,D3017)/INDEX(Мес_Раб,D3017))</f>
        <v/>
      </c>
    </row>
    <row r="3018">
      <c r="A3018" t="inlineStr">
        <is>
          <t>Лебедев</t>
        </is>
      </c>
      <c r="B3018" t="n">
        <v>13</v>
      </c>
      <c r="C3018" s="18">
        <f>'Календарь'!A47</f>
        <v/>
      </c>
      <c r="D3018">
        <f>MONTH(C3018)</f>
        <v/>
      </c>
      <c r="E3018">
        <f>'Календарь'!D47</f>
        <v/>
      </c>
      <c r="F3018">
        <f>INT((C3018-Нед_Начало)/7)+1</f>
        <v/>
      </c>
      <c r="G3018">
        <f>IF(E3018=0,0,INDEX('Планы менеджеров'!$B$5:$M$16,B3018,D3018)/INDEX(Мес_Раб,D3018))</f>
        <v/>
      </c>
    </row>
    <row r="3019">
      <c r="A3019" t="inlineStr">
        <is>
          <t>Лебедев</t>
        </is>
      </c>
      <c r="B3019" t="n">
        <v>13</v>
      </c>
      <c r="C3019" s="18">
        <f>'Календарь'!A48</f>
        <v/>
      </c>
      <c r="D3019">
        <f>MONTH(C3019)</f>
        <v/>
      </c>
      <c r="E3019">
        <f>'Календарь'!D48</f>
        <v/>
      </c>
      <c r="F3019">
        <f>INT((C3019-Нед_Начало)/7)+1</f>
        <v/>
      </c>
      <c r="G3019">
        <f>IF(E3019=0,0,INDEX('Планы менеджеров'!$B$5:$M$16,B3019,D3019)/INDEX(Мес_Раб,D3019))</f>
        <v/>
      </c>
    </row>
    <row r="3020">
      <c r="A3020" t="inlineStr">
        <is>
          <t>Лебедев</t>
        </is>
      </c>
      <c r="B3020" t="n">
        <v>13</v>
      </c>
      <c r="C3020" s="18">
        <f>'Календарь'!A49</f>
        <v/>
      </c>
      <c r="D3020">
        <f>MONTH(C3020)</f>
        <v/>
      </c>
      <c r="E3020">
        <f>'Календарь'!D49</f>
        <v/>
      </c>
      <c r="F3020">
        <f>INT((C3020-Нед_Начало)/7)+1</f>
        <v/>
      </c>
      <c r="G3020">
        <f>IF(E3020=0,0,INDEX('Планы менеджеров'!$B$5:$M$16,B3020,D3020)/INDEX(Мес_Раб,D3020))</f>
        <v/>
      </c>
    </row>
    <row r="3021">
      <c r="A3021" t="inlineStr">
        <is>
          <t>Лебедев</t>
        </is>
      </c>
      <c r="B3021" t="n">
        <v>13</v>
      </c>
      <c r="C3021" s="18">
        <f>'Календарь'!A50</f>
        <v/>
      </c>
      <c r="D3021">
        <f>MONTH(C3021)</f>
        <v/>
      </c>
      <c r="E3021">
        <f>'Календарь'!D50</f>
        <v/>
      </c>
      <c r="F3021">
        <f>INT((C3021-Нед_Начало)/7)+1</f>
        <v/>
      </c>
      <c r="G3021">
        <f>IF(E3021=0,0,INDEX('Планы менеджеров'!$B$5:$M$16,B3021,D3021)/INDEX(Мес_Раб,D3021))</f>
        <v/>
      </c>
    </row>
    <row r="3022">
      <c r="A3022" t="inlineStr">
        <is>
          <t>Лебедев</t>
        </is>
      </c>
      <c r="B3022" t="n">
        <v>13</v>
      </c>
      <c r="C3022" s="18">
        <f>'Календарь'!A51</f>
        <v/>
      </c>
      <c r="D3022">
        <f>MONTH(C3022)</f>
        <v/>
      </c>
      <c r="E3022">
        <f>'Календарь'!D51</f>
        <v/>
      </c>
      <c r="F3022">
        <f>INT((C3022-Нед_Начало)/7)+1</f>
        <v/>
      </c>
      <c r="G3022">
        <f>IF(E3022=0,0,INDEX('Планы менеджеров'!$B$5:$M$16,B3022,D3022)/INDEX(Мес_Раб,D3022))</f>
        <v/>
      </c>
    </row>
    <row r="3023">
      <c r="A3023" t="inlineStr">
        <is>
          <t>Лебедев</t>
        </is>
      </c>
      <c r="B3023" t="n">
        <v>13</v>
      </c>
      <c r="C3023" s="18">
        <f>'Календарь'!A52</f>
        <v/>
      </c>
      <c r="D3023">
        <f>MONTH(C3023)</f>
        <v/>
      </c>
      <c r="E3023">
        <f>'Календарь'!D52</f>
        <v/>
      </c>
      <c r="F3023">
        <f>INT((C3023-Нед_Начало)/7)+1</f>
        <v/>
      </c>
      <c r="G3023">
        <f>IF(E3023=0,0,INDEX('Планы менеджеров'!$B$5:$M$16,B3023,D3023)/INDEX(Мес_Раб,D3023))</f>
        <v/>
      </c>
    </row>
    <row r="3024">
      <c r="A3024" t="inlineStr">
        <is>
          <t>Лебедев</t>
        </is>
      </c>
      <c r="B3024" t="n">
        <v>13</v>
      </c>
      <c r="C3024" s="18">
        <f>'Календарь'!A53</f>
        <v/>
      </c>
      <c r="D3024">
        <f>MONTH(C3024)</f>
        <v/>
      </c>
      <c r="E3024">
        <f>'Календарь'!D53</f>
        <v/>
      </c>
      <c r="F3024">
        <f>INT((C3024-Нед_Начало)/7)+1</f>
        <v/>
      </c>
      <c r="G3024">
        <f>IF(E3024=0,0,INDEX('Планы менеджеров'!$B$5:$M$16,B3024,D3024)/INDEX(Мес_Раб,D3024))</f>
        <v/>
      </c>
    </row>
    <row r="3025">
      <c r="A3025" t="inlineStr">
        <is>
          <t>Лебедев</t>
        </is>
      </c>
      <c r="B3025" t="n">
        <v>13</v>
      </c>
      <c r="C3025" s="18">
        <f>'Календарь'!A54</f>
        <v/>
      </c>
      <c r="D3025">
        <f>MONTH(C3025)</f>
        <v/>
      </c>
      <c r="E3025">
        <f>'Календарь'!D54</f>
        <v/>
      </c>
      <c r="F3025">
        <f>INT((C3025-Нед_Начало)/7)+1</f>
        <v/>
      </c>
      <c r="G3025">
        <f>IF(E3025=0,0,INDEX('Планы менеджеров'!$B$5:$M$16,B3025,D3025)/INDEX(Мес_Раб,D3025))</f>
        <v/>
      </c>
    </row>
    <row r="3026">
      <c r="A3026" t="inlineStr">
        <is>
          <t>Лебедев</t>
        </is>
      </c>
      <c r="B3026" t="n">
        <v>13</v>
      </c>
      <c r="C3026" s="18">
        <f>'Календарь'!A55</f>
        <v/>
      </c>
      <c r="D3026">
        <f>MONTH(C3026)</f>
        <v/>
      </c>
      <c r="E3026">
        <f>'Календарь'!D55</f>
        <v/>
      </c>
      <c r="F3026">
        <f>INT((C3026-Нед_Начало)/7)+1</f>
        <v/>
      </c>
      <c r="G3026">
        <f>IF(E3026=0,0,INDEX('Планы менеджеров'!$B$5:$M$16,B3026,D3026)/INDEX(Мес_Раб,D3026))</f>
        <v/>
      </c>
    </row>
    <row r="3027">
      <c r="A3027" t="inlineStr">
        <is>
          <t>Лебедев</t>
        </is>
      </c>
      <c r="B3027" t="n">
        <v>13</v>
      </c>
      <c r="C3027" s="18">
        <f>'Календарь'!A56</f>
        <v/>
      </c>
      <c r="D3027">
        <f>MONTH(C3027)</f>
        <v/>
      </c>
      <c r="E3027">
        <f>'Календарь'!D56</f>
        <v/>
      </c>
      <c r="F3027">
        <f>INT((C3027-Нед_Начало)/7)+1</f>
        <v/>
      </c>
      <c r="G3027">
        <f>IF(E3027=0,0,INDEX('Планы менеджеров'!$B$5:$M$16,B3027,D3027)/INDEX(Мес_Раб,D3027))</f>
        <v/>
      </c>
    </row>
    <row r="3028">
      <c r="A3028" t="inlineStr">
        <is>
          <t>Лебедев</t>
        </is>
      </c>
      <c r="B3028" t="n">
        <v>13</v>
      </c>
      <c r="C3028" s="18">
        <f>'Календарь'!A57</f>
        <v/>
      </c>
      <c r="D3028">
        <f>MONTH(C3028)</f>
        <v/>
      </c>
      <c r="E3028">
        <f>'Календарь'!D57</f>
        <v/>
      </c>
      <c r="F3028">
        <f>INT((C3028-Нед_Начало)/7)+1</f>
        <v/>
      </c>
      <c r="G3028">
        <f>IF(E3028=0,0,INDEX('Планы менеджеров'!$B$5:$M$16,B3028,D3028)/INDEX(Мес_Раб,D3028))</f>
        <v/>
      </c>
    </row>
    <row r="3029">
      <c r="A3029" t="inlineStr">
        <is>
          <t>Лебедев</t>
        </is>
      </c>
      <c r="B3029" t="n">
        <v>13</v>
      </c>
      <c r="C3029" s="18">
        <f>'Календарь'!A58</f>
        <v/>
      </c>
      <c r="D3029">
        <f>MONTH(C3029)</f>
        <v/>
      </c>
      <c r="E3029">
        <f>'Календарь'!D58</f>
        <v/>
      </c>
      <c r="F3029">
        <f>INT((C3029-Нед_Начало)/7)+1</f>
        <v/>
      </c>
      <c r="G3029">
        <f>IF(E3029=0,0,INDEX('Планы менеджеров'!$B$5:$M$16,B3029,D3029)/INDEX(Мес_Раб,D3029))</f>
        <v/>
      </c>
    </row>
    <row r="3030">
      <c r="A3030" t="inlineStr">
        <is>
          <t>Лебедев</t>
        </is>
      </c>
      <c r="B3030" t="n">
        <v>13</v>
      </c>
      <c r="C3030" s="18">
        <f>'Календарь'!A59</f>
        <v/>
      </c>
      <c r="D3030">
        <f>MONTH(C3030)</f>
        <v/>
      </c>
      <c r="E3030">
        <f>'Календарь'!D59</f>
        <v/>
      </c>
      <c r="F3030">
        <f>INT((C3030-Нед_Начало)/7)+1</f>
        <v/>
      </c>
      <c r="G3030">
        <f>IF(E3030=0,0,INDEX('Планы менеджеров'!$B$5:$M$16,B3030,D3030)/INDEX(Мес_Раб,D3030))</f>
        <v/>
      </c>
    </row>
    <row r="3031">
      <c r="A3031" t="inlineStr">
        <is>
          <t>Лебедев</t>
        </is>
      </c>
      <c r="B3031" t="n">
        <v>13</v>
      </c>
      <c r="C3031" s="18">
        <f>'Календарь'!A60</f>
        <v/>
      </c>
      <c r="D3031">
        <f>MONTH(C3031)</f>
        <v/>
      </c>
      <c r="E3031">
        <f>'Календарь'!D60</f>
        <v/>
      </c>
      <c r="F3031">
        <f>INT((C3031-Нед_Начало)/7)+1</f>
        <v/>
      </c>
      <c r="G3031">
        <f>IF(E3031=0,0,INDEX('Планы менеджеров'!$B$5:$M$16,B3031,D3031)/INDEX(Мес_Раб,D3031))</f>
        <v/>
      </c>
    </row>
    <row r="3032">
      <c r="A3032" t="inlineStr">
        <is>
          <t>Лебедев</t>
        </is>
      </c>
      <c r="B3032" t="n">
        <v>13</v>
      </c>
      <c r="C3032" s="18">
        <f>'Календарь'!A61</f>
        <v/>
      </c>
      <c r="D3032">
        <f>MONTH(C3032)</f>
        <v/>
      </c>
      <c r="E3032">
        <f>'Календарь'!D61</f>
        <v/>
      </c>
      <c r="F3032">
        <f>INT((C3032-Нед_Начало)/7)+1</f>
        <v/>
      </c>
      <c r="G3032">
        <f>IF(E3032=0,0,INDEX('Планы менеджеров'!$B$5:$M$16,B3032,D3032)/INDEX(Мес_Раб,D3032))</f>
        <v/>
      </c>
    </row>
    <row r="3033">
      <c r="A3033" t="inlineStr">
        <is>
          <t>Лебедев</t>
        </is>
      </c>
      <c r="B3033" t="n">
        <v>13</v>
      </c>
      <c r="C3033" s="18">
        <f>'Календарь'!A62</f>
        <v/>
      </c>
      <c r="D3033">
        <f>MONTH(C3033)</f>
        <v/>
      </c>
      <c r="E3033">
        <f>'Календарь'!D62</f>
        <v/>
      </c>
      <c r="F3033">
        <f>INT((C3033-Нед_Начало)/7)+1</f>
        <v/>
      </c>
      <c r="G3033">
        <f>IF(E3033=0,0,INDEX('Планы менеджеров'!$B$5:$M$16,B3033,D3033)/INDEX(Мес_Раб,D3033))</f>
        <v/>
      </c>
    </row>
    <row r="3034">
      <c r="A3034" t="inlineStr">
        <is>
          <t>Лебедев</t>
        </is>
      </c>
      <c r="B3034" t="n">
        <v>13</v>
      </c>
      <c r="C3034" s="18">
        <f>'Календарь'!A63</f>
        <v/>
      </c>
      <c r="D3034">
        <f>MONTH(C3034)</f>
        <v/>
      </c>
      <c r="E3034">
        <f>'Календарь'!D63</f>
        <v/>
      </c>
      <c r="F3034">
        <f>INT((C3034-Нед_Начало)/7)+1</f>
        <v/>
      </c>
      <c r="G3034">
        <f>IF(E3034=0,0,INDEX('Планы менеджеров'!$B$5:$M$16,B3034,D3034)/INDEX(Мес_Раб,D3034))</f>
        <v/>
      </c>
    </row>
    <row r="3035">
      <c r="A3035" t="inlineStr">
        <is>
          <t>Лебедев</t>
        </is>
      </c>
      <c r="B3035" t="n">
        <v>13</v>
      </c>
      <c r="C3035" s="18">
        <f>'Календарь'!A64</f>
        <v/>
      </c>
      <c r="D3035">
        <f>MONTH(C3035)</f>
        <v/>
      </c>
      <c r="E3035">
        <f>'Календарь'!D64</f>
        <v/>
      </c>
      <c r="F3035">
        <f>INT((C3035-Нед_Начало)/7)+1</f>
        <v/>
      </c>
      <c r="G3035">
        <f>IF(E3035=0,0,INDEX('Планы менеджеров'!$B$5:$M$16,B3035,D3035)/INDEX(Мес_Раб,D3035))</f>
        <v/>
      </c>
    </row>
    <row r="3036">
      <c r="A3036" t="inlineStr">
        <is>
          <t>Лебедев</t>
        </is>
      </c>
      <c r="B3036" t="n">
        <v>13</v>
      </c>
      <c r="C3036" s="18">
        <f>'Календарь'!A65</f>
        <v/>
      </c>
      <c r="D3036">
        <f>MONTH(C3036)</f>
        <v/>
      </c>
      <c r="E3036">
        <f>'Календарь'!D65</f>
        <v/>
      </c>
      <c r="F3036">
        <f>INT((C3036-Нед_Начало)/7)+1</f>
        <v/>
      </c>
      <c r="G3036">
        <f>IF(E3036=0,0,INDEX('Планы менеджеров'!$B$5:$M$16,B3036,D3036)/INDEX(Мес_Раб,D3036))</f>
        <v/>
      </c>
    </row>
    <row r="3037">
      <c r="A3037" t="inlineStr">
        <is>
          <t>Лебедев</t>
        </is>
      </c>
      <c r="B3037" t="n">
        <v>13</v>
      </c>
      <c r="C3037" s="18">
        <f>'Календарь'!A66</f>
        <v/>
      </c>
      <c r="D3037">
        <f>MONTH(C3037)</f>
        <v/>
      </c>
      <c r="E3037">
        <f>'Календарь'!D66</f>
        <v/>
      </c>
      <c r="F3037">
        <f>INT((C3037-Нед_Начало)/7)+1</f>
        <v/>
      </c>
      <c r="G3037">
        <f>IF(E3037=0,0,INDEX('Планы менеджеров'!$B$5:$M$16,B3037,D3037)/INDEX(Мес_Раб,D3037))</f>
        <v/>
      </c>
    </row>
    <row r="3038">
      <c r="A3038" t="inlineStr">
        <is>
          <t>Лебедев</t>
        </is>
      </c>
      <c r="B3038" t="n">
        <v>13</v>
      </c>
      <c r="C3038" s="18">
        <f>'Календарь'!A67</f>
        <v/>
      </c>
      <c r="D3038">
        <f>MONTH(C3038)</f>
        <v/>
      </c>
      <c r="E3038">
        <f>'Календарь'!D67</f>
        <v/>
      </c>
      <c r="F3038">
        <f>INT((C3038-Нед_Начало)/7)+1</f>
        <v/>
      </c>
      <c r="G3038">
        <f>IF(E3038=0,0,INDEX('Планы менеджеров'!$B$5:$M$16,B3038,D3038)/INDEX(Мес_Раб,D3038))</f>
        <v/>
      </c>
    </row>
    <row r="3039">
      <c r="A3039" t="inlineStr">
        <is>
          <t>Лебедев</t>
        </is>
      </c>
      <c r="B3039" t="n">
        <v>13</v>
      </c>
      <c r="C3039" s="18">
        <f>'Календарь'!A68</f>
        <v/>
      </c>
      <c r="D3039">
        <f>MONTH(C3039)</f>
        <v/>
      </c>
      <c r="E3039">
        <f>'Календарь'!D68</f>
        <v/>
      </c>
      <c r="F3039">
        <f>INT((C3039-Нед_Начало)/7)+1</f>
        <v/>
      </c>
      <c r="G3039">
        <f>IF(E3039=0,0,INDEX('Планы менеджеров'!$B$5:$M$16,B3039,D3039)/INDEX(Мес_Раб,D3039))</f>
        <v/>
      </c>
    </row>
    <row r="3040">
      <c r="A3040" t="inlineStr">
        <is>
          <t>Лебедев</t>
        </is>
      </c>
      <c r="B3040" t="n">
        <v>13</v>
      </c>
      <c r="C3040" s="18">
        <f>'Календарь'!A69</f>
        <v/>
      </c>
      <c r="D3040">
        <f>MONTH(C3040)</f>
        <v/>
      </c>
      <c r="E3040">
        <f>'Календарь'!D69</f>
        <v/>
      </c>
      <c r="F3040">
        <f>INT((C3040-Нед_Начало)/7)+1</f>
        <v/>
      </c>
      <c r="G3040">
        <f>IF(E3040=0,0,INDEX('Планы менеджеров'!$B$5:$M$16,B3040,D3040)/INDEX(Мес_Раб,D3040))</f>
        <v/>
      </c>
    </row>
    <row r="3041">
      <c r="A3041" t="inlineStr">
        <is>
          <t>Лебедев</t>
        </is>
      </c>
      <c r="B3041" t="n">
        <v>13</v>
      </c>
      <c r="C3041" s="18">
        <f>'Календарь'!A70</f>
        <v/>
      </c>
      <c r="D3041">
        <f>MONTH(C3041)</f>
        <v/>
      </c>
      <c r="E3041">
        <f>'Календарь'!D70</f>
        <v/>
      </c>
      <c r="F3041">
        <f>INT((C3041-Нед_Начало)/7)+1</f>
        <v/>
      </c>
      <c r="G3041">
        <f>IF(E3041=0,0,INDEX('Планы менеджеров'!$B$5:$M$16,B3041,D3041)/INDEX(Мес_Раб,D3041))</f>
        <v/>
      </c>
    </row>
    <row r="3042">
      <c r="A3042" t="inlineStr">
        <is>
          <t>Лебедев</t>
        </is>
      </c>
      <c r="B3042" t="n">
        <v>13</v>
      </c>
      <c r="C3042" s="18">
        <f>'Календарь'!A71</f>
        <v/>
      </c>
      <c r="D3042">
        <f>MONTH(C3042)</f>
        <v/>
      </c>
      <c r="E3042">
        <f>'Календарь'!D71</f>
        <v/>
      </c>
      <c r="F3042">
        <f>INT((C3042-Нед_Начало)/7)+1</f>
        <v/>
      </c>
      <c r="G3042">
        <f>IF(E3042=0,0,INDEX('Планы менеджеров'!$B$5:$M$16,B3042,D3042)/INDEX(Мес_Раб,D3042))</f>
        <v/>
      </c>
    </row>
    <row r="3043">
      <c r="A3043" t="inlineStr">
        <is>
          <t>Лебедев</t>
        </is>
      </c>
      <c r="B3043" t="n">
        <v>13</v>
      </c>
      <c r="C3043" s="18">
        <f>'Календарь'!A72</f>
        <v/>
      </c>
      <c r="D3043">
        <f>MONTH(C3043)</f>
        <v/>
      </c>
      <c r="E3043">
        <f>'Календарь'!D72</f>
        <v/>
      </c>
      <c r="F3043">
        <f>INT((C3043-Нед_Начало)/7)+1</f>
        <v/>
      </c>
      <c r="G3043">
        <f>IF(E3043=0,0,INDEX('Планы менеджеров'!$B$5:$M$16,B3043,D3043)/INDEX(Мес_Раб,D3043))</f>
        <v/>
      </c>
    </row>
    <row r="3044">
      <c r="A3044" t="inlineStr">
        <is>
          <t>Лебедев</t>
        </is>
      </c>
      <c r="B3044" t="n">
        <v>13</v>
      </c>
      <c r="C3044" s="18">
        <f>'Календарь'!A73</f>
        <v/>
      </c>
      <c r="D3044">
        <f>MONTH(C3044)</f>
        <v/>
      </c>
      <c r="E3044">
        <f>'Календарь'!D73</f>
        <v/>
      </c>
      <c r="F3044">
        <f>INT((C3044-Нед_Начало)/7)+1</f>
        <v/>
      </c>
      <c r="G3044">
        <f>IF(E3044=0,0,INDEX('Планы менеджеров'!$B$5:$M$16,B3044,D3044)/INDEX(Мес_Раб,D3044))</f>
        <v/>
      </c>
    </row>
    <row r="3045">
      <c r="A3045" t="inlineStr">
        <is>
          <t>Лебедев</t>
        </is>
      </c>
      <c r="B3045" t="n">
        <v>13</v>
      </c>
      <c r="C3045" s="18">
        <f>'Календарь'!A74</f>
        <v/>
      </c>
      <c r="D3045">
        <f>MONTH(C3045)</f>
        <v/>
      </c>
      <c r="E3045">
        <f>'Календарь'!D74</f>
        <v/>
      </c>
      <c r="F3045">
        <f>INT((C3045-Нед_Начало)/7)+1</f>
        <v/>
      </c>
      <c r="G3045">
        <f>IF(E3045=0,0,INDEX('Планы менеджеров'!$B$5:$M$16,B3045,D3045)/INDEX(Мес_Раб,D3045))</f>
        <v/>
      </c>
    </row>
    <row r="3046">
      <c r="A3046" t="inlineStr">
        <is>
          <t>Лебедев</t>
        </is>
      </c>
      <c r="B3046" t="n">
        <v>13</v>
      </c>
      <c r="C3046" s="18">
        <f>'Календарь'!A75</f>
        <v/>
      </c>
      <c r="D3046">
        <f>MONTH(C3046)</f>
        <v/>
      </c>
      <c r="E3046">
        <f>'Календарь'!D75</f>
        <v/>
      </c>
      <c r="F3046">
        <f>INT((C3046-Нед_Начало)/7)+1</f>
        <v/>
      </c>
      <c r="G3046">
        <f>IF(E3046=0,0,INDEX('Планы менеджеров'!$B$5:$M$16,B3046,D3046)/INDEX(Мес_Раб,D3046))</f>
        <v/>
      </c>
    </row>
    <row r="3047">
      <c r="A3047" t="inlineStr">
        <is>
          <t>Лебедев</t>
        </is>
      </c>
      <c r="B3047" t="n">
        <v>13</v>
      </c>
      <c r="C3047" s="18">
        <f>'Календарь'!A76</f>
        <v/>
      </c>
      <c r="D3047">
        <f>MONTH(C3047)</f>
        <v/>
      </c>
      <c r="E3047">
        <f>'Календарь'!D76</f>
        <v/>
      </c>
      <c r="F3047">
        <f>INT((C3047-Нед_Начало)/7)+1</f>
        <v/>
      </c>
      <c r="G3047">
        <f>IF(E3047=0,0,INDEX('Планы менеджеров'!$B$5:$M$16,B3047,D3047)/INDEX(Мес_Раб,D3047))</f>
        <v/>
      </c>
    </row>
    <row r="3048">
      <c r="A3048" t="inlineStr">
        <is>
          <t>Лебедев</t>
        </is>
      </c>
      <c r="B3048" t="n">
        <v>13</v>
      </c>
      <c r="C3048" s="18">
        <f>'Календарь'!A77</f>
        <v/>
      </c>
      <c r="D3048">
        <f>MONTH(C3048)</f>
        <v/>
      </c>
      <c r="E3048">
        <f>'Календарь'!D77</f>
        <v/>
      </c>
      <c r="F3048">
        <f>INT((C3048-Нед_Начало)/7)+1</f>
        <v/>
      </c>
      <c r="G3048">
        <f>IF(E3048=0,0,INDEX('Планы менеджеров'!$B$5:$M$16,B3048,D3048)/INDEX(Мес_Раб,D3048))</f>
        <v/>
      </c>
    </row>
    <row r="3049">
      <c r="A3049" t="inlineStr">
        <is>
          <t>Лебедев</t>
        </is>
      </c>
      <c r="B3049" t="n">
        <v>13</v>
      </c>
      <c r="C3049" s="18">
        <f>'Календарь'!A78</f>
        <v/>
      </c>
      <c r="D3049">
        <f>MONTH(C3049)</f>
        <v/>
      </c>
      <c r="E3049">
        <f>'Календарь'!D78</f>
        <v/>
      </c>
      <c r="F3049">
        <f>INT((C3049-Нед_Начало)/7)+1</f>
        <v/>
      </c>
      <c r="G3049">
        <f>IF(E3049=0,0,INDEX('Планы менеджеров'!$B$5:$M$16,B3049,D3049)/INDEX(Мес_Раб,D3049))</f>
        <v/>
      </c>
    </row>
    <row r="3050">
      <c r="A3050" t="inlineStr">
        <is>
          <t>Лебедев</t>
        </is>
      </c>
      <c r="B3050" t="n">
        <v>13</v>
      </c>
      <c r="C3050" s="18">
        <f>'Календарь'!A79</f>
        <v/>
      </c>
      <c r="D3050">
        <f>MONTH(C3050)</f>
        <v/>
      </c>
      <c r="E3050">
        <f>'Календарь'!D79</f>
        <v/>
      </c>
      <c r="F3050">
        <f>INT((C3050-Нед_Начало)/7)+1</f>
        <v/>
      </c>
      <c r="G3050">
        <f>IF(E3050=0,0,INDEX('Планы менеджеров'!$B$5:$M$16,B3050,D3050)/INDEX(Мес_Раб,D3050))</f>
        <v/>
      </c>
    </row>
    <row r="3051">
      <c r="A3051" t="inlineStr">
        <is>
          <t>Лебедев</t>
        </is>
      </c>
      <c r="B3051" t="n">
        <v>13</v>
      </c>
      <c r="C3051" s="18">
        <f>'Календарь'!A80</f>
        <v/>
      </c>
      <c r="D3051">
        <f>MONTH(C3051)</f>
        <v/>
      </c>
      <c r="E3051">
        <f>'Календарь'!D80</f>
        <v/>
      </c>
      <c r="F3051">
        <f>INT((C3051-Нед_Начало)/7)+1</f>
        <v/>
      </c>
      <c r="G3051">
        <f>IF(E3051=0,0,INDEX('Планы менеджеров'!$B$5:$M$16,B3051,D3051)/INDEX(Мес_Раб,D3051))</f>
        <v/>
      </c>
    </row>
    <row r="3052">
      <c r="A3052" t="inlineStr">
        <is>
          <t>Лебедев</t>
        </is>
      </c>
      <c r="B3052" t="n">
        <v>13</v>
      </c>
      <c r="C3052" s="18">
        <f>'Календарь'!A81</f>
        <v/>
      </c>
      <c r="D3052">
        <f>MONTH(C3052)</f>
        <v/>
      </c>
      <c r="E3052">
        <f>'Календарь'!D81</f>
        <v/>
      </c>
      <c r="F3052">
        <f>INT((C3052-Нед_Начало)/7)+1</f>
        <v/>
      </c>
      <c r="G3052">
        <f>IF(E3052=0,0,INDEX('Планы менеджеров'!$B$5:$M$16,B3052,D3052)/INDEX(Мес_Раб,D3052))</f>
        <v/>
      </c>
    </row>
    <row r="3053">
      <c r="A3053" t="inlineStr">
        <is>
          <t>Лебедев</t>
        </is>
      </c>
      <c r="B3053" t="n">
        <v>13</v>
      </c>
      <c r="C3053" s="18">
        <f>'Календарь'!A82</f>
        <v/>
      </c>
      <c r="D3053">
        <f>MONTH(C3053)</f>
        <v/>
      </c>
      <c r="E3053">
        <f>'Календарь'!D82</f>
        <v/>
      </c>
      <c r="F3053">
        <f>INT((C3053-Нед_Начало)/7)+1</f>
        <v/>
      </c>
      <c r="G3053">
        <f>IF(E3053=0,0,INDEX('Планы менеджеров'!$B$5:$M$16,B3053,D3053)/INDEX(Мес_Раб,D3053))</f>
        <v/>
      </c>
    </row>
    <row r="3054">
      <c r="A3054" t="inlineStr">
        <is>
          <t>Лебедев</t>
        </is>
      </c>
      <c r="B3054" t="n">
        <v>13</v>
      </c>
      <c r="C3054" s="18">
        <f>'Календарь'!A83</f>
        <v/>
      </c>
      <c r="D3054">
        <f>MONTH(C3054)</f>
        <v/>
      </c>
      <c r="E3054">
        <f>'Календарь'!D83</f>
        <v/>
      </c>
      <c r="F3054">
        <f>INT((C3054-Нед_Начало)/7)+1</f>
        <v/>
      </c>
      <c r="G3054">
        <f>IF(E3054=0,0,INDEX('Планы менеджеров'!$B$5:$M$16,B3054,D3054)/INDEX(Мес_Раб,D3054))</f>
        <v/>
      </c>
    </row>
    <row r="3055">
      <c r="A3055" t="inlineStr">
        <is>
          <t>Лебедев</t>
        </is>
      </c>
      <c r="B3055" t="n">
        <v>13</v>
      </c>
      <c r="C3055" s="18">
        <f>'Календарь'!A84</f>
        <v/>
      </c>
      <c r="D3055">
        <f>MONTH(C3055)</f>
        <v/>
      </c>
      <c r="E3055">
        <f>'Календарь'!D84</f>
        <v/>
      </c>
      <c r="F3055">
        <f>INT((C3055-Нед_Начало)/7)+1</f>
        <v/>
      </c>
      <c r="G3055">
        <f>IF(E3055=0,0,INDEX('Планы менеджеров'!$B$5:$M$16,B3055,D3055)/INDEX(Мес_Раб,D3055))</f>
        <v/>
      </c>
    </row>
    <row r="3056">
      <c r="A3056" t="inlineStr">
        <is>
          <t>Лебедев</t>
        </is>
      </c>
      <c r="B3056" t="n">
        <v>13</v>
      </c>
      <c r="C3056" s="18">
        <f>'Календарь'!A85</f>
        <v/>
      </c>
      <c r="D3056">
        <f>MONTH(C3056)</f>
        <v/>
      </c>
      <c r="E3056">
        <f>'Календарь'!D85</f>
        <v/>
      </c>
      <c r="F3056">
        <f>INT((C3056-Нед_Начало)/7)+1</f>
        <v/>
      </c>
      <c r="G3056">
        <f>IF(E3056=0,0,INDEX('Планы менеджеров'!$B$5:$M$16,B3056,D3056)/INDEX(Мес_Раб,D3056))</f>
        <v/>
      </c>
    </row>
    <row r="3057">
      <c r="A3057" t="inlineStr">
        <is>
          <t>Лебедев</t>
        </is>
      </c>
      <c r="B3057" t="n">
        <v>13</v>
      </c>
      <c r="C3057" s="18">
        <f>'Календарь'!A86</f>
        <v/>
      </c>
      <c r="D3057">
        <f>MONTH(C3057)</f>
        <v/>
      </c>
      <c r="E3057">
        <f>'Календарь'!D86</f>
        <v/>
      </c>
      <c r="F3057">
        <f>INT((C3057-Нед_Начало)/7)+1</f>
        <v/>
      </c>
      <c r="G3057">
        <f>IF(E3057=0,0,INDEX('Планы менеджеров'!$B$5:$M$16,B3057,D3057)/INDEX(Мес_Раб,D3057))</f>
        <v/>
      </c>
    </row>
    <row r="3058">
      <c r="A3058" t="inlineStr">
        <is>
          <t>Лебедев</t>
        </is>
      </c>
      <c r="B3058" t="n">
        <v>13</v>
      </c>
      <c r="C3058" s="18">
        <f>'Календарь'!A87</f>
        <v/>
      </c>
      <c r="D3058">
        <f>MONTH(C3058)</f>
        <v/>
      </c>
      <c r="E3058">
        <f>'Календарь'!D87</f>
        <v/>
      </c>
      <c r="F3058">
        <f>INT((C3058-Нед_Начало)/7)+1</f>
        <v/>
      </c>
      <c r="G3058">
        <f>IF(E3058=0,0,INDEX('Планы менеджеров'!$B$5:$M$16,B3058,D3058)/INDEX(Мес_Раб,D3058))</f>
        <v/>
      </c>
    </row>
    <row r="3059">
      <c r="A3059" t="inlineStr">
        <is>
          <t>Лебедев</t>
        </is>
      </c>
      <c r="B3059" t="n">
        <v>13</v>
      </c>
      <c r="C3059" s="18">
        <f>'Календарь'!A88</f>
        <v/>
      </c>
      <c r="D3059">
        <f>MONTH(C3059)</f>
        <v/>
      </c>
      <c r="E3059">
        <f>'Календарь'!D88</f>
        <v/>
      </c>
      <c r="F3059">
        <f>INT((C3059-Нед_Начало)/7)+1</f>
        <v/>
      </c>
      <c r="G3059">
        <f>IF(E3059=0,0,INDEX('Планы менеджеров'!$B$5:$M$16,B3059,D3059)/INDEX(Мес_Раб,D3059))</f>
        <v/>
      </c>
    </row>
    <row r="3060">
      <c r="A3060" t="inlineStr">
        <is>
          <t>Лебедев</t>
        </is>
      </c>
      <c r="B3060" t="n">
        <v>13</v>
      </c>
      <c r="C3060" s="18">
        <f>'Календарь'!A89</f>
        <v/>
      </c>
      <c r="D3060">
        <f>MONTH(C3060)</f>
        <v/>
      </c>
      <c r="E3060">
        <f>'Календарь'!D89</f>
        <v/>
      </c>
      <c r="F3060">
        <f>INT((C3060-Нед_Начало)/7)+1</f>
        <v/>
      </c>
      <c r="G3060">
        <f>IF(E3060=0,0,INDEX('Планы менеджеров'!$B$5:$M$16,B3060,D3060)/INDEX(Мес_Раб,D3060))</f>
        <v/>
      </c>
    </row>
    <row r="3061">
      <c r="A3061" t="inlineStr">
        <is>
          <t>Лебедев</t>
        </is>
      </c>
      <c r="B3061" t="n">
        <v>13</v>
      </c>
      <c r="C3061" s="18">
        <f>'Календарь'!A90</f>
        <v/>
      </c>
      <c r="D3061">
        <f>MONTH(C3061)</f>
        <v/>
      </c>
      <c r="E3061">
        <f>'Календарь'!D90</f>
        <v/>
      </c>
      <c r="F3061">
        <f>INT((C3061-Нед_Начало)/7)+1</f>
        <v/>
      </c>
      <c r="G3061">
        <f>IF(E3061=0,0,INDEX('Планы менеджеров'!$B$5:$M$16,B3061,D3061)/INDEX(Мес_Раб,D3061))</f>
        <v/>
      </c>
    </row>
    <row r="3062">
      <c r="A3062" t="inlineStr">
        <is>
          <t>Лебедев</t>
        </is>
      </c>
      <c r="B3062" t="n">
        <v>13</v>
      </c>
      <c r="C3062" s="18">
        <f>'Календарь'!A91</f>
        <v/>
      </c>
      <c r="D3062">
        <f>MONTH(C3062)</f>
        <v/>
      </c>
      <c r="E3062">
        <f>'Календарь'!D91</f>
        <v/>
      </c>
      <c r="F3062">
        <f>INT((C3062-Нед_Начало)/7)+1</f>
        <v/>
      </c>
      <c r="G3062">
        <f>IF(E3062=0,0,INDEX('Планы менеджеров'!$B$5:$M$16,B3062,D3062)/INDEX(Мес_Раб,D3062))</f>
        <v/>
      </c>
    </row>
    <row r="3063">
      <c r="A3063" t="inlineStr">
        <is>
          <t>Лебедев</t>
        </is>
      </c>
      <c r="B3063" t="n">
        <v>13</v>
      </c>
      <c r="C3063" s="18">
        <f>'Календарь'!A92</f>
        <v/>
      </c>
      <c r="D3063">
        <f>MONTH(C3063)</f>
        <v/>
      </c>
      <c r="E3063">
        <f>'Календарь'!D92</f>
        <v/>
      </c>
      <c r="F3063">
        <f>INT((C3063-Нед_Начало)/7)+1</f>
        <v/>
      </c>
      <c r="G3063">
        <f>IF(E3063=0,0,INDEX('Планы менеджеров'!$B$5:$M$16,B3063,D3063)/INDEX(Мес_Раб,D3063))</f>
        <v/>
      </c>
    </row>
    <row r="3064">
      <c r="A3064" t="inlineStr">
        <is>
          <t>Лебедев</t>
        </is>
      </c>
      <c r="B3064" t="n">
        <v>13</v>
      </c>
      <c r="C3064" s="18">
        <f>'Календарь'!A93</f>
        <v/>
      </c>
      <c r="D3064">
        <f>MONTH(C3064)</f>
        <v/>
      </c>
      <c r="E3064">
        <f>'Календарь'!D93</f>
        <v/>
      </c>
      <c r="F3064">
        <f>INT((C3064-Нед_Начало)/7)+1</f>
        <v/>
      </c>
      <c r="G3064">
        <f>IF(E3064=0,0,INDEX('Планы менеджеров'!$B$5:$M$16,B3064,D3064)/INDEX(Мес_Раб,D3064))</f>
        <v/>
      </c>
    </row>
    <row r="3065">
      <c r="A3065" t="inlineStr">
        <is>
          <t>Лебедев</t>
        </is>
      </c>
      <c r="B3065" t="n">
        <v>13</v>
      </c>
      <c r="C3065" s="18">
        <f>'Календарь'!A94</f>
        <v/>
      </c>
      <c r="D3065">
        <f>MONTH(C3065)</f>
        <v/>
      </c>
      <c r="E3065">
        <f>'Календарь'!D94</f>
        <v/>
      </c>
      <c r="F3065">
        <f>INT((C3065-Нед_Начало)/7)+1</f>
        <v/>
      </c>
      <c r="G3065">
        <f>IF(E3065=0,0,INDEX('Планы менеджеров'!$B$5:$M$16,B3065,D3065)/INDEX(Мес_Раб,D3065))</f>
        <v/>
      </c>
    </row>
    <row r="3066">
      <c r="A3066" t="inlineStr">
        <is>
          <t>Лебедев</t>
        </is>
      </c>
      <c r="B3066" t="n">
        <v>13</v>
      </c>
      <c r="C3066" s="18">
        <f>'Календарь'!A95</f>
        <v/>
      </c>
      <c r="D3066">
        <f>MONTH(C3066)</f>
        <v/>
      </c>
      <c r="E3066">
        <f>'Календарь'!D95</f>
        <v/>
      </c>
      <c r="F3066">
        <f>INT((C3066-Нед_Начало)/7)+1</f>
        <v/>
      </c>
      <c r="G3066">
        <f>IF(E3066=0,0,INDEX('Планы менеджеров'!$B$5:$M$16,B3066,D3066)/INDEX(Мес_Раб,D3066))</f>
        <v/>
      </c>
    </row>
    <row r="3067">
      <c r="A3067" t="inlineStr">
        <is>
          <t>Лебедев</t>
        </is>
      </c>
      <c r="B3067" t="n">
        <v>13</v>
      </c>
      <c r="C3067" s="18">
        <f>'Календарь'!A96</f>
        <v/>
      </c>
      <c r="D3067">
        <f>MONTH(C3067)</f>
        <v/>
      </c>
      <c r="E3067">
        <f>'Календарь'!D96</f>
        <v/>
      </c>
      <c r="F3067">
        <f>INT((C3067-Нед_Начало)/7)+1</f>
        <v/>
      </c>
      <c r="G3067">
        <f>IF(E3067=0,0,INDEX('Планы менеджеров'!$B$5:$M$16,B3067,D3067)/INDEX(Мес_Раб,D3067))</f>
        <v/>
      </c>
    </row>
    <row r="3068">
      <c r="A3068" t="inlineStr">
        <is>
          <t>Лебедев</t>
        </is>
      </c>
      <c r="B3068" t="n">
        <v>13</v>
      </c>
      <c r="C3068" s="18">
        <f>'Календарь'!A97</f>
        <v/>
      </c>
      <c r="D3068">
        <f>MONTH(C3068)</f>
        <v/>
      </c>
      <c r="E3068">
        <f>'Календарь'!D97</f>
        <v/>
      </c>
      <c r="F3068">
        <f>INT((C3068-Нед_Начало)/7)+1</f>
        <v/>
      </c>
      <c r="G3068">
        <f>IF(E3068=0,0,INDEX('Планы менеджеров'!$B$5:$M$16,B3068,D3068)/INDEX(Мес_Раб,D3068))</f>
        <v/>
      </c>
    </row>
    <row r="3069">
      <c r="A3069" t="inlineStr">
        <is>
          <t>Лебедев</t>
        </is>
      </c>
      <c r="B3069" t="n">
        <v>13</v>
      </c>
      <c r="C3069" s="18">
        <f>'Календарь'!A98</f>
        <v/>
      </c>
      <c r="D3069">
        <f>MONTH(C3069)</f>
        <v/>
      </c>
      <c r="E3069">
        <f>'Календарь'!D98</f>
        <v/>
      </c>
      <c r="F3069">
        <f>INT((C3069-Нед_Начало)/7)+1</f>
        <v/>
      </c>
      <c r="G3069">
        <f>IF(E3069=0,0,INDEX('Планы менеджеров'!$B$5:$M$16,B3069,D3069)/INDEX(Мес_Раб,D3069))</f>
        <v/>
      </c>
    </row>
    <row r="3070">
      <c r="A3070" t="inlineStr">
        <is>
          <t>Лебедев</t>
        </is>
      </c>
      <c r="B3070" t="n">
        <v>13</v>
      </c>
      <c r="C3070" s="18">
        <f>'Календарь'!A99</f>
        <v/>
      </c>
      <c r="D3070">
        <f>MONTH(C3070)</f>
        <v/>
      </c>
      <c r="E3070">
        <f>'Календарь'!D99</f>
        <v/>
      </c>
      <c r="F3070">
        <f>INT((C3070-Нед_Начало)/7)+1</f>
        <v/>
      </c>
      <c r="G3070">
        <f>IF(E3070=0,0,INDEX('Планы менеджеров'!$B$5:$M$16,B3070,D3070)/INDEX(Мес_Раб,D3070))</f>
        <v/>
      </c>
    </row>
    <row r="3071">
      <c r="A3071" t="inlineStr">
        <is>
          <t>Лебедев</t>
        </is>
      </c>
      <c r="B3071" t="n">
        <v>13</v>
      </c>
      <c r="C3071" s="18">
        <f>'Календарь'!A100</f>
        <v/>
      </c>
      <c r="D3071">
        <f>MONTH(C3071)</f>
        <v/>
      </c>
      <c r="E3071">
        <f>'Календарь'!D100</f>
        <v/>
      </c>
      <c r="F3071">
        <f>INT((C3071-Нед_Начало)/7)+1</f>
        <v/>
      </c>
      <c r="G3071">
        <f>IF(E3071=0,0,INDEX('Планы менеджеров'!$B$5:$M$16,B3071,D3071)/INDEX(Мес_Раб,D3071))</f>
        <v/>
      </c>
    </row>
    <row r="3072">
      <c r="A3072" t="inlineStr">
        <is>
          <t>Лебедев</t>
        </is>
      </c>
      <c r="B3072" t="n">
        <v>13</v>
      </c>
      <c r="C3072" s="18">
        <f>'Календарь'!A101</f>
        <v/>
      </c>
      <c r="D3072">
        <f>MONTH(C3072)</f>
        <v/>
      </c>
      <c r="E3072">
        <f>'Календарь'!D101</f>
        <v/>
      </c>
      <c r="F3072">
        <f>INT((C3072-Нед_Начало)/7)+1</f>
        <v/>
      </c>
      <c r="G3072">
        <f>IF(E3072=0,0,INDEX('Планы менеджеров'!$B$5:$M$16,B3072,D3072)/INDEX(Мес_Раб,D3072))</f>
        <v/>
      </c>
    </row>
    <row r="3073">
      <c r="A3073" t="inlineStr">
        <is>
          <t>Лебедев</t>
        </is>
      </c>
      <c r="B3073" t="n">
        <v>13</v>
      </c>
      <c r="C3073" s="18">
        <f>'Календарь'!A102</f>
        <v/>
      </c>
      <c r="D3073">
        <f>MONTH(C3073)</f>
        <v/>
      </c>
      <c r="E3073">
        <f>'Календарь'!D102</f>
        <v/>
      </c>
      <c r="F3073">
        <f>INT((C3073-Нед_Начало)/7)+1</f>
        <v/>
      </c>
      <c r="G3073">
        <f>IF(E3073=0,0,INDEX('Планы менеджеров'!$B$5:$M$16,B3073,D3073)/INDEX(Мес_Раб,D3073))</f>
        <v/>
      </c>
    </row>
    <row r="3074">
      <c r="A3074" t="inlineStr">
        <is>
          <t>Лебедев</t>
        </is>
      </c>
      <c r="B3074" t="n">
        <v>13</v>
      </c>
      <c r="C3074" s="18">
        <f>'Календарь'!A103</f>
        <v/>
      </c>
      <c r="D3074">
        <f>MONTH(C3074)</f>
        <v/>
      </c>
      <c r="E3074">
        <f>'Календарь'!D103</f>
        <v/>
      </c>
      <c r="F3074">
        <f>INT((C3074-Нед_Начало)/7)+1</f>
        <v/>
      </c>
      <c r="G3074">
        <f>IF(E3074=0,0,INDEX('Планы менеджеров'!$B$5:$M$16,B3074,D3074)/INDEX(Мес_Раб,D3074))</f>
        <v/>
      </c>
    </row>
    <row r="3075">
      <c r="A3075" t="inlineStr">
        <is>
          <t>Лебедев</t>
        </is>
      </c>
      <c r="B3075" t="n">
        <v>13</v>
      </c>
      <c r="C3075" s="18">
        <f>'Календарь'!A104</f>
        <v/>
      </c>
      <c r="D3075">
        <f>MONTH(C3075)</f>
        <v/>
      </c>
      <c r="E3075">
        <f>'Календарь'!D104</f>
        <v/>
      </c>
      <c r="F3075">
        <f>INT((C3075-Нед_Начало)/7)+1</f>
        <v/>
      </c>
      <c r="G3075">
        <f>IF(E3075=0,0,INDEX('Планы менеджеров'!$B$5:$M$16,B3075,D3075)/INDEX(Мес_Раб,D3075))</f>
        <v/>
      </c>
    </row>
    <row r="3076">
      <c r="A3076" t="inlineStr">
        <is>
          <t>Лебедев</t>
        </is>
      </c>
      <c r="B3076" t="n">
        <v>13</v>
      </c>
      <c r="C3076" s="18">
        <f>'Календарь'!A105</f>
        <v/>
      </c>
      <c r="D3076">
        <f>MONTH(C3076)</f>
        <v/>
      </c>
      <c r="E3076">
        <f>'Календарь'!D105</f>
        <v/>
      </c>
      <c r="F3076">
        <f>INT((C3076-Нед_Начало)/7)+1</f>
        <v/>
      </c>
      <c r="G3076">
        <f>IF(E3076=0,0,INDEX('Планы менеджеров'!$B$5:$M$16,B3076,D3076)/INDEX(Мес_Раб,D3076))</f>
        <v/>
      </c>
    </row>
    <row r="3077">
      <c r="A3077" t="inlineStr">
        <is>
          <t>Лебедев</t>
        </is>
      </c>
      <c r="B3077" t="n">
        <v>13</v>
      </c>
      <c r="C3077" s="18">
        <f>'Календарь'!A106</f>
        <v/>
      </c>
      <c r="D3077">
        <f>MONTH(C3077)</f>
        <v/>
      </c>
      <c r="E3077">
        <f>'Календарь'!D106</f>
        <v/>
      </c>
      <c r="F3077">
        <f>INT((C3077-Нед_Начало)/7)+1</f>
        <v/>
      </c>
      <c r="G3077">
        <f>IF(E3077=0,0,INDEX('Планы менеджеров'!$B$5:$M$16,B3077,D3077)/INDEX(Мес_Раб,D3077))</f>
        <v/>
      </c>
    </row>
    <row r="3078">
      <c r="A3078" t="inlineStr">
        <is>
          <t>Лебедев</t>
        </is>
      </c>
      <c r="B3078" t="n">
        <v>13</v>
      </c>
      <c r="C3078" s="18">
        <f>'Календарь'!A107</f>
        <v/>
      </c>
      <c r="D3078">
        <f>MONTH(C3078)</f>
        <v/>
      </c>
      <c r="E3078">
        <f>'Календарь'!D107</f>
        <v/>
      </c>
      <c r="F3078">
        <f>INT((C3078-Нед_Начало)/7)+1</f>
        <v/>
      </c>
      <c r="G3078">
        <f>IF(E3078=0,0,INDEX('Планы менеджеров'!$B$5:$M$16,B3078,D3078)/INDEX(Мес_Раб,D3078))</f>
        <v/>
      </c>
    </row>
    <row r="3079">
      <c r="A3079" t="inlineStr">
        <is>
          <t>Лебедев</t>
        </is>
      </c>
      <c r="B3079" t="n">
        <v>13</v>
      </c>
      <c r="C3079" s="18">
        <f>'Календарь'!A108</f>
        <v/>
      </c>
      <c r="D3079">
        <f>MONTH(C3079)</f>
        <v/>
      </c>
      <c r="E3079">
        <f>'Календарь'!D108</f>
        <v/>
      </c>
      <c r="F3079">
        <f>INT((C3079-Нед_Начало)/7)+1</f>
        <v/>
      </c>
      <c r="G3079">
        <f>IF(E3079=0,0,INDEX('Планы менеджеров'!$B$5:$M$16,B3079,D3079)/INDEX(Мес_Раб,D3079))</f>
        <v/>
      </c>
    </row>
    <row r="3080">
      <c r="A3080" t="inlineStr">
        <is>
          <t>Лебедев</t>
        </is>
      </c>
      <c r="B3080" t="n">
        <v>13</v>
      </c>
      <c r="C3080" s="18">
        <f>'Календарь'!A109</f>
        <v/>
      </c>
      <c r="D3080">
        <f>MONTH(C3080)</f>
        <v/>
      </c>
      <c r="E3080">
        <f>'Календарь'!D109</f>
        <v/>
      </c>
      <c r="F3080">
        <f>INT((C3080-Нед_Начало)/7)+1</f>
        <v/>
      </c>
      <c r="G3080">
        <f>IF(E3080=0,0,INDEX('Планы менеджеров'!$B$5:$M$16,B3080,D3080)/INDEX(Мес_Раб,D3080))</f>
        <v/>
      </c>
    </row>
    <row r="3081">
      <c r="A3081" t="inlineStr">
        <is>
          <t>Лебедев</t>
        </is>
      </c>
      <c r="B3081" t="n">
        <v>13</v>
      </c>
      <c r="C3081" s="18">
        <f>'Календарь'!A110</f>
        <v/>
      </c>
      <c r="D3081">
        <f>MONTH(C3081)</f>
        <v/>
      </c>
      <c r="E3081">
        <f>'Календарь'!D110</f>
        <v/>
      </c>
      <c r="F3081">
        <f>INT((C3081-Нед_Начало)/7)+1</f>
        <v/>
      </c>
      <c r="G3081">
        <f>IF(E3081=0,0,INDEX('Планы менеджеров'!$B$5:$M$16,B3081,D3081)/INDEX(Мес_Раб,D3081))</f>
        <v/>
      </c>
    </row>
    <row r="3082">
      <c r="A3082" t="inlineStr">
        <is>
          <t>Лебедев</t>
        </is>
      </c>
      <c r="B3082" t="n">
        <v>13</v>
      </c>
      <c r="C3082" s="18">
        <f>'Календарь'!A111</f>
        <v/>
      </c>
      <c r="D3082">
        <f>MONTH(C3082)</f>
        <v/>
      </c>
      <c r="E3082">
        <f>'Календарь'!D111</f>
        <v/>
      </c>
      <c r="F3082">
        <f>INT((C3082-Нед_Начало)/7)+1</f>
        <v/>
      </c>
      <c r="G3082">
        <f>IF(E3082=0,0,INDEX('Планы менеджеров'!$B$5:$M$16,B3082,D3082)/INDEX(Мес_Раб,D3082))</f>
        <v/>
      </c>
    </row>
    <row r="3083">
      <c r="A3083" t="inlineStr">
        <is>
          <t>Лебедев</t>
        </is>
      </c>
      <c r="B3083" t="n">
        <v>13</v>
      </c>
      <c r="C3083" s="18">
        <f>'Календарь'!A112</f>
        <v/>
      </c>
      <c r="D3083">
        <f>MONTH(C3083)</f>
        <v/>
      </c>
      <c r="E3083">
        <f>'Календарь'!D112</f>
        <v/>
      </c>
      <c r="F3083">
        <f>INT((C3083-Нед_Начало)/7)+1</f>
        <v/>
      </c>
      <c r="G3083">
        <f>IF(E3083=0,0,INDEX('Планы менеджеров'!$B$5:$M$16,B3083,D3083)/INDEX(Мес_Раб,D3083))</f>
        <v/>
      </c>
    </row>
    <row r="3084">
      <c r="A3084" t="inlineStr">
        <is>
          <t>Лебедев</t>
        </is>
      </c>
      <c r="B3084" t="n">
        <v>13</v>
      </c>
      <c r="C3084" s="18">
        <f>'Календарь'!A113</f>
        <v/>
      </c>
      <c r="D3084">
        <f>MONTH(C3084)</f>
        <v/>
      </c>
      <c r="E3084">
        <f>'Календарь'!D113</f>
        <v/>
      </c>
      <c r="F3084">
        <f>INT((C3084-Нед_Начало)/7)+1</f>
        <v/>
      </c>
      <c r="G3084">
        <f>IF(E3084=0,0,INDEX('Планы менеджеров'!$B$5:$M$16,B3084,D3084)/INDEX(Мес_Раб,D3084))</f>
        <v/>
      </c>
    </row>
    <row r="3085">
      <c r="A3085" t="inlineStr">
        <is>
          <t>Лебедев</t>
        </is>
      </c>
      <c r="B3085" t="n">
        <v>13</v>
      </c>
      <c r="C3085" s="18">
        <f>'Календарь'!A114</f>
        <v/>
      </c>
      <c r="D3085">
        <f>MONTH(C3085)</f>
        <v/>
      </c>
      <c r="E3085">
        <f>'Календарь'!D114</f>
        <v/>
      </c>
      <c r="F3085">
        <f>INT((C3085-Нед_Начало)/7)+1</f>
        <v/>
      </c>
      <c r="G3085">
        <f>IF(E3085=0,0,INDEX('Планы менеджеров'!$B$5:$M$16,B3085,D3085)/INDEX(Мес_Раб,D3085))</f>
        <v/>
      </c>
    </row>
    <row r="3086">
      <c r="A3086" t="inlineStr">
        <is>
          <t>Лебедев</t>
        </is>
      </c>
      <c r="B3086" t="n">
        <v>13</v>
      </c>
      <c r="C3086" s="18">
        <f>'Календарь'!A115</f>
        <v/>
      </c>
      <c r="D3086">
        <f>MONTH(C3086)</f>
        <v/>
      </c>
      <c r="E3086">
        <f>'Календарь'!D115</f>
        <v/>
      </c>
      <c r="F3086">
        <f>INT((C3086-Нед_Начало)/7)+1</f>
        <v/>
      </c>
      <c r="G3086">
        <f>IF(E3086=0,0,INDEX('Планы менеджеров'!$B$5:$M$16,B3086,D3086)/INDEX(Мес_Раб,D3086))</f>
        <v/>
      </c>
    </row>
    <row r="3087">
      <c r="A3087" t="inlineStr">
        <is>
          <t>Лебедев</t>
        </is>
      </c>
      <c r="B3087" t="n">
        <v>13</v>
      </c>
      <c r="C3087" s="18">
        <f>'Календарь'!A116</f>
        <v/>
      </c>
      <c r="D3087">
        <f>MONTH(C3087)</f>
        <v/>
      </c>
      <c r="E3087">
        <f>'Календарь'!D116</f>
        <v/>
      </c>
      <c r="F3087">
        <f>INT((C3087-Нед_Начало)/7)+1</f>
        <v/>
      </c>
      <c r="G3087">
        <f>IF(E3087=0,0,INDEX('Планы менеджеров'!$B$5:$M$16,B3087,D3087)/INDEX(Мес_Раб,D3087))</f>
        <v/>
      </c>
    </row>
    <row r="3088">
      <c r="A3088" t="inlineStr">
        <is>
          <t>Лебедев</t>
        </is>
      </c>
      <c r="B3088" t="n">
        <v>13</v>
      </c>
      <c r="C3088" s="18">
        <f>'Календарь'!A117</f>
        <v/>
      </c>
      <c r="D3088">
        <f>MONTH(C3088)</f>
        <v/>
      </c>
      <c r="E3088">
        <f>'Календарь'!D117</f>
        <v/>
      </c>
      <c r="F3088">
        <f>INT((C3088-Нед_Начало)/7)+1</f>
        <v/>
      </c>
      <c r="G3088">
        <f>IF(E3088=0,0,INDEX('Планы менеджеров'!$B$5:$M$16,B3088,D3088)/INDEX(Мес_Раб,D3088))</f>
        <v/>
      </c>
    </row>
    <row r="3089">
      <c r="A3089" t="inlineStr">
        <is>
          <t>Лебедев</t>
        </is>
      </c>
      <c r="B3089" t="n">
        <v>13</v>
      </c>
      <c r="C3089" s="18">
        <f>'Календарь'!A118</f>
        <v/>
      </c>
      <c r="D3089">
        <f>MONTH(C3089)</f>
        <v/>
      </c>
      <c r="E3089">
        <f>'Календарь'!D118</f>
        <v/>
      </c>
      <c r="F3089">
        <f>INT((C3089-Нед_Начало)/7)+1</f>
        <v/>
      </c>
      <c r="G3089">
        <f>IF(E3089=0,0,INDEX('Планы менеджеров'!$B$5:$M$16,B3089,D3089)/INDEX(Мес_Раб,D3089))</f>
        <v/>
      </c>
    </row>
    <row r="3090">
      <c r="A3090" t="inlineStr">
        <is>
          <t>Лебедев</t>
        </is>
      </c>
      <c r="B3090" t="n">
        <v>13</v>
      </c>
      <c r="C3090" s="18">
        <f>'Календарь'!A119</f>
        <v/>
      </c>
      <c r="D3090">
        <f>MONTH(C3090)</f>
        <v/>
      </c>
      <c r="E3090">
        <f>'Календарь'!D119</f>
        <v/>
      </c>
      <c r="F3090">
        <f>INT((C3090-Нед_Начало)/7)+1</f>
        <v/>
      </c>
      <c r="G3090">
        <f>IF(E3090=0,0,INDEX('Планы менеджеров'!$B$5:$M$16,B3090,D3090)/INDEX(Мес_Раб,D3090))</f>
        <v/>
      </c>
    </row>
    <row r="3091">
      <c r="A3091" t="inlineStr">
        <is>
          <t>Лебедев</t>
        </is>
      </c>
      <c r="B3091" t="n">
        <v>13</v>
      </c>
      <c r="C3091" s="18">
        <f>'Календарь'!A120</f>
        <v/>
      </c>
      <c r="D3091">
        <f>MONTH(C3091)</f>
        <v/>
      </c>
      <c r="E3091">
        <f>'Календарь'!D120</f>
        <v/>
      </c>
      <c r="F3091">
        <f>INT((C3091-Нед_Начало)/7)+1</f>
        <v/>
      </c>
      <c r="G3091">
        <f>IF(E3091=0,0,INDEX('Планы менеджеров'!$B$5:$M$16,B3091,D3091)/INDEX(Мес_Раб,D3091))</f>
        <v/>
      </c>
    </row>
    <row r="3092">
      <c r="A3092" t="inlineStr">
        <is>
          <t>Лебедев</t>
        </is>
      </c>
      <c r="B3092" t="n">
        <v>13</v>
      </c>
      <c r="C3092" s="18">
        <f>'Календарь'!A121</f>
        <v/>
      </c>
      <c r="D3092">
        <f>MONTH(C3092)</f>
        <v/>
      </c>
      <c r="E3092">
        <f>'Календарь'!D121</f>
        <v/>
      </c>
      <c r="F3092">
        <f>INT((C3092-Нед_Начало)/7)+1</f>
        <v/>
      </c>
      <c r="G3092">
        <f>IF(E3092=0,0,INDEX('Планы менеджеров'!$B$5:$M$16,B3092,D3092)/INDEX(Мес_Раб,D3092))</f>
        <v/>
      </c>
    </row>
    <row r="3093">
      <c r="A3093" t="inlineStr">
        <is>
          <t>Лебедев</t>
        </is>
      </c>
      <c r="B3093" t="n">
        <v>13</v>
      </c>
      <c r="C3093" s="18">
        <f>'Календарь'!A122</f>
        <v/>
      </c>
      <c r="D3093">
        <f>MONTH(C3093)</f>
        <v/>
      </c>
      <c r="E3093">
        <f>'Календарь'!D122</f>
        <v/>
      </c>
      <c r="F3093">
        <f>INT((C3093-Нед_Начало)/7)+1</f>
        <v/>
      </c>
      <c r="G3093">
        <f>IF(E3093=0,0,INDEX('Планы менеджеров'!$B$5:$M$16,B3093,D3093)/INDEX(Мес_Раб,D3093))</f>
        <v/>
      </c>
    </row>
    <row r="3094">
      <c r="A3094" t="inlineStr">
        <is>
          <t>Лебедев</t>
        </is>
      </c>
      <c r="B3094" t="n">
        <v>13</v>
      </c>
      <c r="C3094" s="18">
        <f>'Календарь'!A123</f>
        <v/>
      </c>
      <c r="D3094">
        <f>MONTH(C3094)</f>
        <v/>
      </c>
      <c r="E3094">
        <f>'Календарь'!D123</f>
        <v/>
      </c>
      <c r="F3094">
        <f>INT((C3094-Нед_Начало)/7)+1</f>
        <v/>
      </c>
      <c r="G3094">
        <f>IF(E3094=0,0,INDEX('Планы менеджеров'!$B$5:$M$16,B3094,D3094)/INDEX(Мес_Раб,D3094))</f>
        <v/>
      </c>
    </row>
    <row r="3095">
      <c r="A3095" t="inlineStr">
        <is>
          <t>Лебедев</t>
        </is>
      </c>
      <c r="B3095" t="n">
        <v>13</v>
      </c>
      <c r="C3095" s="18">
        <f>'Календарь'!A124</f>
        <v/>
      </c>
      <c r="D3095">
        <f>MONTH(C3095)</f>
        <v/>
      </c>
      <c r="E3095">
        <f>'Календарь'!D124</f>
        <v/>
      </c>
      <c r="F3095">
        <f>INT((C3095-Нед_Начало)/7)+1</f>
        <v/>
      </c>
      <c r="G3095">
        <f>IF(E3095=0,0,INDEX('Планы менеджеров'!$B$5:$M$16,B3095,D3095)/INDEX(Мес_Раб,D3095))</f>
        <v/>
      </c>
    </row>
    <row r="3096">
      <c r="A3096" t="inlineStr">
        <is>
          <t>Лебедев</t>
        </is>
      </c>
      <c r="B3096" t="n">
        <v>13</v>
      </c>
      <c r="C3096" s="18">
        <f>'Календарь'!A125</f>
        <v/>
      </c>
      <c r="D3096">
        <f>MONTH(C3096)</f>
        <v/>
      </c>
      <c r="E3096">
        <f>'Календарь'!D125</f>
        <v/>
      </c>
      <c r="F3096">
        <f>INT((C3096-Нед_Начало)/7)+1</f>
        <v/>
      </c>
      <c r="G3096">
        <f>IF(E3096=0,0,INDEX('Планы менеджеров'!$B$5:$M$16,B3096,D3096)/INDEX(Мес_Раб,D3096))</f>
        <v/>
      </c>
    </row>
    <row r="3097">
      <c r="A3097" t="inlineStr">
        <is>
          <t>Лебедев</t>
        </is>
      </c>
      <c r="B3097" t="n">
        <v>13</v>
      </c>
      <c r="C3097" s="18">
        <f>'Календарь'!A126</f>
        <v/>
      </c>
      <c r="D3097">
        <f>MONTH(C3097)</f>
        <v/>
      </c>
      <c r="E3097">
        <f>'Календарь'!D126</f>
        <v/>
      </c>
      <c r="F3097">
        <f>INT((C3097-Нед_Начало)/7)+1</f>
        <v/>
      </c>
      <c r="G3097">
        <f>IF(E3097=0,0,INDEX('Планы менеджеров'!$B$5:$M$16,B3097,D3097)/INDEX(Мес_Раб,D3097))</f>
        <v/>
      </c>
    </row>
    <row r="3098">
      <c r="A3098" t="inlineStr">
        <is>
          <t>Лебедев</t>
        </is>
      </c>
      <c r="B3098" t="n">
        <v>13</v>
      </c>
      <c r="C3098" s="18">
        <f>'Календарь'!A127</f>
        <v/>
      </c>
      <c r="D3098">
        <f>MONTH(C3098)</f>
        <v/>
      </c>
      <c r="E3098">
        <f>'Календарь'!D127</f>
        <v/>
      </c>
      <c r="F3098">
        <f>INT((C3098-Нед_Начало)/7)+1</f>
        <v/>
      </c>
      <c r="G3098">
        <f>IF(E3098=0,0,INDEX('Планы менеджеров'!$B$5:$M$16,B3098,D3098)/INDEX(Мес_Раб,D3098))</f>
        <v/>
      </c>
    </row>
    <row r="3099">
      <c r="A3099" t="inlineStr">
        <is>
          <t>Лебедев</t>
        </is>
      </c>
      <c r="B3099" t="n">
        <v>13</v>
      </c>
      <c r="C3099" s="18">
        <f>'Календарь'!A128</f>
        <v/>
      </c>
      <c r="D3099">
        <f>MONTH(C3099)</f>
        <v/>
      </c>
      <c r="E3099">
        <f>'Календарь'!D128</f>
        <v/>
      </c>
      <c r="F3099">
        <f>INT((C3099-Нед_Начало)/7)+1</f>
        <v/>
      </c>
      <c r="G3099">
        <f>IF(E3099=0,0,INDEX('Планы менеджеров'!$B$5:$M$16,B3099,D3099)/INDEX(Мес_Раб,D3099))</f>
        <v/>
      </c>
    </row>
    <row r="3100">
      <c r="A3100" t="inlineStr">
        <is>
          <t>Лебедев</t>
        </is>
      </c>
      <c r="B3100" t="n">
        <v>13</v>
      </c>
      <c r="C3100" s="18">
        <f>'Календарь'!A129</f>
        <v/>
      </c>
      <c r="D3100">
        <f>MONTH(C3100)</f>
        <v/>
      </c>
      <c r="E3100">
        <f>'Календарь'!D129</f>
        <v/>
      </c>
      <c r="F3100">
        <f>INT((C3100-Нед_Начало)/7)+1</f>
        <v/>
      </c>
      <c r="G3100">
        <f>IF(E3100=0,0,INDEX('Планы менеджеров'!$B$5:$M$16,B3100,D3100)/INDEX(Мес_Раб,D3100))</f>
        <v/>
      </c>
    </row>
    <row r="3101">
      <c r="A3101" t="inlineStr">
        <is>
          <t>Лебедев</t>
        </is>
      </c>
      <c r="B3101" t="n">
        <v>13</v>
      </c>
      <c r="C3101" s="18">
        <f>'Календарь'!A130</f>
        <v/>
      </c>
      <c r="D3101">
        <f>MONTH(C3101)</f>
        <v/>
      </c>
      <c r="E3101">
        <f>'Календарь'!D130</f>
        <v/>
      </c>
      <c r="F3101">
        <f>INT((C3101-Нед_Начало)/7)+1</f>
        <v/>
      </c>
      <c r="G3101">
        <f>IF(E3101=0,0,INDEX('Планы менеджеров'!$B$5:$M$16,B3101,D3101)/INDEX(Мес_Раб,D3101))</f>
        <v/>
      </c>
    </row>
    <row r="3102">
      <c r="A3102" t="inlineStr">
        <is>
          <t>Лебедев</t>
        </is>
      </c>
      <c r="B3102" t="n">
        <v>13</v>
      </c>
      <c r="C3102" s="18">
        <f>'Календарь'!A131</f>
        <v/>
      </c>
      <c r="D3102">
        <f>MONTH(C3102)</f>
        <v/>
      </c>
      <c r="E3102">
        <f>'Календарь'!D131</f>
        <v/>
      </c>
      <c r="F3102">
        <f>INT((C3102-Нед_Начало)/7)+1</f>
        <v/>
      </c>
      <c r="G3102">
        <f>IF(E3102=0,0,INDEX('Планы менеджеров'!$B$5:$M$16,B3102,D3102)/INDEX(Мес_Раб,D3102))</f>
        <v/>
      </c>
    </row>
    <row r="3103">
      <c r="A3103" t="inlineStr">
        <is>
          <t>Лебедев</t>
        </is>
      </c>
      <c r="B3103" t="n">
        <v>13</v>
      </c>
      <c r="C3103" s="18">
        <f>'Календарь'!A132</f>
        <v/>
      </c>
      <c r="D3103">
        <f>MONTH(C3103)</f>
        <v/>
      </c>
      <c r="E3103">
        <f>'Календарь'!D132</f>
        <v/>
      </c>
      <c r="F3103">
        <f>INT((C3103-Нед_Начало)/7)+1</f>
        <v/>
      </c>
      <c r="G3103">
        <f>IF(E3103=0,0,INDEX('Планы менеджеров'!$B$5:$M$16,B3103,D3103)/INDEX(Мес_Раб,D3103))</f>
        <v/>
      </c>
    </row>
    <row r="3104">
      <c r="A3104" t="inlineStr">
        <is>
          <t>Лебедев</t>
        </is>
      </c>
      <c r="B3104" t="n">
        <v>13</v>
      </c>
      <c r="C3104" s="18">
        <f>'Календарь'!A133</f>
        <v/>
      </c>
      <c r="D3104">
        <f>MONTH(C3104)</f>
        <v/>
      </c>
      <c r="E3104">
        <f>'Календарь'!D133</f>
        <v/>
      </c>
      <c r="F3104">
        <f>INT((C3104-Нед_Начало)/7)+1</f>
        <v/>
      </c>
      <c r="G3104">
        <f>IF(E3104=0,0,INDEX('Планы менеджеров'!$B$5:$M$16,B3104,D3104)/INDEX(Мес_Раб,D3104))</f>
        <v/>
      </c>
    </row>
    <row r="3105">
      <c r="A3105" t="inlineStr">
        <is>
          <t>Лебедев</t>
        </is>
      </c>
      <c r="B3105" t="n">
        <v>13</v>
      </c>
      <c r="C3105" s="18">
        <f>'Календарь'!A134</f>
        <v/>
      </c>
      <c r="D3105">
        <f>MONTH(C3105)</f>
        <v/>
      </c>
      <c r="E3105">
        <f>'Календарь'!D134</f>
        <v/>
      </c>
      <c r="F3105">
        <f>INT((C3105-Нед_Начало)/7)+1</f>
        <v/>
      </c>
      <c r="G3105">
        <f>IF(E3105=0,0,INDEX('Планы менеджеров'!$B$5:$M$16,B3105,D3105)/INDEX(Мес_Раб,D3105))</f>
        <v/>
      </c>
    </row>
    <row r="3106">
      <c r="A3106" t="inlineStr">
        <is>
          <t>Лебедев</t>
        </is>
      </c>
      <c r="B3106" t="n">
        <v>13</v>
      </c>
      <c r="C3106" s="18">
        <f>'Календарь'!A135</f>
        <v/>
      </c>
      <c r="D3106">
        <f>MONTH(C3106)</f>
        <v/>
      </c>
      <c r="E3106">
        <f>'Календарь'!D135</f>
        <v/>
      </c>
      <c r="F3106">
        <f>INT((C3106-Нед_Начало)/7)+1</f>
        <v/>
      </c>
      <c r="G3106">
        <f>IF(E3106=0,0,INDEX('Планы менеджеров'!$B$5:$M$16,B3106,D3106)/INDEX(Мес_Раб,D3106))</f>
        <v/>
      </c>
    </row>
    <row r="3107">
      <c r="A3107" t="inlineStr">
        <is>
          <t>Лебедев</t>
        </is>
      </c>
      <c r="B3107" t="n">
        <v>13</v>
      </c>
      <c r="C3107" s="18">
        <f>'Календарь'!A136</f>
        <v/>
      </c>
      <c r="D3107">
        <f>MONTH(C3107)</f>
        <v/>
      </c>
      <c r="E3107">
        <f>'Календарь'!D136</f>
        <v/>
      </c>
      <c r="F3107">
        <f>INT((C3107-Нед_Начало)/7)+1</f>
        <v/>
      </c>
      <c r="G3107">
        <f>IF(E3107=0,0,INDEX('Планы менеджеров'!$B$5:$M$16,B3107,D3107)/INDEX(Мес_Раб,D3107))</f>
        <v/>
      </c>
    </row>
    <row r="3108">
      <c r="A3108" t="inlineStr">
        <is>
          <t>Лебедев</t>
        </is>
      </c>
      <c r="B3108" t="n">
        <v>13</v>
      </c>
      <c r="C3108" s="18">
        <f>'Календарь'!A137</f>
        <v/>
      </c>
      <c r="D3108">
        <f>MONTH(C3108)</f>
        <v/>
      </c>
      <c r="E3108">
        <f>'Календарь'!D137</f>
        <v/>
      </c>
      <c r="F3108">
        <f>INT((C3108-Нед_Начало)/7)+1</f>
        <v/>
      </c>
      <c r="G3108">
        <f>IF(E3108=0,0,INDEX('Планы менеджеров'!$B$5:$M$16,B3108,D3108)/INDEX(Мес_Раб,D3108))</f>
        <v/>
      </c>
    </row>
    <row r="3109">
      <c r="A3109" t="inlineStr">
        <is>
          <t>Лебедев</t>
        </is>
      </c>
      <c r="B3109" t="n">
        <v>13</v>
      </c>
      <c r="C3109" s="18">
        <f>'Календарь'!A138</f>
        <v/>
      </c>
      <c r="D3109">
        <f>MONTH(C3109)</f>
        <v/>
      </c>
      <c r="E3109">
        <f>'Календарь'!D138</f>
        <v/>
      </c>
      <c r="F3109">
        <f>INT((C3109-Нед_Начало)/7)+1</f>
        <v/>
      </c>
      <c r="G3109">
        <f>IF(E3109=0,0,INDEX('Планы менеджеров'!$B$5:$M$16,B3109,D3109)/INDEX(Мес_Раб,D3109))</f>
        <v/>
      </c>
    </row>
    <row r="3110">
      <c r="A3110" t="inlineStr">
        <is>
          <t>Лебедев</t>
        </is>
      </c>
      <c r="B3110" t="n">
        <v>13</v>
      </c>
      <c r="C3110" s="18">
        <f>'Календарь'!A139</f>
        <v/>
      </c>
      <c r="D3110">
        <f>MONTH(C3110)</f>
        <v/>
      </c>
      <c r="E3110">
        <f>'Календарь'!D139</f>
        <v/>
      </c>
      <c r="F3110">
        <f>INT((C3110-Нед_Начало)/7)+1</f>
        <v/>
      </c>
      <c r="G3110">
        <f>IF(E3110=0,0,INDEX('Планы менеджеров'!$B$5:$M$16,B3110,D3110)/INDEX(Мес_Раб,D3110))</f>
        <v/>
      </c>
    </row>
    <row r="3111">
      <c r="A3111" t="inlineStr">
        <is>
          <t>Лебедев</t>
        </is>
      </c>
      <c r="B3111" t="n">
        <v>13</v>
      </c>
      <c r="C3111" s="18">
        <f>'Календарь'!A140</f>
        <v/>
      </c>
      <c r="D3111">
        <f>MONTH(C3111)</f>
        <v/>
      </c>
      <c r="E3111">
        <f>'Календарь'!D140</f>
        <v/>
      </c>
      <c r="F3111">
        <f>INT((C3111-Нед_Начало)/7)+1</f>
        <v/>
      </c>
      <c r="G3111">
        <f>IF(E3111=0,0,INDEX('Планы менеджеров'!$B$5:$M$16,B3111,D3111)/INDEX(Мес_Раб,D3111))</f>
        <v/>
      </c>
    </row>
    <row r="3112">
      <c r="A3112" t="inlineStr">
        <is>
          <t>Лебедев</t>
        </is>
      </c>
      <c r="B3112" t="n">
        <v>13</v>
      </c>
      <c r="C3112" s="18">
        <f>'Календарь'!A141</f>
        <v/>
      </c>
      <c r="D3112">
        <f>MONTH(C3112)</f>
        <v/>
      </c>
      <c r="E3112">
        <f>'Календарь'!D141</f>
        <v/>
      </c>
      <c r="F3112">
        <f>INT((C3112-Нед_Начало)/7)+1</f>
        <v/>
      </c>
      <c r="G3112">
        <f>IF(E3112=0,0,INDEX('Планы менеджеров'!$B$5:$M$16,B3112,D3112)/INDEX(Мес_Раб,D3112))</f>
        <v/>
      </c>
    </row>
    <row r="3113">
      <c r="A3113" t="inlineStr">
        <is>
          <t>Лебедев</t>
        </is>
      </c>
      <c r="B3113" t="n">
        <v>13</v>
      </c>
      <c r="C3113" s="18">
        <f>'Календарь'!A142</f>
        <v/>
      </c>
      <c r="D3113">
        <f>MONTH(C3113)</f>
        <v/>
      </c>
      <c r="E3113">
        <f>'Календарь'!D142</f>
        <v/>
      </c>
      <c r="F3113">
        <f>INT((C3113-Нед_Начало)/7)+1</f>
        <v/>
      </c>
      <c r="G3113">
        <f>IF(E3113=0,0,INDEX('Планы менеджеров'!$B$5:$M$16,B3113,D3113)/INDEX(Мес_Раб,D3113))</f>
        <v/>
      </c>
    </row>
    <row r="3114">
      <c r="A3114" t="inlineStr">
        <is>
          <t>Лебедев</t>
        </is>
      </c>
      <c r="B3114" t="n">
        <v>13</v>
      </c>
      <c r="C3114" s="18">
        <f>'Календарь'!A143</f>
        <v/>
      </c>
      <c r="D3114">
        <f>MONTH(C3114)</f>
        <v/>
      </c>
      <c r="E3114">
        <f>'Календарь'!D143</f>
        <v/>
      </c>
      <c r="F3114">
        <f>INT((C3114-Нед_Начало)/7)+1</f>
        <v/>
      </c>
      <c r="G3114">
        <f>IF(E3114=0,0,INDEX('Планы менеджеров'!$B$5:$M$16,B3114,D3114)/INDEX(Мес_Раб,D3114))</f>
        <v/>
      </c>
    </row>
    <row r="3115">
      <c r="A3115" t="inlineStr">
        <is>
          <t>Лебедев</t>
        </is>
      </c>
      <c r="B3115" t="n">
        <v>13</v>
      </c>
      <c r="C3115" s="18">
        <f>'Календарь'!A144</f>
        <v/>
      </c>
      <c r="D3115">
        <f>MONTH(C3115)</f>
        <v/>
      </c>
      <c r="E3115">
        <f>'Календарь'!D144</f>
        <v/>
      </c>
      <c r="F3115">
        <f>INT((C3115-Нед_Начало)/7)+1</f>
        <v/>
      </c>
      <c r="G3115">
        <f>IF(E3115=0,0,INDEX('Планы менеджеров'!$B$5:$M$16,B3115,D3115)/INDEX(Мес_Раб,D3115))</f>
        <v/>
      </c>
    </row>
    <row r="3116">
      <c r="A3116" t="inlineStr">
        <is>
          <t>Лебедев</t>
        </is>
      </c>
      <c r="B3116" t="n">
        <v>13</v>
      </c>
      <c r="C3116" s="18">
        <f>'Календарь'!A145</f>
        <v/>
      </c>
      <c r="D3116">
        <f>MONTH(C3116)</f>
        <v/>
      </c>
      <c r="E3116">
        <f>'Календарь'!D145</f>
        <v/>
      </c>
      <c r="F3116">
        <f>INT((C3116-Нед_Начало)/7)+1</f>
        <v/>
      </c>
      <c r="G3116">
        <f>IF(E3116=0,0,INDEX('Планы менеджеров'!$B$5:$M$16,B3116,D3116)/INDEX(Мес_Раб,D3116))</f>
        <v/>
      </c>
    </row>
    <row r="3117">
      <c r="A3117" t="inlineStr">
        <is>
          <t>Лебедев</t>
        </is>
      </c>
      <c r="B3117" t="n">
        <v>13</v>
      </c>
      <c r="C3117" s="18">
        <f>'Календарь'!A146</f>
        <v/>
      </c>
      <c r="D3117">
        <f>MONTH(C3117)</f>
        <v/>
      </c>
      <c r="E3117">
        <f>'Календарь'!D146</f>
        <v/>
      </c>
      <c r="F3117">
        <f>INT((C3117-Нед_Начало)/7)+1</f>
        <v/>
      </c>
      <c r="G3117">
        <f>IF(E3117=0,0,INDEX('Планы менеджеров'!$B$5:$M$16,B3117,D3117)/INDEX(Мес_Раб,D3117))</f>
        <v/>
      </c>
    </row>
    <row r="3118">
      <c r="A3118" t="inlineStr">
        <is>
          <t>Лебедев</t>
        </is>
      </c>
      <c r="B3118" t="n">
        <v>13</v>
      </c>
      <c r="C3118" s="18">
        <f>'Календарь'!A147</f>
        <v/>
      </c>
      <c r="D3118">
        <f>MONTH(C3118)</f>
        <v/>
      </c>
      <c r="E3118">
        <f>'Календарь'!D147</f>
        <v/>
      </c>
      <c r="F3118">
        <f>INT((C3118-Нед_Начало)/7)+1</f>
        <v/>
      </c>
      <c r="G3118">
        <f>IF(E3118=0,0,INDEX('Планы менеджеров'!$B$5:$M$16,B3118,D3118)/INDEX(Мес_Раб,D3118))</f>
        <v/>
      </c>
    </row>
    <row r="3119">
      <c r="A3119" t="inlineStr">
        <is>
          <t>Лебедев</t>
        </is>
      </c>
      <c r="B3119" t="n">
        <v>13</v>
      </c>
      <c r="C3119" s="18">
        <f>'Календарь'!A148</f>
        <v/>
      </c>
      <c r="D3119">
        <f>MONTH(C3119)</f>
        <v/>
      </c>
      <c r="E3119">
        <f>'Календарь'!D148</f>
        <v/>
      </c>
      <c r="F3119">
        <f>INT((C3119-Нед_Начало)/7)+1</f>
        <v/>
      </c>
      <c r="G3119">
        <f>IF(E3119=0,0,INDEX('Планы менеджеров'!$B$5:$M$16,B3119,D3119)/INDEX(Мес_Раб,D3119))</f>
        <v/>
      </c>
    </row>
    <row r="3120">
      <c r="A3120" t="inlineStr">
        <is>
          <t>Лебедев</t>
        </is>
      </c>
      <c r="B3120" t="n">
        <v>13</v>
      </c>
      <c r="C3120" s="18">
        <f>'Календарь'!A149</f>
        <v/>
      </c>
      <c r="D3120">
        <f>MONTH(C3120)</f>
        <v/>
      </c>
      <c r="E3120">
        <f>'Календарь'!D149</f>
        <v/>
      </c>
      <c r="F3120">
        <f>INT((C3120-Нед_Начало)/7)+1</f>
        <v/>
      </c>
      <c r="G3120">
        <f>IF(E3120=0,0,INDEX('Планы менеджеров'!$B$5:$M$16,B3120,D3120)/INDEX(Мес_Раб,D3120))</f>
        <v/>
      </c>
    </row>
    <row r="3121">
      <c r="A3121" t="inlineStr">
        <is>
          <t>Лебедев</t>
        </is>
      </c>
      <c r="B3121" t="n">
        <v>13</v>
      </c>
      <c r="C3121" s="18">
        <f>'Календарь'!A150</f>
        <v/>
      </c>
      <c r="D3121">
        <f>MONTH(C3121)</f>
        <v/>
      </c>
      <c r="E3121">
        <f>'Календарь'!D150</f>
        <v/>
      </c>
      <c r="F3121">
        <f>INT((C3121-Нед_Начало)/7)+1</f>
        <v/>
      </c>
      <c r="G3121">
        <f>IF(E3121=0,0,INDEX('Планы менеджеров'!$B$5:$M$16,B3121,D3121)/INDEX(Мес_Раб,D3121))</f>
        <v/>
      </c>
    </row>
    <row r="3122">
      <c r="A3122" t="inlineStr">
        <is>
          <t>Лебедев</t>
        </is>
      </c>
      <c r="B3122" t="n">
        <v>13</v>
      </c>
      <c r="C3122" s="18">
        <f>'Календарь'!A151</f>
        <v/>
      </c>
      <c r="D3122">
        <f>MONTH(C3122)</f>
        <v/>
      </c>
      <c r="E3122">
        <f>'Календарь'!D151</f>
        <v/>
      </c>
      <c r="F3122">
        <f>INT((C3122-Нед_Начало)/7)+1</f>
        <v/>
      </c>
      <c r="G3122">
        <f>IF(E3122=0,0,INDEX('Планы менеджеров'!$B$5:$M$16,B3122,D3122)/INDEX(Мес_Раб,D3122))</f>
        <v/>
      </c>
    </row>
    <row r="3123">
      <c r="A3123" t="inlineStr">
        <is>
          <t>Лебедев</t>
        </is>
      </c>
      <c r="B3123" t="n">
        <v>13</v>
      </c>
      <c r="C3123" s="18">
        <f>'Календарь'!A152</f>
        <v/>
      </c>
      <c r="D3123">
        <f>MONTH(C3123)</f>
        <v/>
      </c>
      <c r="E3123">
        <f>'Календарь'!D152</f>
        <v/>
      </c>
      <c r="F3123">
        <f>INT((C3123-Нед_Начало)/7)+1</f>
        <v/>
      </c>
      <c r="G3123">
        <f>IF(E3123=0,0,INDEX('Планы менеджеров'!$B$5:$M$16,B3123,D3123)/INDEX(Мес_Раб,D3123))</f>
        <v/>
      </c>
    </row>
    <row r="3124">
      <c r="A3124" t="inlineStr">
        <is>
          <t>Лебедев</t>
        </is>
      </c>
      <c r="B3124" t="n">
        <v>13</v>
      </c>
      <c r="C3124" s="18">
        <f>'Календарь'!A153</f>
        <v/>
      </c>
      <c r="D3124">
        <f>MONTH(C3124)</f>
        <v/>
      </c>
      <c r="E3124">
        <f>'Календарь'!D153</f>
        <v/>
      </c>
      <c r="F3124">
        <f>INT((C3124-Нед_Начало)/7)+1</f>
        <v/>
      </c>
      <c r="G3124">
        <f>IF(E3124=0,0,INDEX('Планы менеджеров'!$B$5:$M$16,B3124,D3124)/INDEX(Мес_Раб,D3124))</f>
        <v/>
      </c>
    </row>
    <row r="3125">
      <c r="A3125" t="inlineStr">
        <is>
          <t>Лебедев</t>
        </is>
      </c>
      <c r="B3125" t="n">
        <v>13</v>
      </c>
      <c r="C3125" s="18">
        <f>'Календарь'!A154</f>
        <v/>
      </c>
      <c r="D3125">
        <f>MONTH(C3125)</f>
        <v/>
      </c>
      <c r="E3125">
        <f>'Календарь'!D154</f>
        <v/>
      </c>
      <c r="F3125">
        <f>INT((C3125-Нед_Начало)/7)+1</f>
        <v/>
      </c>
      <c r="G3125">
        <f>IF(E3125=0,0,INDEX('Планы менеджеров'!$B$5:$M$16,B3125,D3125)/INDEX(Мес_Раб,D3125))</f>
        <v/>
      </c>
    </row>
    <row r="3126">
      <c r="A3126" t="inlineStr">
        <is>
          <t>Лебедев</t>
        </is>
      </c>
      <c r="B3126" t="n">
        <v>13</v>
      </c>
      <c r="C3126" s="18">
        <f>'Календарь'!A155</f>
        <v/>
      </c>
      <c r="D3126">
        <f>MONTH(C3126)</f>
        <v/>
      </c>
      <c r="E3126">
        <f>'Календарь'!D155</f>
        <v/>
      </c>
      <c r="F3126">
        <f>INT((C3126-Нед_Начало)/7)+1</f>
        <v/>
      </c>
      <c r="G3126">
        <f>IF(E3126=0,0,INDEX('Планы менеджеров'!$B$5:$M$16,B3126,D3126)/INDEX(Мес_Раб,D3126))</f>
        <v/>
      </c>
    </row>
    <row r="3127">
      <c r="A3127" t="inlineStr">
        <is>
          <t>Лебедев</t>
        </is>
      </c>
      <c r="B3127" t="n">
        <v>13</v>
      </c>
      <c r="C3127" s="18">
        <f>'Календарь'!A156</f>
        <v/>
      </c>
      <c r="D3127">
        <f>MONTH(C3127)</f>
        <v/>
      </c>
      <c r="E3127">
        <f>'Календарь'!D156</f>
        <v/>
      </c>
      <c r="F3127">
        <f>INT((C3127-Нед_Начало)/7)+1</f>
        <v/>
      </c>
      <c r="G3127">
        <f>IF(E3127=0,0,INDEX('Планы менеджеров'!$B$5:$M$16,B3127,D3127)/INDEX(Мес_Раб,D3127))</f>
        <v/>
      </c>
    </row>
    <row r="3128">
      <c r="A3128" t="inlineStr">
        <is>
          <t>Лебедев</t>
        </is>
      </c>
      <c r="B3128" t="n">
        <v>13</v>
      </c>
      <c r="C3128" s="18">
        <f>'Календарь'!A157</f>
        <v/>
      </c>
      <c r="D3128">
        <f>MONTH(C3128)</f>
        <v/>
      </c>
      <c r="E3128">
        <f>'Календарь'!D157</f>
        <v/>
      </c>
      <c r="F3128">
        <f>INT((C3128-Нед_Начало)/7)+1</f>
        <v/>
      </c>
      <c r="G3128">
        <f>IF(E3128=0,0,INDEX('Планы менеджеров'!$B$5:$M$16,B3128,D3128)/INDEX(Мес_Раб,D3128))</f>
        <v/>
      </c>
    </row>
    <row r="3129">
      <c r="A3129" t="inlineStr">
        <is>
          <t>Лебедев</t>
        </is>
      </c>
      <c r="B3129" t="n">
        <v>13</v>
      </c>
      <c r="C3129" s="18">
        <f>'Календарь'!A158</f>
        <v/>
      </c>
      <c r="D3129">
        <f>MONTH(C3129)</f>
        <v/>
      </c>
      <c r="E3129">
        <f>'Календарь'!D158</f>
        <v/>
      </c>
      <c r="F3129">
        <f>INT((C3129-Нед_Начало)/7)+1</f>
        <v/>
      </c>
      <c r="G3129">
        <f>IF(E3129=0,0,INDEX('Планы менеджеров'!$B$5:$M$16,B3129,D3129)/INDEX(Мес_Раб,D3129))</f>
        <v/>
      </c>
    </row>
    <row r="3130">
      <c r="A3130" t="inlineStr">
        <is>
          <t>Лебедев</t>
        </is>
      </c>
      <c r="B3130" t="n">
        <v>13</v>
      </c>
      <c r="C3130" s="18">
        <f>'Календарь'!A159</f>
        <v/>
      </c>
      <c r="D3130">
        <f>MONTH(C3130)</f>
        <v/>
      </c>
      <c r="E3130">
        <f>'Календарь'!D159</f>
        <v/>
      </c>
      <c r="F3130">
        <f>INT((C3130-Нед_Начало)/7)+1</f>
        <v/>
      </c>
      <c r="G3130">
        <f>IF(E3130=0,0,INDEX('Планы менеджеров'!$B$5:$M$16,B3130,D3130)/INDEX(Мес_Раб,D3130))</f>
        <v/>
      </c>
    </row>
    <row r="3131">
      <c r="A3131" t="inlineStr">
        <is>
          <t>Лебедев</t>
        </is>
      </c>
      <c r="B3131" t="n">
        <v>13</v>
      </c>
      <c r="C3131" s="18">
        <f>'Календарь'!A160</f>
        <v/>
      </c>
      <c r="D3131">
        <f>MONTH(C3131)</f>
        <v/>
      </c>
      <c r="E3131">
        <f>'Календарь'!D160</f>
        <v/>
      </c>
      <c r="F3131">
        <f>INT((C3131-Нед_Начало)/7)+1</f>
        <v/>
      </c>
      <c r="G3131">
        <f>IF(E3131=0,0,INDEX('Планы менеджеров'!$B$5:$M$16,B3131,D3131)/INDEX(Мес_Раб,D3131))</f>
        <v/>
      </c>
    </row>
    <row r="3132">
      <c r="A3132" t="inlineStr">
        <is>
          <t>Лебедев</t>
        </is>
      </c>
      <c r="B3132" t="n">
        <v>13</v>
      </c>
      <c r="C3132" s="18">
        <f>'Календарь'!A161</f>
        <v/>
      </c>
      <c r="D3132">
        <f>MONTH(C3132)</f>
        <v/>
      </c>
      <c r="E3132">
        <f>'Календарь'!D161</f>
        <v/>
      </c>
      <c r="F3132">
        <f>INT((C3132-Нед_Начало)/7)+1</f>
        <v/>
      </c>
      <c r="G3132">
        <f>IF(E3132=0,0,INDEX('Планы менеджеров'!$B$5:$M$16,B3132,D3132)/INDEX(Мес_Раб,D3132))</f>
        <v/>
      </c>
    </row>
    <row r="3133">
      <c r="A3133" t="inlineStr">
        <is>
          <t>Лебедев</t>
        </is>
      </c>
      <c r="B3133" t="n">
        <v>13</v>
      </c>
      <c r="C3133" s="18">
        <f>'Календарь'!A162</f>
        <v/>
      </c>
      <c r="D3133">
        <f>MONTH(C3133)</f>
        <v/>
      </c>
      <c r="E3133">
        <f>'Календарь'!D162</f>
        <v/>
      </c>
      <c r="F3133">
        <f>INT((C3133-Нед_Начало)/7)+1</f>
        <v/>
      </c>
      <c r="G3133">
        <f>IF(E3133=0,0,INDEX('Планы менеджеров'!$B$5:$M$16,B3133,D3133)/INDEX(Мес_Раб,D3133))</f>
        <v/>
      </c>
    </row>
    <row r="3134">
      <c r="A3134" t="inlineStr">
        <is>
          <t>Лебедев</t>
        </is>
      </c>
      <c r="B3134" t="n">
        <v>13</v>
      </c>
      <c r="C3134" s="18">
        <f>'Календарь'!A163</f>
        <v/>
      </c>
      <c r="D3134">
        <f>MONTH(C3134)</f>
        <v/>
      </c>
      <c r="E3134">
        <f>'Календарь'!D163</f>
        <v/>
      </c>
      <c r="F3134">
        <f>INT((C3134-Нед_Начало)/7)+1</f>
        <v/>
      </c>
      <c r="G3134">
        <f>IF(E3134=0,0,INDEX('Планы менеджеров'!$B$5:$M$16,B3134,D3134)/INDEX(Мес_Раб,D3134))</f>
        <v/>
      </c>
    </row>
    <row r="3135">
      <c r="A3135" t="inlineStr">
        <is>
          <t>Лебедев</t>
        </is>
      </c>
      <c r="B3135" t="n">
        <v>13</v>
      </c>
      <c r="C3135" s="18">
        <f>'Календарь'!A164</f>
        <v/>
      </c>
      <c r="D3135">
        <f>MONTH(C3135)</f>
        <v/>
      </c>
      <c r="E3135">
        <f>'Календарь'!D164</f>
        <v/>
      </c>
      <c r="F3135">
        <f>INT((C3135-Нед_Начало)/7)+1</f>
        <v/>
      </c>
      <c r="G3135">
        <f>IF(E3135=0,0,INDEX('Планы менеджеров'!$B$5:$M$16,B3135,D3135)/INDEX(Мес_Раб,D3135))</f>
        <v/>
      </c>
    </row>
    <row r="3136">
      <c r="A3136" t="inlineStr">
        <is>
          <t>Лебедев</t>
        </is>
      </c>
      <c r="B3136" t="n">
        <v>13</v>
      </c>
      <c r="C3136" s="18">
        <f>'Календарь'!A165</f>
        <v/>
      </c>
      <c r="D3136">
        <f>MONTH(C3136)</f>
        <v/>
      </c>
      <c r="E3136">
        <f>'Календарь'!D165</f>
        <v/>
      </c>
      <c r="F3136">
        <f>INT((C3136-Нед_Начало)/7)+1</f>
        <v/>
      </c>
      <c r="G3136">
        <f>IF(E3136=0,0,INDEX('Планы менеджеров'!$B$5:$M$16,B3136,D3136)/INDEX(Мес_Раб,D3136))</f>
        <v/>
      </c>
    </row>
    <row r="3137">
      <c r="A3137" t="inlineStr">
        <is>
          <t>Лебедев</t>
        </is>
      </c>
      <c r="B3137" t="n">
        <v>13</v>
      </c>
      <c r="C3137" s="18">
        <f>'Календарь'!A166</f>
        <v/>
      </c>
      <c r="D3137">
        <f>MONTH(C3137)</f>
        <v/>
      </c>
      <c r="E3137">
        <f>'Календарь'!D166</f>
        <v/>
      </c>
      <c r="F3137">
        <f>INT((C3137-Нед_Начало)/7)+1</f>
        <v/>
      </c>
      <c r="G3137">
        <f>IF(E3137=0,0,INDEX('Планы менеджеров'!$B$5:$M$16,B3137,D3137)/INDEX(Мес_Раб,D3137))</f>
        <v/>
      </c>
    </row>
    <row r="3138">
      <c r="A3138" t="inlineStr">
        <is>
          <t>Лебедев</t>
        </is>
      </c>
      <c r="B3138" t="n">
        <v>13</v>
      </c>
      <c r="C3138" s="18">
        <f>'Календарь'!A167</f>
        <v/>
      </c>
      <c r="D3138">
        <f>MONTH(C3138)</f>
        <v/>
      </c>
      <c r="E3138">
        <f>'Календарь'!D167</f>
        <v/>
      </c>
      <c r="F3138">
        <f>INT((C3138-Нед_Начало)/7)+1</f>
        <v/>
      </c>
      <c r="G3138">
        <f>IF(E3138=0,0,INDEX('Планы менеджеров'!$B$5:$M$16,B3138,D3138)/INDEX(Мес_Раб,D3138))</f>
        <v/>
      </c>
    </row>
    <row r="3139">
      <c r="A3139" t="inlineStr">
        <is>
          <t>Лебедев</t>
        </is>
      </c>
      <c r="B3139" t="n">
        <v>13</v>
      </c>
      <c r="C3139" s="18">
        <f>'Календарь'!A168</f>
        <v/>
      </c>
      <c r="D3139">
        <f>MONTH(C3139)</f>
        <v/>
      </c>
      <c r="E3139">
        <f>'Календарь'!D168</f>
        <v/>
      </c>
      <c r="F3139">
        <f>INT((C3139-Нед_Начало)/7)+1</f>
        <v/>
      </c>
      <c r="G3139">
        <f>IF(E3139=0,0,INDEX('Планы менеджеров'!$B$5:$M$16,B3139,D3139)/INDEX(Мес_Раб,D3139))</f>
        <v/>
      </c>
    </row>
    <row r="3140">
      <c r="A3140" t="inlineStr">
        <is>
          <t>Лебедев</t>
        </is>
      </c>
      <c r="B3140" t="n">
        <v>13</v>
      </c>
      <c r="C3140" s="18">
        <f>'Календарь'!A169</f>
        <v/>
      </c>
      <c r="D3140">
        <f>MONTH(C3140)</f>
        <v/>
      </c>
      <c r="E3140">
        <f>'Календарь'!D169</f>
        <v/>
      </c>
      <c r="F3140">
        <f>INT((C3140-Нед_Начало)/7)+1</f>
        <v/>
      </c>
      <c r="G3140">
        <f>IF(E3140=0,0,INDEX('Планы менеджеров'!$B$5:$M$16,B3140,D3140)/INDEX(Мес_Раб,D3140))</f>
        <v/>
      </c>
    </row>
    <row r="3141">
      <c r="A3141" t="inlineStr">
        <is>
          <t>Лебедев</t>
        </is>
      </c>
      <c r="B3141" t="n">
        <v>13</v>
      </c>
      <c r="C3141" s="18">
        <f>'Календарь'!A170</f>
        <v/>
      </c>
      <c r="D3141">
        <f>MONTH(C3141)</f>
        <v/>
      </c>
      <c r="E3141">
        <f>'Календарь'!D170</f>
        <v/>
      </c>
      <c r="F3141">
        <f>INT((C3141-Нед_Начало)/7)+1</f>
        <v/>
      </c>
      <c r="G3141">
        <f>IF(E3141=0,0,INDEX('Планы менеджеров'!$B$5:$M$16,B3141,D3141)/INDEX(Мес_Раб,D3141))</f>
        <v/>
      </c>
    </row>
    <row r="3142">
      <c r="A3142" t="inlineStr">
        <is>
          <t>Лебедев</t>
        </is>
      </c>
      <c r="B3142" t="n">
        <v>13</v>
      </c>
      <c r="C3142" s="18">
        <f>'Календарь'!A171</f>
        <v/>
      </c>
      <c r="D3142">
        <f>MONTH(C3142)</f>
        <v/>
      </c>
      <c r="E3142">
        <f>'Календарь'!D171</f>
        <v/>
      </c>
      <c r="F3142">
        <f>INT((C3142-Нед_Начало)/7)+1</f>
        <v/>
      </c>
      <c r="G3142">
        <f>IF(E3142=0,0,INDEX('Планы менеджеров'!$B$5:$M$16,B3142,D3142)/INDEX(Мес_Раб,D3142))</f>
        <v/>
      </c>
    </row>
    <row r="3143">
      <c r="A3143" t="inlineStr">
        <is>
          <t>Лебедев</t>
        </is>
      </c>
      <c r="B3143" t="n">
        <v>13</v>
      </c>
      <c r="C3143" s="18">
        <f>'Календарь'!A172</f>
        <v/>
      </c>
      <c r="D3143">
        <f>MONTH(C3143)</f>
        <v/>
      </c>
      <c r="E3143">
        <f>'Календарь'!D172</f>
        <v/>
      </c>
      <c r="F3143">
        <f>INT((C3143-Нед_Начало)/7)+1</f>
        <v/>
      </c>
      <c r="G3143">
        <f>IF(E3143=0,0,INDEX('Планы менеджеров'!$B$5:$M$16,B3143,D3143)/INDEX(Мес_Раб,D3143))</f>
        <v/>
      </c>
    </row>
    <row r="3144">
      <c r="A3144" t="inlineStr">
        <is>
          <t>Лебедев</t>
        </is>
      </c>
      <c r="B3144" t="n">
        <v>13</v>
      </c>
      <c r="C3144" s="18">
        <f>'Календарь'!A173</f>
        <v/>
      </c>
      <c r="D3144">
        <f>MONTH(C3144)</f>
        <v/>
      </c>
      <c r="E3144">
        <f>'Календарь'!D173</f>
        <v/>
      </c>
      <c r="F3144">
        <f>INT((C3144-Нед_Начало)/7)+1</f>
        <v/>
      </c>
      <c r="G3144">
        <f>IF(E3144=0,0,INDEX('Планы менеджеров'!$B$5:$M$16,B3144,D3144)/INDEX(Мес_Раб,D3144))</f>
        <v/>
      </c>
    </row>
    <row r="3145">
      <c r="A3145" t="inlineStr">
        <is>
          <t>Лебедев</t>
        </is>
      </c>
      <c r="B3145" t="n">
        <v>13</v>
      </c>
      <c r="C3145" s="18">
        <f>'Календарь'!A174</f>
        <v/>
      </c>
      <c r="D3145">
        <f>MONTH(C3145)</f>
        <v/>
      </c>
      <c r="E3145">
        <f>'Календарь'!D174</f>
        <v/>
      </c>
      <c r="F3145">
        <f>INT((C3145-Нед_Начало)/7)+1</f>
        <v/>
      </c>
      <c r="G3145">
        <f>IF(E3145=0,0,INDEX('Планы менеджеров'!$B$5:$M$16,B3145,D3145)/INDEX(Мес_Раб,D3145))</f>
        <v/>
      </c>
    </row>
    <row r="3146">
      <c r="A3146" t="inlineStr">
        <is>
          <t>Лебедев</t>
        </is>
      </c>
      <c r="B3146" t="n">
        <v>13</v>
      </c>
      <c r="C3146" s="18">
        <f>'Календарь'!A175</f>
        <v/>
      </c>
      <c r="D3146">
        <f>MONTH(C3146)</f>
        <v/>
      </c>
      <c r="E3146">
        <f>'Календарь'!D175</f>
        <v/>
      </c>
      <c r="F3146">
        <f>INT((C3146-Нед_Начало)/7)+1</f>
        <v/>
      </c>
      <c r="G3146">
        <f>IF(E3146=0,0,INDEX('Планы менеджеров'!$B$5:$M$16,B3146,D3146)/INDEX(Мес_Раб,D3146))</f>
        <v/>
      </c>
    </row>
    <row r="3147">
      <c r="A3147" t="inlineStr">
        <is>
          <t>Лебедев</t>
        </is>
      </c>
      <c r="B3147" t="n">
        <v>13</v>
      </c>
      <c r="C3147" s="18">
        <f>'Календарь'!A176</f>
        <v/>
      </c>
      <c r="D3147">
        <f>MONTH(C3147)</f>
        <v/>
      </c>
      <c r="E3147">
        <f>'Календарь'!D176</f>
        <v/>
      </c>
      <c r="F3147">
        <f>INT((C3147-Нед_Начало)/7)+1</f>
        <v/>
      </c>
      <c r="G3147">
        <f>IF(E3147=0,0,INDEX('Планы менеджеров'!$B$5:$M$16,B3147,D3147)/INDEX(Мес_Раб,D3147))</f>
        <v/>
      </c>
    </row>
    <row r="3148">
      <c r="A3148" t="inlineStr">
        <is>
          <t>Лебедев</t>
        </is>
      </c>
      <c r="B3148" t="n">
        <v>13</v>
      </c>
      <c r="C3148" s="18">
        <f>'Календарь'!A177</f>
        <v/>
      </c>
      <c r="D3148">
        <f>MONTH(C3148)</f>
        <v/>
      </c>
      <c r="E3148">
        <f>'Календарь'!D177</f>
        <v/>
      </c>
      <c r="F3148">
        <f>INT((C3148-Нед_Начало)/7)+1</f>
        <v/>
      </c>
      <c r="G3148">
        <f>IF(E3148=0,0,INDEX('Планы менеджеров'!$B$5:$M$16,B3148,D3148)/INDEX(Мес_Раб,D3148))</f>
        <v/>
      </c>
    </row>
    <row r="3149">
      <c r="A3149" t="inlineStr">
        <is>
          <t>Лебедев</t>
        </is>
      </c>
      <c r="B3149" t="n">
        <v>13</v>
      </c>
      <c r="C3149" s="18">
        <f>'Календарь'!A178</f>
        <v/>
      </c>
      <c r="D3149">
        <f>MONTH(C3149)</f>
        <v/>
      </c>
      <c r="E3149">
        <f>'Календарь'!D178</f>
        <v/>
      </c>
      <c r="F3149">
        <f>INT((C3149-Нед_Начало)/7)+1</f>
        <v/>
      </c>
      <c r="G3149">
        <f>IF(E3149=0,0,INDEX('Планы менеджеров'!$B$5:$M$16,B3149,D3149)/INDEX(Мес_Раб,D3149))</f>
        <v/>
      </c>
    </row>
    <row r="3150">
      <c r="A3150" t="inlineStr">
        <is>
          <t>Лебедев</t>
        </is>
      </c>
      <c r="B3150" t="n">
        <v>13</v>
      </c>
      <c r="C3150" s="18">
        <f>'Календарь'!A179</f>
        <v/>
      </c>
      <c r="D3150">
        <f>MONTH(C3150)</f>
        <v/>
      </c>
      <c r="E3150">
        <f>'Календарь'!D179</f>
        <v/>
      </c>
      <c r="F3150">
        <f>INT((C3150-Нед_Начало)/7)+1</f>
        <v/>
      </c>
      <c r="G3150">
        <f>IF(E3150=0,0,INDEX('Планы менеджеров'!$B$5:$M$16,B3150,D3150)/INDEX(Мес_Раб,D3150))</f>
        <v/>
      </c>
    </row>
    <row r="3151">
      <c r="A3151" t="inlineStr">
        <is>
          <t>Лебедев</t>
        </is>
      </c>
      <c r="B3151" t="n">
        <v>13</v>
      </c>
      <c r="C3151" s="18">
        <f>'Календарь'!A180</f>
        <v/>
      </c>
      <c r="D3151">
        <f>MONTH(C3151)</f>
        <v/>
      </c>
      <c r="E3151">
        <f>'Календарь'!D180</f>
        <v/>
      </c>
      <c r="F3151">
        <f>INT((C3151-Нед_Начало)/7)+1</f>
        <v/>
      </c>
      <c r="G3151">
        <f>IF(E3151=0,0,INDEX('Планы менеджеров'!$B$5:$M$16,B3151,D3151)/INDEX(Мес_Раб,D3151))</f>
        <v/>
      </c>
    </row>
    <row r="3152">
      <c r="A3152" t="inlineStr">
        <is>
          <t>Лебедев</t>
        </is>
      </c>
      <c r="B3152" t="n">
        <v>13</v>
      </c>
      <c r="C3152" s="18">
        <f>'Календарь'!A181</f>
        <v/>
      </c>
      <c r="D3152">
        <f>MONTH(C3152)</f>
        <v/>
      </c>
      <c r="E3152">
        <f>'Календарь'!D181</f>
        <v/>
      </c>
      <c r="F3152">
        <f>INT((C3152-Нед_Начало)/7)+1</f>
        <v/>
      </c>
      <c r="G3152">
        <f>IF(E3152=0,0,INDEX('Планы менеджеров'!$B$5:$M$16,B3152,D3152)/INDEX(Мес_Раб,D3152))</f>
        <v/>
      </c>
    </row>
    <row r="3153">
      <c r="A3153" t="inlineStr">
        <is>
          <t>Лебедев</t>
        </is>
      </c>
      <c r="B3153" t="n">
        <v>13</v>
      </c>
      <c r="C3153" s="18">
        <f>'Календарь'!A182</f>
        <v/>
      </c>
      <c r="D3153">
        <f>MONTH(C3153)</f>
        <v/>
      </c>
      <c r="E3153">
        <f>'Календарь'!D182</f>
        <v/>
      </c>
      <c r="F3153">
        <f>INT((C3153-Нед_Начало)/7)+1</f>
        <v/>
      </c>
      <c r="G3153">
        <f>IF(E3153=0,0,INDEX('Планы менеджеров'!$B$5:$M$16,B3153,D3153)/INDEX(Мес_Раб,D3153))</f>
        <v/>
      </c>
    </row>
    <row r="3154">
      <c r="A3154" t="inlineStr">
        <is>
          <t>Лебедев</t>
        </is>
      </c>
      <c r="B3154" t="n">
        <v>13</v>
      </c>
      <c r="C3154" s="18">
        <f>'Календарь'!A183</f>
        <v/>
      </c>
      <c r="D3154">
        <f>MONTH(C3154)</f>
        <v/>
      </c>
      <c r="E3154">
        <f>'Календарь'!D183</f>
        <v/>
      </c>
      <c r="F3154">
        <f>INT((C3154-Нед_Начало)/7)+1</f>
        <v/>
      </c>
      <c r="G3154">
        <f>IF(E3154=0,0,INDEX('Планы менеджеров'!$B$5:$M$16,B3154,D3154)/INDEX(Мес_Раб,D3154))</f>
        <v/>
      </c>
    </row>
    <row r="3155">
      <c r="A3155" t="inlineStr">
        <is>
          <t>Лебедев</t>
        </is>
      </c>
      <c r="B3155" t="n">
        <v>13</v>
      </c>
      <c r="C3155" s="18">
        <f>'Календарь'!A184</f>
        <v/>
      </c>
      <c r="D3155">
        <f>MONTH(C3155)</f>
        <v/>
      </c>
      <c r="E3155">
        <f>'Календарь'!D184</f>
        <v/>
      </c>
      <c r="F3155">
        <f>INT((C3155-Нед_Начало)/7)+1</f>
        <v/>
      </c>
      <c r="G3155">
        <f>IF(E3155=0,0,INDEX('Планы менеджеров'!$B$5:$M$16,B3155,D3155)/INDEX(Мес_Раб,D3155))</f>
        <v/>
      </c>
    </row>
    <row r="3156">
      <c r="A3156" t="inlineStr">
        <is>
          <t>Лебедев</t>
        </is>
      </c>
      <c r="B3156" t="n">
        <v>13</v>
      </c>
      <c r="C3156" s="18">
        <f>'Календарь'!A185</f>
        <v/>
      </c>
      <c r="D3156">
        <f>MONTH(C3156)</f>
        <v/>
      </c>
      <c r="E3156">
        <f>'Календарь'!D185</f>
        <v/>
      </c>
      <c r="F3156">
        <f>INT((C3156-Нед_Начало)/7)+1</f>
        <v/>
      </c>
      <c r="G3156">
        <f>IF(E3156=0,0,INDEX('Планы менеджеров'!$B$5:$M$16,B3156,D3156)/INDEX(Мес_Раб,D3156))</f>
        <v/>
      </c>
    </row>
    <row r="3157">
      <c r="A3157" t="inlineStr">
        <is>
          <t>Лебедев</t>
        </is>
      </c>
      <c r="B3157" t="n">
        <v>13</v>
      </c>
      <c r="C3157" s="18">
        <f>'Календарь'!A186</f>
        <v/>
      </c>
      <c r="D3157">
        <f>MONTH(C3157)</f>
        <v/>
      </c>
      <c r="E3157">
        <f>'Календарь'!D186</f>
        <v/>
      </c>
      <c r="F3157">
        <f>INT((C3157-Нед_Начало)/7)+1</f>
        <v/>
      </c>
      <c r="G3157">
        <f>IF(E3157=0,0,INDEX('Планы менеджеров'!$B$5:$M$16,B3157,D3157)/INDEX(Мес_Раб,D3157))</f>
        <v/>
      </c>
    </row>
    <row r="3158">
      <c r="A3158" t="inlineStr">
        <is>
          <t>Лебедев</t>
        </is>
      </c>
      <c r="B3158" t="n">
        <v>13</v>
      </c>
      <c r="C3158" s="18">
        <f>'Календарь'!A187</f>
        <v/>
      </c>
      <c r="D3158">
        <f>MONTH(C3158)</f>
        <v/>
      </c>
      <c r="E3158">
        <f>'Календарь'!D187</f>
        <v/>
      </c>
      <c r="F3158">
        <f>INT((C3158-Нед_Начало)/7)+1</f>
        <v/>
      </c>
      <c r="G3158">
        <f>IF(E3158=0,0,INDEX('Планы менеджеров'!$B$5:$M$16,B3158,D3158)/INDEX(Мес_Раб,D3158))</f>
        <v/>
      </c>
    </row>
    <row r="3159">
      <c r="A3159" t="inlineStr">
        <is>
          <t>Лебедев</t>
        </is>
      </c>
      <c r="B3159" t="n">
        <v>13</v>
      </c>
      <c r="C3159" s="18">
        <f>'Календарь'!A188</f>
        <v/>
      </c>
      <c r="D3159">
        <f>MONTH(C3159)</f>
        <v/>
      </c>
      <c r="E3159">
        <f>'Календарь'!D188</f>
        <v/>
      </c>
      <c r="F3159">
        <f>INT((C3159-Нед_Начало)/7)+1</f>
        <v/>
      </c>
      <c r="G3159">
        <f>IF(E3159=0,0,INDEX('Планы менеджеров'!$B$5:$M$16,B3159,D3159)/INDEX(Мес_Раб,D3159))</f>
        <v/>
      </c>
    </row>
    <row r="3160">
      <c r="A3160" t="inlineStr">
        <is>
          <t>Лебедев</t>
        </is>
      </c>
      <c r="B3160" t="n">
        <v>13</v>
      </c>
      <c r="C3160" s="18">
        <f>'Календарь'!A189</f>
        <v/>
      </c>
      <c r="D3160">
        <f>MONTH(C3160)</f>
        <v/>
      </c>
      <c r="E3160">
        <f>'Календарь'!D189</f>
        <v/>
      </c>
      <c r="F3160">
        <f>INT((C3160-Нед_Начало)/7)+1</f>
        <v/>
      </c>
      <c r="G3160">
        <f>IF(E3160=0,0,INDEX('Планы менеджеров'!$B$5:$M$16,B3160,D3160)/INDEX(Мес_Раб,D3160))</f>
        <v/>
      </c>
    </row>
    <row r="3161">
      <c r="A3161" t="inlineStr">
        <is>
          <t>Лебедев</t>
        </is>
      </c>
      <c r="B3161" t="n">
        <v>13</v>
      </c>
      <c r="C3161" s="18">
        <f>'Календарь'!A190</f>
        <v/>
      </c>
      <c r="D3161">
        <f>MONTH(C3161)</f>
        <v/>
      </c>
      <c r="E3161">
        <f>'Календарь'!D190</f>
        <v/>
      </c>
      <c r="F3161">
        <f>INT((C3161-Нед_Начало)/7)+1</f>
        <v/>
      </c>
      <c r="G3161">
        <f>IF(E3161=0,0,INDEX('Планы менеджеров'!$B$5:$M$16,B3161,D3161)/INDEX(Мес_Раб,D3161))</f>
        <v/>
      </c>
    </row>
    <row r="3162">
      <c r="A3162" t="inlineStr">
        <is>
          <t>Лебедев</t>
        </is>
      </c>
      <c r="B3162" t="n">
        <v>13</v>
      </c>
      <c r="C3162" s="18">
        <f>'Календарь'!A191</f>
        <v/>
      </c>
      <c r="D3162">
        <f>MONTH(C3162)</f>
        <v/>
      </c>
      <c r="E3162">
        <f>'Календарь'!D191</f>
        <v/>
      </c>
      <c r="F3162">
        <f>INT((C3162-Нед_Начало)/7)+1</f>
        <v/>
      </c>
      <c r="G3162">
        <f>IF(E3162=0,0,INDEX('Планы менеджеров'!$B$5:$M$16,B3162,D3162)/INDEX(Мес_Раб,D3162))</f>
        <v/>
      </c>
    </row>
    <row r="3163">
      <c r="A3163" t="inlineStr">
        <is>
          <t>Лебедев</t>
        </is>
      </c>
      <c r="B3163" t="n">
        <v>13</v>
      </c>
      <c r="C3163" s="18">
        <f>'Календарь'!A192</f>
        <v/>
      </c>
      <c r="D3163">
        <f>MONTH(C3163)</f>
        <v/>
      </c>
      <c r="E3163">
        <f>'Календарь'!D192</f>
        <v/>
      </c>
      <c r="F3163">
        <f>INT((C3163-Нед_Начало)/7)+1</f>
        <v/>
      </c>
      <c r="G3163">
        <f>IF(E3163=0,0,INDEX('Планы менеджеров'!$B$5:$M$16,B3163,D3163)/INDEX(Мес_Раб,D3163))</f>
        <v/>
      </c>
    </row>
    <row r="3164">
      <c r="A3164" t="inlineStr">
        <is>
          <t>Лебедев</t>
        </is>
      </c>
      <c r="B3164" t="n">
        <v>13</v>
      </c>
      <c r="C3164" s="18">
        <f>'Календарь'!A193</f>
        <v/>
      </c>
      <c r="D3164">
        <f>MONTH(C3164)</f>
        <v/>
      </c>
      <c r="E3164">
        <f>'Календарь'!D193</f>
        <v/>
      </c>
      <c r="F3164">
        <f>INT((C3164-Нед_Начало)/7)+1</f>
        <v/>
      </c>
      <c r="G3164">
        <f>IF(E3164=0,0,INDEX('Планы менеджеров'!$B$5:$M$16,B3164,D3164)/INDEX(Мес_Раб,D3164))</f>
        <v/>
      </c>
    </row>
    <row r="3165">
      <c r="A3165" t="inlineStr">
        <is>
          <t>Лебедев</t>
        </is>
      </c>
      <c r="B3165" t="n">
        <v>13</v>
      </c>
      <c r="C3165" s="18">
        <f>'Календарь'!A194</f>
        <v/>
      </c>
      <c r="D3165">
        <f>MONTH(C3165)</f>
        <v/>
      </c>
      <c r="E3165">
        <f>'Календарь'!D194</f>
        <v/>
      </c>
      <c r="F3165">
        <f>INT((C3165-Нед_Начало)/7)+1</f>
        <v/>
      </c>
      <c r="G3165">
        <f>IF(E3165=0,0,INDEX('Планы менеджеров'!$B$5:$M$16,B3165,D3165)/INDEX(Мес_Раб,D3165))</f>
        <v/>
      </c>
    </row>
    <row r="3166">
      <c r="A3166" t="inlineStr">
        <is>
          <t>Лебедев</t>
        </is>
      </c>
      <c r="B3166" t="n">
        <v>13</v>
      </c>
      <c r="C3166" s="18">
        <f>'Календарь'!A195</f>
        <v/>
      </c>
      <c r="D3166">
        <f>MONTH(C3166)</f>
        <v/>
      </c>
      <c r="E3166">
        <f>'Календарь'!D195</f>
        <v/>
      </c>
      <c r="F3166">
        <f>INT((C3166-Нед_Начало)/7)+1</f>
        <v/>
      </c>
      <c r="G3166">
        <f>IF(E3166=0,0,INDEX('Планы менеджеров'!$B$5:$M$16,B3166,D3166)/INDEX(Мес_Раб,D3166))</f>
        <v/>
      </c>
    </row>
    <row r="3167">
      <c r="A3167" t="inlineStr">
        <is>
          <t>Лебедев</t>
        </is>
      </c>
      <c r="B3167" t="n">
        <v>13</v>
      </c>
      <c r="C3167" s="18">
        <f>'Календарь'!A196</f>
        <v/>
      </c>
      <c r="D3167">
        <f>MONTH(C3167)</f>
        <v/>
      </c>
      <c r="E3167">
        <f>'Календарь'!D196</f>
        <v/>
      </c>
      <c r="F3167">
        <f>INT((C3167-Нед_Начало)/7)+1</f>
        <v/>
      </c>
      <c r="G3167">
        <f>IF(E3167=0,0,INDEX('Планы менеджеров'!$B$5:$M$16,B3167,D3167)/INDEX(Мес_Раб,D3167))</f>
        <v/>
      </c>
    </row>
    <row r="3168">
      <c r="A3168" t="inlineStr">
        <is>
          <t>Лебедев</t>
        </is>
      </c>
      <c r="B3168" t="n">
        <v>13</v>
      </c>
      <c r="C3168" s="18">
        <f>'Календарь'!A197</f>
        <v/>
      </c>
      <c r="D3168">
        <f>MONTH(C3168)</f>
        <v/>
      </c>
      <c r="E3168">
        <f>'Календарь'!D197</f>
        <v/>
      </c>
      <c r="F3168">
        <f>INT((C3168-Нед_Начало)/7)+1</f>
        <v/>
      </c>
      <c r="G3168">
        <f>IF(E3168=0,0,INDEX('Планы менеджеров'!$B$5:$M$16,B3168,D3168)/INDEX(Мес_Раб,D3168))</f>
        <v/>
      </c>
    </row>
    <row r="3169">
      <c r="A3169" t="inlineStr">
        <is>
          <t>Лебедев</t>
        </is>
      </c>
      <c r="B3169" t="n">
        <v>13</v>
      </c>
      <c r="C3169" s="18">
        <f>'Календарь'!A198</f>
        <v/>
      </c>
      <c r="D3169">
        <f>MONTH(C3169)</f>
        <v/>
      </c>
      <c r="E3169">
        <f>'Календарь'!D198</f>
        <v/>
      </c>
      <c r="F3169">
        <f>INT((C3169-Нед_Начало)/7)+1</f>
        <v/>
      </c>
      <c r="G3169">
        <f>IF(E3169=0,0,INDEX('Планы менеджеров'!$B$5:$M$16,B3169,D3169)/INDEX(Мес_Раб,D3169))</f>
        <v/>
      </c>
    </row>
    <row r="3170">
      <c r="A3170" t="inlineStr">
        <is>
          <t>Лебедев</t>
        </is>
      </c>
      <c r="B3170" t="n">
        <v>13</v>
      </c>
      <c r="C3170" s="18">
        <f>'Календарь'!A199</f>
        <v/>
      </c>
      <c r="D3170">
        <f>MONTH(C3170)</f>
        <v/>
      </c>
      <c r="E3170">
        <f>'Календарь'!D199</f>
        <v/>
      </c>
      <c r="F3170">
        <f>INT((C3170-Нед_Начало)/7)+1</f>
        <v/>
      </c>
      <c r="G3170">
        <f>IF(E3170=0,0,INDEX('Планы менеджеров'!$B$5:$M$16,B3170,D3170)/INDEX(Мес_Раб,D3170))</f>
        <v/>
      </c>
    </row>
    <row r="3171">
      <c r="A3171" t="inlineStr">
        <is>
          <t>Лебедев</t>
        </is>
      </c>
      <c r="B3171" t="n">
        <v>13</v>
      </c>
      <c r="C3171" s="18">
        <f>'Календарь'!A200</f>
        <v/>
      </c>
      <c r="D3171">
        <f>MONTH(C3171)</f>
        <v/>
      </c>
      <c r="E3171">
        <f>'Календарь'!D200</f>
        <v/>
      </c>
      <c r="F3171">
        <f>INT((C3171-Нед_Начало)/7)+1</f>
        <v/>
      </c>
      <c r="G3171">
        <f>IF(E3171=0,0,INDEX('Планы менеджеров'!$B$5:$M$16,B3171,D3171)/INDEX(Мес_Раб,D3171))</f>
        <v/>
      </c>
    </row>
    <row r="3172">
      <c r="A3172" t="inlineStr">
        <is>
          <t>Лебедев</t>
        </is>
      </c>
      <c r="B3172" t="n">
        <v>13</v>
      </c>
      <c r="C3172" s="18">
        <f>'Календарь'!A201</f>
        <v/>
      </c>
      <c r="D3172">
        <f>MONTH(C3172)</f>
        <v/>
      </c>
      <c r="E3172">
        <f>'Календарь'!D201</f>
        <v/>
      </c>
      <c r="F3172">
        <f>INT((C3172-Нед_Начало)/7)+1</f>
        <v/>
      </c>
      <c r="G3172">
        <f>IF(E3172=0,0,INDEX('Планы менеджеров'!$B$5:$M$16,B3172,D3172)/INDEX(Мес_Раб,D3172))</f>
        <v/>
      </c>
    </row>
    <row r="3173">
      <c r="A3173" t="inlineStr">
        <is>
          <t>Лебедев</t>
        </is>
      </c>
      <c r="B3173" t="n">
        <v>13</v>
      </c>
      <c r="C3173" s="18">
        <f>'Календарь'!A202</f>
        <v/>
      </c>
      <c r="D3173">
        <f>MONTH(C3173)</f>
        <v/>
      </c>
      <c r="E3173">
        <f>'Календарь'!D202</f>
        <v/>
      </c>
      <c r="F3173">
        <f>INT((C3173-Нед_Начало)/7)+1</f>
        <v/>
      </c>
      <c r="G3173">
        <f>IF(E3173=0,0,INDEX('Планы менеджеров'!$B$5:$M$16,B3173,D3173)/INDEX(Мес_Раб,D3173))</f>
        <v/>
      </c>
    </row>
    <row r="3174">
      <c r="A3174" t="inlineStr">
        <is>
          <t>Лебедев</t>
        </is>
      </c>
      <c r="B3174" t="n">
        <v>13</v>
      </c>
      <c r="C3174" s="18">
        <f>'Календарь'!A203</f>
        <v/>
      </c>
      <c r="D3174">
        <f>MONTH(C3174)</f>
        <v/>
      </c>
      <c r="E3174">
        <f>'Календарь'!D203</f>
        <v/>
      </c>
      <c r="F3174">
        <f>INT((C3174-Нед_Начало)/7)+1</f>
        <v/>
      </c>
      <c r="G3174">
        <f>IF(E3174=0,0,INDEX('Планы менеджеров'!$B$5:$M$16,B3174,D3174)/INDEX(Мес_Раб,D3174))</f>
        <v/>
      </c>
    </row>
    <row r="3175">
      <c r="A3175" t="inlineStr">
        <is>
          <t>Лебедев</t>
        </is>
      </c>
      <c r="B3175" t="n">
        <v>13</v>
      </c>
      <c r="C3175" s="18">
        <f>'Календарь'!A204</f>
        <v/>
      </c>
      <c r="D3175">
        <f>MONTH(C3175)</f>
        <v/>
      </c>
      <c r="E3175">
        <f>'Календарь'!D204</f>
        <v/>
      </c>
      <c r="F3175">
        <f>INT((C3175-Нед_Начало)/7)+1</f>
        <v/>
      </c>
      <c r="G3175">
        <f>IF(E3175=0,0,INDEX('Планы менеджеров'!$B$5:$M$16,B3175,D3175)/INDEX(Мес_Раб,D3175))</f>
        <v/>
      </c>
    </row>
    <row r="3176">
      <c r="A3176" t="inlineStr">
        <is>
          <t>Лебедев</t>
        </is>
      </c>
      <c r="B3176" t="n">
        <v>13</v>
      </c>
      <c r="C3176" s="18">
        <f>'Календарь'!A205</f>
        <v/>
      </c>
      <c r="D3176">
        <f>MONTH(C3176)</f>
        <v/>
      </c>
      <c r="E3176">
        <f>'Календарь'!D205</f>
        <v/>
      </c>
      <c r="F3176">
        <f>INT((C3176-Нед_Начало)/7)+1</f>
        <v/>
      </c>
      <c r="G3176">
        <f>IF(E3176=0,0,INDEX('Планы менеджеров'!$B$5:$M$16,B3176,D3176)/INDEX(Мес_Раб,D3176))</f>
        <v/>
      </c>
    </row>
    <row r="3177">
      <c r="A3177" t="inlineStr">
        <is>
          <t>Лебедев</t>
        </is>
      </c>
      <c r="B3177" t="n">
        <v>13</v>
      </c>
      <c r="C3177" s="18">
        <f>'Календарь'!A206</f>
        <v/>
      </c>
      <c r="D3177">
        <f>MONTH(C3177)</f>
        <v/>
      </c>
      <c r="E3177">
        <f>'Календарь'!D206</f>
        <v/>
      </c>
      <c r="F3177">
        <f>INT((C3177-Нед_Начало)/7)+1</f>
        <v/>
      </c>
      <c r="G3177">
        <f>IF(E3177=0,0,INDEX('Планы менеджеров'!$B$5:$M$16,B3177,D3177)/INDEX(Мес_Раб,D3177))</f>
        <v/>
      </c>
    </row>
    <row r="3178">
      <c r="A3178" t="inlineStr">
        <is>
          <t>Лебедев</t>
        </is>
      </c>
      <c r="B3178" t="n">
        <v>13</v>
      </c>
      <c r="C3178" s="18">
        <f>'Календарь'!A207</f>
        <v/>
      </c>
      <c r="D3178">
        <f>MONTH(C3178)</f>
        <v/>
      </c>
      <c r="E3178">
        <f>'Календарь'!D207</f>
        <v/>
      </c>
      <c r="F3178">
        <f>INT((C3178-Нед_Начало)/7)+1</f>
        <v/>
      </c>
      <c r="G3178">
        <f>IF(E3178=0,0,INDEX('Планы менеджеров'!$B$5:$M$16,B3178,D3178)/INDEX(Мес_Раб,D3178))</f>
        <v/>
      </c>
    </row>
    <row r="3179">
      <c r="A3179" t="inlineStr">
        <is>
          <t>Лебедев</t>
        </is>
      </c>
      <c r="B3179" t="n">
        <v>13</v>
      </c>
      <c r="C3179" s="18">
        <f>'Календарь'!A208</f>
        <v/>
      </c>
      <c r="D3179">
        <f>MONTH(C3179)</f>
        <v/>
      </c>
      <c r="E3179">
        <f>'Календарь'!D208</f>
        <v/>
      </c>
      <c r="F3179">
        <f>INT((C3179-Нед_Начало)/7)+1</f>
        <v/>
      </c>
      <c r="G3179">
        <f>IF(E3179=0,0,INDEX('Планы менеджеров'!$B$5:$M$16,B3179,D3179)/INDEX(Мес_Раб,D3179))</f>
        <v/>
      </c>
    </row>
    <row r="3180">
      <c r="A3180" t="inlineStr">
        <is>
          <t>Лебедев</t>
        </is>
      </c>
      <c r="B3180" t="n">
        <v>13</v>
      </c>
      <c r="C3180" s="18">
        <f>'Календарь'!A209</f>
        <v/>
      </c>
      <c r="D3180">
        <f>MONTH(C3180)</f>
        <v/>
      </c>
      <c r="E3180">
        <f>'Календарь'!D209</f>
        <v/>
      </c>
      <c r="F3180">
        <f>INT((C3180-Нед_Начало)/7)+1</f>
        <v/>
      </c>
      <c r="G3180">
        <f>IF(E3180=0,0,INDEX('Планы менеджеров'!$B$5:$M$16,B3180,D3180)/INDEX(Мес_Раб,D3180))</f>
        <v/>
      </c>
    </row>
    <row r="3181">
      <c r="A3181" t="inlineStr">
        <is>
          <t>Лебедев</t>
        </is>
      </c>
      <c r="B3181" t="n">
        <v>13</v>
      </c>
      <c r="C3181" s="18">
        <f>'Календарь'!A210</f>
        <v/>
      </c>
      <c r="D3181">
        <f>MONTH(C3181)</f>
        <v/>
      </c>
      <c r="E3181">
        <f>'Календарь'!D210</f>
        <v/>
      </c>
      <c r="F3181">
        <f>INT((C3181-Нед_Начало)/7)+1</f>
        <v/>
      </c>
      <c r="G3181">
        <f>IF(E3181=0,0,INDEX('Планы менеджеров'!$B$5:$M$16,B3181,D3181)/INDEX(Мес_Раб,D3181))</f>
        <v/>
      </c>
    </row>
    <row r="3182">
      <c r="A3182" t="inlineStr">
        <is>
          <t>Лебедев</t>
        </is>
      </c>
      <c r="B3182" t="n">
        <v>13</v>
      </c>
      <c r="C3182" s="18">
        <f>'Календарь'!A211</f>
        <v/>
      </c>
      <c r="D3182">
        <f>MONTH(C3182)</f>
        <v/>
      </c>
      <c r="E3182">
        <f>'Календарь'!D211</f>
        <v/>
      </c>
      <c r="F3182">
        <f>INT((C3182-Нед_Начало)/7)+1</f>
        <v/>
      </c>
      <c r="G3182">
        <f>IF(E3182=0,0,INDEX('Планы менеджеров'!$B$5:$M$16,B3182,D3182)/INDEX(Мес_Раб,D3182))</f>
        <v/>
      </c>
    </row>
    <row r="3183">
      <c r="A3183" t="inlineStr">
        <is>
          <t>Лебедев</t>
        </is>
      </c>
      <c r="B3183" t="n">
        <v>13</v>
      </c>
      <c r="C3183" s="18">
        <f>'Календарь'!A212</f>
        <v/>
      </c>
      <c r="D3183">
        <f>MONTH(C3183)</f>
        <v/>
      </c>
      <c r="E3183">
        <f>'Календарь'!D212</f>
        <v/>
      </c>
      <c r="F3183">
        <f>INT((C3183-Нед_Начало)/7)+1</f>
        <v/>
      </c>
      <c r="G3183">
        <f>IF(E3183=0,0,INDEX('Планы менеджеров'!$B$5:$M$16,B3183,D3183)/INDEX(Мес_Раб,D3183))</f>
        <v/>
      </c>
    </row>
    <row r="3184">
      <c r="A3184" t="inlineStr">
        <is>
          <t>Лебедев</t>
        </is>
      </c>
      <c r="B3184" t="n">
        <v>13</v>
      </c>
      <c r="C3184" s="18">
        <f>'Календарь'!A213</f>
        <v/>
      </c>
      <c r="D3184">
        <f>MONTH(C3184)</f>
        <v/>
      </c>
      <c r="E3184">
        <f>'Календарь'!D213</f>
        <v/>
      </c>
      <c r="F3184">
        <f>INT((C3184-Нед_Начало)/7)+1</f>
        <v/>
      </c>
      <c r="G3184">
        <f>IF(E3184=0,0,INDEX('Планы менеджеров'!$B$5:$M$16,B3184,D3184)/INDEX(Мес_Раб,D3184))</f>
        <v/>
      </c>
    </row>
    <row r="3185">
      <c r="A3185" t="inlineStr">
        <is>
          <t>Лебедев</t>
        </is>
      </c>
      <c r="B3185" t="n">
        <v>13</v>
      </c>
      <c r="C3185" s="18">
        <f>'Календарь'!A214</f>
        <v/>
      </c>
      <c r="D3185">
        <f>MONTH(C3185)</f>
        <v/>
      </c>
      <c r="E3185">
        <f>'Календарь'!D214</f>
        <v/>
      </c>
      <c r="F3185">
        <f>INT((C3185-Нед_Начало)/7)+1</f>
        <v/>
      </c>
      <c r="G3185">
        <f>IF(E3185=0,0,INDEX('Планы менеджеров'!$B$5:$M$16,B3185,D3185)/INDEX(Мес_Раб,D3185))</f>
        <v/>
      </c>
    </row>
    <row r="3186">
      <c r="A3186" t="inlineStr">
        <is>
          <t>Лебедев</t>
        </is>
      </c>
      <c r="B3186" t="n">
        <v>13</v>
      </c>
      <c r="C3186" s="18">
        <f>'Календарь'!A215</f>
        <v/>
      </c>
      <c r="D3186">
        <f>MONTH(C3186)</f>
        <v/>
      </c>
      <c r="E3186">
        <f>'Календарь'!D215</f>
        <v/>
      </c>
      <c r="F3186">
        <f>INT((C3186-Нед_Начало)/7)+1</f>
        <v/>
      </c>
      <c r="G3186">
        <f>IF(E3186=0,0,INDEX('Планы менеджеров'!$B$5:$M$16,B3186,D3186)/INDEX(Мес_Раб,D3186))</f>
        <v/>
      </c>
    </row>
    <row r="3187">
      <c r="A3187" t="inlineStr">
        <is>
          <t>Лебедев</t>
        </is>
      </c>
      <c r="B3187" t="n">
        <v>13</v>
      </c>
      <c r="C3187" s="18">
        <f>'Календарь'!A216</f>
        <v/>
      </c>
      <c r="D3187">
        <f>MONTH(C3187)</f>
        <v/>
      </c>
      <c r="E3187">
        <f>'Календарь'!D216</f>
        <v/>
      </c>
      <c r="F3187">
        <f>INT((C3187-Нед_Начало)/7)+1</f>
        <v/>
      </c>
      <c r="G3187">
        <f>IF(E3187=0,0,INDEX('Планы менеджеров'!$B$5:$M$16,B3187,D3187)/INDEX(Мес_Раб,D3187))</f>
        <v/>
      </c>
    </row>
    <row r="3188">
      <c r="A3188" t="inlineStr">
        <is>
          <t>Лебедев</t>
        </is>
      </c>
      <c r="B3188" t="n">
        <v>13</v>
      </c>
      <c r="C3188" s="18">
        <f>'Календарь'!A217</f>
        <v/>
      </c>
      <c r="D3188">
        <f>MONTH(C3188)</f>
        <v/>
      </c>
      <c r="E3188">
        <f>'Календарь'!D217</f>
        <v/>
      </c>
      <c r="F3188">
        <f>INT((C3188-Нед_Начало)/7)+1</f>
        <v/>
      </c>
      <c r="G3188">
        <f>IF(E3188=0,0,INDEX('Планы менеджеров'!$B$5:$M$16,B3188,D3188)/INDEX(Мес_Раб,D3188))</f>
        <v/>
      </c>
    </row>
    <row r="3189">
      <c r="A3189" t="inlineStr">
        <is>
          <t>Лебедев</t>
        </is>
      </c>
      <c r="B3189" t="n">
        <v>13</v>
      </c>
      <c r="C3189" s="18">
        <f>'Календарь'!A218</f>
        <v/>
      </c>
      <c r="D3189">
        <f>MONTH(C3189)</f>
        <v/>
      </c>
      <c r="E3189">
        <f>'Календарь'!D218</f>
        <v/>
      </c>
      <c r="F3189">
        <f>INT((C3189-Нед_Начало)/7)+1</f>
        <v/>
      </c>
      <c r="G3189">
        <f>IF(E3189=0,0,INDEX('Планы менеджеров'!$B$5:$M$16,B3189,D3189)/INDEX(Мес_Раб,D3189))</f>
        <v/>
      </c>
    </row>
    <row r="3190">
      <c r="A3190" t="inlineStr">
        <is>
          <t>Лебедев</t>
        </is>
      </c>
      <c r="B3190" t="n">
        <v>13</v>
      </c>
      <c r="C3190" s="18">
        <f>'Календарь'!A219</f>
        <v/>
      </c>
      <c r="D3190">
        <f>MONTH(C3190)</f>
        <v/>
      </c>
      <c r="E3190">
        <f>'Календарь'!D219</f>
        <v/>
      </c>
      <c r="F3190">
        <f>INT((C3190-Нед_Начало)/7)+1</f>
        <v/>
      </c>
      <c r="G3190">
        <f>IF(E3190=0,0,INDEX('Планы менеджеров'!$B$5:$M$16,B3190,D3190)/INDEX(Мес_Раб,D3190))</f>
        <v/>
      </c>
    </row>
    <row r="3191">
      <c r="A3191" t="inlineStr">
        <is>
          <t>Лебедев</t>
        </is>
      </c>
      <c r="B3191" t="n">
        <v>13</v>
      </c>
      <c r="C3191" s="18">
        <f>'Календарь'!A220</f>
        <v/>
      </c>
      <c r="D3191">
        <f>MONTH(C3191)</f>
        <v/>
      </c>
      <c r="E3191">
        <f>'Календарь'!D220</f>
        <v/>
      </c>
      <c r="F3191">
        <f>INT((C3191-Нед_Начало)/7)+1</f>
        <v/>
      </c>
      <c r="G3191">
        <f>IF(E3191=0,0,INDEX('Планы менеджеров'!$B$5:$M$16,B3191,D3191)/INDEX(Мес_Раб,D3191))</f>
        <v/>
      </c>
    </row>
    <row r="3192">
      <c r="A3192" t="inlineStr">
        <is>
          <t>Лебедев</t>
        </is>
      </c>
      <c r="B3192" t="n">
        <v>13</v>
      </c>
      <c r="C3192" s="18">
        <f>'Календарь'!A221</f>
        <v/>
      </c>
      <c r="D3192">
        <f>MONTH(C3192)</f>
        <v/>
      </c>
      <c r="E3192">
        <f>'Календарь'!D221</f>
        <v/>
      </c>
      <c r="F3192">
        <f>INT((C3192-Нед_Начало)/7)+1</f>
        <v/>
      </c>
      <c r="G3192">
        <f>IF(E3192=0,0,INDEX('Планы менеджеров'!$B$5:$M$16,B3192,D3192)/INDEX(Мес_Раб,D3192))</f>
        <v/>
      </c>
    </row>
    <row r="3193">
      <c r="A3193" t="inlineStr">
        <is>
          <t>Лебедев</t>
        </is>
      </c>
      <c r="B3193" t="n">
        <v>13</v>
      </c>
      <c r="C3193" s="18">
        <f>'Календарь'!A222</f>
        <v/>
      </c>
      <c r="D3193">
        <f>MONTH(C3193)</f>
        <v/>
      </c>
      <c r="E3193">
        <f>'Календарь'!D222</f>
        <v/>
      </c>
      <c r="F3193">
        <f>INT((C3193-Нед_Начало)/7)+1</f>
        <v/>
      </c>
      <c r="G3193">
        <f>IF(E3193=0,0,INDEX('Планы менеджеров'!$B$5:$M$16,B3193,D3193)/INDEX(Мес_Раб,D3193))</f>
        <v/>
      </c>
    </row>
    <row r="3194">
      <c r="A3194" t="inlineStr">
        <is>
          <t>Лебедев</t>
        </is>
      </c>
      <c r="B3194" t="n">
        <v>13</v>
      </c>
      <c r="C3194" s="18">
        <f>'Календарь'!A223</f>
        <v/>
      </c>
      <c r="D3194">
        <f>MONTH(C3194)</f>
        <v/>
      </c>
      <c r="E3194">
        <f>'Календарь'!D223</f>
        <v/>
      </c>
      <c r="F3194">
        <f>INT((C3194-Нед_Начало)/7)+1</f>
        <v/>
      </c>
      <c r="G3194">
        <f>IF(E3194=0,0,INDEX('Планы менеджеров'!$B$5:$M$16,B3194,D3194)/INDEX(Мес_Раб,D3194))</f>
        <v/>
      </c>
    </row>
    <row r="3195">
      <c r="A3195" t="inlineStr">
        <is>
          <t>Лебедев</t>
        </is>
      </c>
      <c r="B3195" t="n">
        <v>13</v>
      </c>
      <c r="C3195" s="18">
        <f>'Календарь'!A224</f>
        <v/>
      </c>
      <c r="D3195">
        <f>MONTH(C3195)</f>
        <v/>
      </c>
      <c r="E3195">
        <f>'Календарь'!D224</f>
        <v/>
      </c>
      <c r="F3195">
        <f>INT((C3195-Нед_Начало)/7)+1</f>
        <v/>
      </c>
      <c r="G3195">
        <f>IF(E3195=0,0,INDEX('Планы менеджеров'!$B$5:$M$16,B3195,D3195)/INDEX(Мес_Раб,D3195))</f>
        <v/>
      </c>
    </row>
    <row r="3196">
      <c r="A3196" t="inlineStr">
        <is>
          <t>Лебедев</t>
        </is>
      </c>
      <c r="B3196" t="n">
        <v>13</v>
      </c>
      <c r="C3196" s="18">
        <f>'Календарь'!A225</f>
        <v/>
      </c>
      <c r="D3196">
        <f>MONTH(C3196)</f>
        <v/>
      </c>
      <c r="E3196">
        <f>'Календарь'!D225</f>
        <v/>
      </c>
      <c r="F3196">
        <f>INT((C3196-Нед_Начало)/7)+1</f>
        <v/>
      </c>
      <c r="G3196">
        <f>IF(E3196=0,0,INDEX('Планы менеджеров'!$B$5:$M$16,B3196,D3196)/INDEX(Мес_Раб,D3196))</f>
        <v/>
      </c>
    </row>
    <row r="3197">
      <c r="A3197" t="inlineStr">
        <is>
          <t>Лебедев</t>
        </is>
      </c>
      <c r="B3197" t="n">
        <v>13</v>
      </c>
      <c r="C3197" s="18">
        <f>'Календарь'!A226</f>
        <v/>
      </c>
      <c r="D3197">
        <f>MONTH(C3197)</f>
        <v/>
      </c>
      <c r="E3197">
        <f>'Календарь'!D226</f>
        <v/>
      </c>
      <c r="F3197">
        <f>INT((C3197-Нед_Начало)/7)+1</f>
        <v/>
      </c>
      <c r="G3197">
        <f>IF(E3197=0,0,INDEX('Планы менеджеров'!$B$5:$M$16,B3197,D3197)/INDEX(Мес_Раб,D3197))</f>
        <v/>
      </c>
    </row>
    <row r="3198">
      <c r="A3198" t="inlineStr">
        <is>
          <t>Лебедев</t>
        </is>
      </c>
      <c r="B3198" t="n">
        <v>13</v>
      </c>
      <c r="C3198" s="18">
        <f>'Календарь'!A227</f>
        <v/>
      </c>
      <c r="D3198">
        <f>MONTH(C3198)</f>
        <v/>
      </c>
      <c r="E3198">
        <f>'Календарь'!D227</f>
        <v/>
      </c>
      <c r="F3198">
        <f>INT((C3198-Нед_Начало)/7)+1</f>
        <v/>
      </c>
      <c r="G3198">
        <f>IF(E3198=0,0,INDEX('Планы менеджеров'!$B$5:$M$16,B3198,D3198)/INDEX(Мес_Раб,D3198))</f>
        <v/>
      </c>
    </row>
    <row r="3199">
      <c r="A3199" t="inlineStr">
        <is>
          <t>Лебедев</t>
        </is>
      </c>
      <c r="B3199" t="n">
        <v>13</v>
      </c>
      <c r="C3199" s="18">
        <f>'Календарь'!A228</f>
        <v/>
      </c>
      <c r="D3199">
        <f>MONTH(C3199)</f>
        <v/>
      </c>
      <c r="E3199">
        <f>'Календарь'!D228</f>
        <v/>
      </c>
      <c r="F3199">
        <f>INT((C3199-Нед_Начало)/7)+1</f>
        <v/>
      </c>
      <c r="G3199">
        <f>IF(E3199=0,0,INDEX('Планы менеджеров'!$B$5:$M$16,B3199,D3199)/INDEX(Мес_Раб,D3199))</f>
        <v/>
      </c>
    </row>
    <row r="3200">
      <c r="A3200" t="inlineStr">
        <is>
          <t>Лебедев</t>
        </is>
      </c>
      <c r="B3200" t="n">
        <v>13</v>
      </c>
      <c r="C3200" s="18">
        <f>'Календарь'!A229</f>
        <v/>
      </c>
      <c r="D3200">
        <f>MONTH(C3200)</f>
        <v/>
      </c>
      <c r="E3200">
        <f>'Календарь'!D229</f>
        <v/>
      </c>
      <c r="F3200">
        <f>INT((C3200-Нед_Начало)/7)+1</f>
        <v/>
      </c>
      <c r="G3200">
        <f>IF(E3200=0,0,INDEX('Планы менеджеров'!$B$5:$M$16,B3200,D3200)/INDEX(Мес_Раб,D3200))</f>
        <v/>
      </c>
    </row>
    <row r="3201">
      <c r="A3201" t="inlineStr">
        <is>
          <t>Лебедев</t>
        </is>
      </c>
      <c r="B3201" t="n">
        <v>13</v>
      </c>
      <c r="C3201" s="18">
        <f>'Календарь'!A230</f>
        <v/>
      </c>
      <c r="D3201">
        <f>MONTH(C3201)</f>
        <v/>
      </c>
      <c r="E3201">
        <f>'Календарь'!D230</f>
        <v/>
      </c>
      <c r="F3201">
        <f>INT((C3201-Нед_Начало)/7)+1</f>
        <v/>
      </c>
      <c r="G3201">
        <f>IF(E3201=0,0,INDEX('Планы менеджеров'!$B$5:$M$16,B3201,D3201)/INDEX(Мес_Раб,D3201))</f>
        <v/>
      </c>
    </row>
    <row r="3202">
      <c r="A3202" t="inlineStr">
        <is>
          <t>Лебедев</t>
        </is>
      </c>
      <c r="B3202" t="n">
        <v>13</v>
      </c>
      <c r="C3202" s="18">
        <f>'Календарь'!A231</f>
        <v/>
      </c>
      <c r="D3202">
        <f>MONTH(C3202)</f>
        <v/>
      </c>
      <c r="E3202">
        <f>'Календарь'!D231</f>
        <v/>
      </c>
      <c r="F3202">
        <f>INT((C3202-Нед_Начало)/7)+1</f>
        <v/>
      </c>
      <c r="G3202">
        <f>IF(E3202=0,0,INDEX('Планы менеджеров'!$B$5:$M$16,B3202,D3202)/INDEX(Мес_Раб,D3202))</f>
        <v/>
      </c>
    </row>
    <row r="3203">
      <c r="A3203" t="inlineStr">
        <is>
          <t>Лебедев</t>
        </is>
      </c>
      <c r="B3203" t="n">
        <v>13</v>
      </c>
      <c r="C3203" s="18">
        <f>'Календарь'!A232</f>
        <v/>
      </c>
      <c r="D3203">
        <f>MONTH(C3203)</f>
        <v/>
      </c>
      <c r="E3203">
        <f>'Календарь'!D232</f>
        <v/>
      </c>
      <c r="F3203">
        <f>INT((C3203-Нед_Начало)/7)+1</f>
        <v/>
      </c>
      <c r="G3203">
        <f>IF(E3203=0,0,INDEX('Планы менеджеров'!$B$5:$M$16,B3203,D3203)/INDEX(Мес_Раб,D3203))</f>
        <v/>
      </c>
    </row>
    <row r="3204">
      <c r="A3204" t="inlineStr">
        <is>
          <t>Лебедев</t>
        </is>
      </c>
      <c r="B3204" t="n">
        <v>13</v>
      </c>
      <c r="C3204" s="18">
        <f>'Календарь'!A233</f>
        <v/>
      </c>
      <c r="D3204">
        <f>MONTH(C3204)</f>
        <v/>
      </c>
      <c r="E3204">
        <f>'Календарь'!D233</f>
        <v/>
      </c>
      <c r="F3204">
        <f>INT((C3204-Нед_Начало)/7)+1</f>
        <v/>
      </c>
      <c r="G3204">
        <f>IF(E3204=0,0,INDEX('Планы менеджеров'!$B$5:$M$16,B3204,D3204)/INDEX(Мес_Раб,D3204))</f>
        <v/>
      </c>
    </row>
    <row r="3205">
      <c r="A3205" t="inlineStr">
        <is>
          <t>Лебедев</t>
        </is>
      </c>
      <c r="B3205" t="n">
        <v>13</v>
      </c>
      <c r="C3205" s="18">
        <f>'Календарь'!A234</f>
        <v/>
      </c>
      <c r="D3205">
        <f>MONTH(C3205)</f>
        <v/>
      </c>
      <c r="E3205">
        <f>'Календарь'!D234</f>
        <v/>
      </c>
      <c r="F3205">
        <f>INT((C3205-Нед_Начало)/7)+1</f>
        <v/>
      </c>
      <c r="G3205">
        <f>IF(E3205=0,0,INDEX('Планы менеджеров'!$B$5:$M$16,B3205,D3205)/INDEX(Мес_Раб,D3205))</f>
        <v/>
      </c>
    </row>
    <row r="3206">
      <c r="A3206" t="inlineStr">
        <is>
          <t>Лебедев</t>
        </is>
      </c>
      <c r="B3206" t="n">
        <v>13</v>
      </c>
      <c r="C3206" s="18">
        <f>'Календарь'!A235</f>
        <v/>
      </c>
      <c r="D3206">
        <f>MONTH(C3206)</f>
        <v/>
      </c>
      <c r="E3206">
        <f>'Календарь'!D235</f>
        <v/>
      </c>
      <c r="F3206">
        <f>INT((C3206-Нед_Начало)/7)+1</f>
        <v/>
      </c>
      <c r="G3206">
        <f>IF(E3206=0,0,INDEX('Планы менеджеров'!$B$5:$M$16,B3206,D3206)/INDEX(Мес_Раб,D3206))</f>
        <v/>
      </c>
    </row>
    <row r="3207">
      <c r="A3207" t="inlineStr">
        <is>
          <t>Лебедев</t>
        </is>
      </c>
      <c r="B3207" t="n">
        <v>13</v>
      </c>
      <c r="C3207" s="18">
        <f>'Календарь'!A236</f>
        <v/>
      </c>
      <c r="D3207">
        <f>MONTH(C3207)</f>
        <v/>
      </c>
      <c r="E3207">
        <f>'Календарь'!D236</f>
        <v/>
      </c>
      <c r="F3207">
        <f>INT((C3207-Нед_Начало)/7)+1</f>
        <v/>
      </c>
      <c r="G3207">
        <f>IF(E3207=0,0,INDEX('Планы менеджеров'!$B$5:$M$16,B3207,D3207)/INDEX(Мес_Раб,D3207))</f>
        <v/>
      </c>
    </row>
    <row r="3208">
      <c r="A3208" t="inlineStr">
        <is>
          <t>Лебедев</t>
        </is>
      </c>
      <c r="B3208" t="n">
        <v>13</v>
      </c>
      <c r="C3208" s="18">
        <f>'Календарь'!A237</f>
        <v/>
      </c>
      <c r="D3208">
        <f>MONTH(C3208)</f>
        <v/>
      </c>
      <c r="E3208">
        <f>'Календарь'!D237</f>
        <v/>
      </c>
      <c r="F3208">
        <f>INT((C3208-Нед_Начало)/7)+1</f>
        <v/>
      </c>
      <c r="G3208">
        <f>IF(E3208=0,0,INDEX('Планы менеджеров'!$B$5:$M$16,B3208,D3208)/INDEX(Мес_Раб,D3208))</f>
        <v/>
      </c>
    </row>
    <row r="3209">
      <c r="A3209" t="inlineStr">
        <is>
          <t>Лебедев</t>
        </is>
      </c>
      <c r="B3209" t="n">
        <v>13</v>
      </c>
      <c r="C3209" s="18">
        <f>'Календарь'!A238</f>
        <v/>
      </c>
      <c r="D3209">
        <f>MONTH(C3209)</f>
        <v/>
      </c>
      <c r="E3209">
        <f>'Календарь'!D238</f>
        <v/>
      </c>
      <c r="F3209">
        <f>INT((C3209-Нед_Начало)/7)+1</f>
        <v/>
      </c>
      <c r="G3209">
        <f>IF(E3209=0,0,INDEX('Планы менеджеров'!$B$5:$M$16,B3209,D3209)/INDEX(Мес_Раб,D3209))</f>
        <v/>
      </c>
    </row>
    <row r="3210">
      <c r="A3210" t="inlineStr">
        <is>
          <t>Лебедев</t>
        </is>
      </c>
      <c r="B3210" t="n">
        <v>13</v>
      </c>
      <c r="C3210" s="18">
        <f>'Календарь'!A239</f>
        <v/>
      </c>
      <c r="D3210">
        <f>MONTH(C3210)</f>
        <v/>
      </c>
      <c r="E3210">
        <f>'Календарь'!D239</f>
        <v/>
      </c>
      <c r="F3210">
        <f>INT((C3210-Нед_Начало)/7)+1</f>
        <v/>
      </c>
      <c r="G3210">
        <f>IF(E3210=0,0,INDEX('Планы менеджеров'!$B$5:$M$16,B3210,D3210)/INDEX(Мес_Раб,D3210))</f>
        <v/>
      </c>
    </row>
    <row r="3211">
      <c r="A3211" t="inlineStr">
        <is>
          <t>Лебедев</t>
        </is>
      </c>
      <c r="B3211" t="n">
        <v>13</v>
      </c>
      <c r="C3211" s="18">
        <f>'Календарь'!A240</f>
        <v/>
      </c>
      <c r="D3211">
        <f>MONTH(C3211)</f>
        <v/>
      </c>
      <c r="E3211">
        <f>'Календарь'!D240</f>
        <v/>
      </c>
      <c r="F3211">
        <f>INT((C3211-Нед_Начало)/7)+1</f>
        <v/>
      </c>
      <c r="G3211">
        <f>IF(E3211=0,0,INDEX('Планы менеджеров'!$B$5:$M$16,B3211,D3211)/INDEX(Мес_Раб,D3211))</f>
        <v/>
      </c>
    </row>
    <row r="3212">
      <c r="A3212" t="inlineStr">
        <is>
          <t>Лебедев</t>
        </is>
      </c>
      <c r="B3212" t="n">
        <v>13</v>
      </c>
      <c r="C3212" s="18">
        <f>'Календарь'!A241</f>
        <v/>
      </c>
      <c r="D3212">
        <f>MONTH(C3212)</f>
        <v/>
      </c>
      <c r="E3212">
        <f>'Календарь'!D241</f>
        <v/>
      </c>
      <c r="F3212">
        <f>INT((C3212-Нед_Начало)/7)+1</f>
        <v/>
      </c>
      <c r="G3212">
        <f>IF(E3212=0,0,INDEX('Планы менеджеров'!$B$5:$M$16,B3212,D3212)/INDEX(Мес_Раб,D3212))</f>
        <v/>
      </c>
    </row>
    <row r="3213">
      <c r="A3213" t="inlineStr">
        <is>
          <t>Лебедев</t>
        </is>
      </c>
      <c r="B3213" t="n">
        <v>13</v>
      </c>
      <c r="C3213" s="18">
        <f>'Календарь'!A242</f>
        <v/>
      </c>
      <c r="D3213">
        <f>MONTH(C3213)</f>
        <v/>
      </c>
      <c r="E3213">
        <f>'Календарь'!D242</f>
        <v/>
      </c>
      <c r="F3213">
        <f>INT((C3213-Нед_Начало)/7)+1</f>
        <v/>
      </c>
      <c r="G3213">
        <f>IF(E3213=0,0,INDEX('Планы менеджеров'!$B$5:$M$16,B3213,D3213)/INDEX(Мес_Раб,D3213))</f>
        <v/>
      </c>
    </row>
    <row r="3214">
      <c r="A3214" t="inlineStr">
        <is>
          <t>Лебедев</t>
        </is>
      </c>
      <c r="B3214" t="n">
        <v>13</v>
      </c>
      <c r="C3214" s="18">
        <f>'Календарь'!A243</f>
        <v/>
      </c>
      <c r="D3214">
        <f>MONTH(C3214)</f>
        <v/>
      </c>
      <c r="E3214">
        <f>'Календарь'!D243</f>
        <v/>
      </c>
      <c r="F3214">
        <f>INT((C3214-Нед_Начало)/7)+1</f>
        <v/>
      </c>
      <c r="G3214">
        <f>IF(E3214=0,0,INDEX('Планы менеджеров'!$B$5:$M$16,B3214,D3214)/INDEX(Мес_Раб,D3214))</f>
        <v/>
      </c>
    </row>
    <row r="3215">
      <c r="A3215" t="inlineStr">
        <is>
          <t>Лебедев</t>
        </is>
      </c>
      <c r="B3215" t="n">
        <v>13</v>
      </c>
      <c r="C3215" s="18">
        <f>'Календарь'!A244</f>
        <v/>
      </c>
      <c r="D3215">
        <f>MONTH(C3215)</f>
        <v/>
      </c>
      <c r="E3215">
        <f>'Календарь'!D244</f>
        <v/>
      </c>
      <c r="F3215">
        <f>INT((C3215-Нед_Начало)/7)+1</f>
        <v/>
      </c>
      <c r="G3215">
        <f>IF(E3215=0,0,INDEX('Планы менеджеров'!$B$5:$M$16,B3215,D3215)/INDEX(Мес_Раб,D3215))</f>
        <v/>
      </c>
    </row>
    <row r="3216">
      <c r="A3216" t="inlineStr">
        <is>
          <t>Лебедев</t>
        </is>
      </c>
      <c r="B3216" t="n">
        <v>13</v>
      </c>
      <c r="C3216" s="18">
        <f>'Календарь'!A245</f>
        <v/>
      </c>
      <c r="D3216">
        <f>MONTH(C3216)</f>
        <v/>
      </c>
      <c r="E3216">
        <f>'Календарь'!D245</f>
        <v/>
      </c>
      <c r="F3216">
        <f>INT((C3216-Нед_Начало)/7)+1</f>
        <v/>
      </c>
      <c r="G3216">
        <f>IF(E3216=0,0,INDEX('Планы менеджеров'!$B$5:$M$16,B3216,D3216)/INDEX(Мес_Раб,D3216))</f>
        <v/>
      </c>
    </row>
    <row r="3217">
      <c r="A3217" t="inlineStr">
        <is>
          <t>Лебедев</t>
        </is>
      </c>
      <c r="B3217" t="n">
        <v>13</v>
      </c>
      <c r="C3217" s="18">
        <f>'Календарь'!A246</f>
        <v/>
      </c>
      <c r="D3217">
        <f>MONTH(C3217)</f>
        <v/>
      </c>
      <c r="E3217">
        <f>'Календарь'!D246</f>
        <v/>
      </c>
      <c r="F3217">
        <f>INT((C3217-Нед_Начало)/7)+1</f>
        <v/>
      </c>
      <c r="G3217">
        <f>IF(E3217=0,0,INDEX('Планы менеджеров'!$B$5:$M$16,B3217,D3217)/INDEX(Мес_Раб,D3217))</f>
        <v/>
      </c>
    </row>
    <row r="3218">
      <c r="A3218" t="inlineStr">
        <is>
          <t>Лебедев</t>
        </is>
      </c>
      <c r="B3218" t="n">
        <v>13</v>
      </c>
      <c r="C3218" s="18">
        <f>'Календарь'!A247</f>
        <v/>
      </c>
      <c r="D3218">
        <f>MONTH(C3218)</f>
        <v/>
      </c>
      <c r="E3218">
        <f>'Календарь'!D247</f>
        <v/>
      </c>
      <c r="F3218">
        <f>INT((C3218-Нед_Начало)/7)+1</f>
        <v/>
      </c>
      <c r="G3218">
        <f>IF(E3218=0,0,INDEX('Планы менеджеров'!$B$5:$M$16,B3218,D3218)/INDEX(Мес_Раб,D3218))</f>
        <v/>
      </c>
    </row>
    <row r="3219">
      <c r="A3219" t="inlineStr">
        <is>
          <t>Лебедев</t>
        </is>
      </c>
      <c r="B3219" t="n">
        <v>13</v>
      </c>
      <c r="C3219" s="18">
        <f>'Календарь'!A248</f>
        <v/>
      </c>
      <c r="D3219">
        <f>MONTH(C3219)</f>
        <v/>
      </c>
      <c r="E3219">
        <f>'Календарь'!D248</f>
        <v/>
      </c>
      <c r="F3219">
        <f>INT((C3219-Нед_Начало)/7)+1</f>
        <v/>
      </c>
      <c r="G3219">
        <f>IF(E3219=0,0,INDEX('Планы менеджеров'!$B$5:$M$16,B3219,D3219)/INDEX(Мес_Раб,D3219))</f>
        <v/>
      </c>
    </row>
    <row r="3220">
      <c r="A3220" t="inlineStr">
        <is>
          <t>Лебедев</t>
        </is>
      </c>
      <c r="B3220" t="n">
        <v>13</v>
      </c>
      <c r="C3220" s="18">
        <f>'Календарь'!A249</f>
        <v/>
      </c>
      <c r="D3220">
        <f>MONTH(C3220)</f>
        <v/>
      </c>
      <c r="E3220">
        <f>'Календарь'!D249</f>
        <v/>
      </c>
      <c r="F3220">
        <f>INT((C3220-Нед_Начало)/7)+1</f>
        <v/>
      </c>
      <c r="G3220">
        <f>IF(E3220=0,0,INDEX('Планы менеджеров'!$B$5:$M$16,B3220,D3220)/INDEX(Мес_Раб,D3220))</f>
        <v/>
      </c>
    </row>
    <row r="3221">
      <c r="A3221" t="inlineStr">
        <is>
          <t>Лебедев</t>
        </is>
      </c>
      <c r="B3221" t="n">
        <v>13</v>
      </c>
      <c r="C3221" s="18">
        <f>'Календарь'!A250</f>
        <v/>
      </c>
      <c r="D3221">
        <f>MONTH(C3221)</f>
        <v/>
      </c>
      <c r="E3221">
        <f>'Календарь'!D250</f>
        <v/>
      </c>
      <c r="F3221">
        <f>INT((C3221-Нед_Начало)/7)+1</f>
        <v/>
      </c>
      <c r="G3221">
        <f>IF(E3221=0,0,INDEX('Планы менеджеров'!$B$5:$M$16,B3221,D3221)/INDEX(Мес_Раб,D3221))</f>
        <v/>
      </c>
    </row>
    <row r="3222">
      <c r="A3222" t="inlineStr">
        <is>
          <t>Лебедев</t>
        </is>
      </c>
      <c r="B3222" t="n">
        <v>13</v>
      </c>
      <c r="C3222" s="18">
        <f>'Календарь'!A251</f>
        <v/>
      </c>
      <c r="D3222">
        <f>MONTH(C3222)</f>
        <v/>
      </c>
      <c r="E3222">
        <f>'Календарь'!D251</f>
        <v/>
      </c>
      <c r="F3222">
        <f>INT((C3222-Нед_Начало)/7)+1</f>
        <v/>
      </c>
      <c r="G3222">
        <f>IF(E3222=0,0,INDEX('Планы менеджеров'!$B$5:$M$16,B3222,D3222)/INDEX(Мес_Раб,D3222))</f>
        <v/>
      </c>
    </row>
    <row r="3223">
      <c r="A3223" t="inlineStr">
        <is>
          <t>Лебедев</t>
        </is>
      </c>
      <c r="B3223" t="n">
        <v>13</v>
      </c>
      <c r="C3223" s="18">
        <f>'Календарь'!A252</f>
        <v/>
      </c>
      <c r="D3223">
        <f>MONTH(C3223)</f>
        <v/>
      </c>
      <c r="E3223">
        <f>'Календарь'!D252</f>
        <v/>
      </c>
      <c r="F3223">
        <f>INT((C3223-Нед_Начало)/7)+1</f>
        <v/>
      </c>
      <c r="G3223">
        <f>IF(E3223=0,0,INDEX('Планы менеджеров'!$B$5:$M$16,B3223,D3223)/INDEX(Мес_Раб,D3223))</f>
        <v/>
      </c>
    </row>
    <row r="3224">
      <c r="A3224" t="inlineStr">
        <is>
          <t>Лебедев</t>
        </is>
      </c>
      <c r="B3224" t="n">
        <v>13</v>
      </c>
      <c r="C3224" s="18">
        <f>'Календарь'!A253</f>
        <v/>
      </c>
      <c r="D3224">
        <f>MONTH(C3224)</f>
        <v/>
      </c>
      <c r="E3224">
        <f>'Календарь'!D253</f>
        <v/>
      </c>
      <c r="F3224">
        <f>INT((C3224-Нед_Начало)/7)+1</f>
        <v/>
      </c>
      <c r="G3224">
        <f>IF(E3224=0,0,INDEX('Планы менеджеров'!$B$5:$M$16,B3224,D3224)/INDEX(Мес_Раб,D3224))</f>
        <v/>
      </c>
    </row>
    <row r="3225">
      <c r="A3225" t="inlineStr">
        <is>
          <t>Лебедев</t>
        </is>
      </c>
      <c r="B3225" t="n">
        <v>13</v>
      </c>
      <c r="C3225" s="18">
        <f>'Календарь'!A254</f>
        <v/>
      </c>
      <c r="D3225">
        <f>MONTH(C3225)</f>
        <v/>
      </c>
      <c r="E3225">
        <f>'Календарь'!D254</f>
        <v/>
      </c>
      <c r="F3225">
        <f>INT((C3225-Нед_Начало)/7)+1</f>
        <v/>
      </c>
      <c r="G3225">
        <f>IF(E3225=0,0,INDEX('Планы менеджеров'!$B$5:$M$16,B3225,D3225)/INDEX(Мес_Раб,D3225))</f>
        <v/>
      </c>
    </row>
    <row r="3226">
      <c r="A3226" t="inlineStr">
        <is>
          <t>Лебедев</t>
        </is>
      </c>
      <c r="B3226" t="n">
        <v>13</v>
      </c>
      <c r="C3226" s="18">
        <f>'Календарь'!A255</f>
        <v/>
      </c>
      <c r="D3226">
        <f>MONTH(C3226)</f>
        <v/>
      </c>
      <c r="E3226">
        <f>'Календарь'!D255</f>
        <v/>
      </c>
      <c r="F3226">
        <f>INT((C3226-Нед_Начало)/7)+1</f>
        <v/>
      </c>
      <c r="G3226">
        <f>IF(E3226=0,0,INDEX('Планы менеджеров'!$B$5:$M$16,B3226,D3226)/INDEX(Мес_Раб,D3226))</f>
        <v/>
      </c>
    </row>
    <row r="3227">
      <c r="A3227" t="inlineStr">
        <is>
          <t>Лебедев</t>
        </is>
      </c>
      <c r="B3227" t="n">
        <v>13</v>
      </c>
      <c r="C3227" s="18">
        <f>'Календарь'!A256</f>
        <v/>
      </c>
      <c r="D3227">
        <f>MONTH(C3227)</f>
        <v/>
      </c>
      <c r="E3227">
        <f>'Календарь'!D256</f>
        <v/>
      </c>
      <c r="F3227">
        <f>INT((C3227-Нед_Начало)/7)+1</f>
        <v/>
      </c>
      <c r="G3227">
        <f>IF(E3227=0,0,INDEX('Планы менеджеров'!$B$5:$M$16,B3227,D3227)/INDEX(Мес_Раб,D3227))</f>
        <v/>
      </c>
    </row>
    <row r="3228">
      <c r="A3228" t="inlineStr">
        <is>
          <t>Лебедев</t>
        </is>
      </c>
      <c r="B3228" t="n">
        <v>13</v>
      </c>
      <c r="C3228" s="18">
        <f>'Календарь'!A257</f>
        <v/>
      </c>
      <c r="D3228">
        <f>MONTH(C3228)</f>
        <v/>
      </c>
      <c r="E3228">
        <f>'Календарь'!D257</f>
        <v/>
      </c>
      <c r="F3228">
        <f>INT((C3228-Нед_Начало)/7)+1</f>
        <v/>
      </c>
      <c r="G3228">
        <f>IF(E3228=0,0,INDEX('Планы менеджеров'!$B$5:$M$16,B3228,D3228)/INDEX(Мес_Раб,D3228))</f>
        <v/>
      </c>
    </row>
    <row r="3229">
      <c r="A3229" t="inlineStr">
        <is>
          <t>Лебедев</t>
        </is>
      </c>
      <c r="B3229" t="n">
        <v>13</v>
      </c>
      <c r="C3229" s="18">
        <f>'Календарь'!A258</f>
        <v/>
      </c>
      <c r="D3229">
        <f>MONTH(C3229)</f>
        <v/>
      </c>
      <c r="E3229">
        <f>'Календарь'!D258</f>
        <v/>
      </c>
      <c r="F3229">
        <f>INT((C3229-Нед_Начало)/7)+1</f>
        <v/>
      </c>
      <c r="G3229">
        <f>IF(E3229=0,0,INDEX('Планы менеджеров'!$B$5:$M$16,B3229,D3229)/INDEX(Мес_Раб,D3229))</f>
        <v/>
      </c>
    </row>
    <row r="3230">
      <c r="A3230" t="inlineStr">
        <is>
          <t>Лебедев</t>
        </is>
      </c>
      <c r="B3230" t="n">
        <v>13</v>
      </c>
      <c r="C3230" s="18">
        <f>'Календарь'!A259</f>
        <v/>
      </c>
      <c r="D3230">
        <f>MONTH(C3230)</f>
        <v/>
      </c>
      <c r="E3230">
        <f>'Календарь'!D259</f>
        <v/>
      </c>
      <c r="F3230">
        <f>INT((C3230-Нед_Начало)/7)+1</f>
        <v/>
      </c>
      <c r="G3230">
        <f>IF(E3230=0,0,INDEX('Планы менеджеров'!$B$5:$M$16,B3230,D3230)/INDEX(Мес_Раб,D3230))</f>
        <v/>
      </c>
    </row>
    <row r="3231">
      <c r="A3231" t="inlineStr">
        <is>
          <t>Лебедев</t>
        </is>
      </c>
      <c r="B3231" t="n">
        <v>13</v>
      </c>
      <c r="C3231" s="18">
        <f>'Календарь'!A260</f>
        <v/>
      </c>
      <c r="D3231">
        <f>MONTH(C3231)</f>
        <v/>
      </c>
      <c r="E3231">
        <f>'Календарь'!D260</f>
        <v/>
      </c>
      <c r="F3231">
        <f>INT((C3231-Нед_Начало)/7)+1</f>
        <v/>
      </c>
      <c r="G3231">
        <f>IF(E3231=0,0,INDEX('Планы менеджеров'!$B$5:$M$16,B3231,D3231)/INDEX(Мес_Раб,D3231))</f>
        <v/>
      </c>
    </row>
    <row r="3232">
      <c r="A3232" t="inlineStr">
        <is>
          <t>Лебедев</t>
        </is>
      </c>
      <c r="B3232" t="n">
        <v>13</v>
      </c>
      <c r="C3232" s="18">
        <f>'Календарь'!A261</f>
        <v/>
      </c>
      <c r="D3232">
        <f>MONTH(C3232)</f>
        <v/>
      </c>
      <c r="E3232">
        <f>'Календарь'!D261</f>
        <v/>
      </c>
      <c r="F3232">
        <f>INT((C3232-Нед_Начало)/7)+1</f>
        <v/>
      </c>
      <c r="G3232">
        <f>IF(E3232=0,0,INDEX('Планы менеджеров'!$B$5:$M$16,B3232,D3232)/INDEX(Мес_Раб,D3232))</f>
        <v/>
      </c>
    </row>
    <row r="3233">
      <c r="A3233" t="inlineStr">
        <is>
          <t>Лебедев</t>
        </is>
      </c>
      <c r="B3233" t="n">
        <v>13</v>
      </c>
      <c r="C3233" s="18">
        <f>'Календарь'!A262</f>
        <v/>
      </c>
      <c r="D3233">
        <f>MONTH(C3233)</f>
        <v/>
      </c>
      <c r="E3233">
        <f>'Календарь'!D262</f>
        <v/>
      </c>
      <c r="F3233">
        <f>INT((C3233-Нед_Начало)/7)+1</f>
        <v/>
      </c>
      <c r="G3233">
        <f>IF(E3233=0,0,INDEX('Планы менеджеров'!$B$5:$M$16,B3233,D3233)/INDEX(Мес_Раб,D3233))</f>
        <v/>
      </c>
    </row>
    <row r="3234">
      <c r="A3234" t="inlineStr">
        <is>
          <t>Лебедев</t>
        </is>
      </c>
      <c r="B3234" t="n">
        <v>13</v>
      </c>
      <c r="C3234" s="18">
        <f>'Календарь'!A263</f>
        <v/>
      </c>
      <c r="D3234">
        <f>MONTH(C3234)</f>
        <v/>
      </c>
      <c r="E3234">
        <f>'Календарь'!D263</f>
        <v/>
      </c>
      <c r="F3234">
        <f>INT((C3234-Нед_Начало)/7)+1</f>
        <v/>
      </c>
      <c r="G3234">
        <f>IF(E3234=0,0,INDEX('Планы менеджеров'!$B$5:$M$16,B3234,D3234)/INDEX(Мес_Раб,D3234))</f>
        <v/>
      </c>
    </row>
    <row r="3235">
      <c r="A3235" t="inlineStr">
        <is>
          <t>Лебедев</t>
        </is>
      </c>
      <c r="B3235" t="n">
        <v>13</v>
      </c>
      <c r="C3235" s="18">
        <f>'Календарь'!A264</f>
        <v/>
      </c>
      <c r="D3235">
        <f>MONTH(C3235)</f>
        <v/>
      </c>
      <c r="E3235">
        <f>'Календарь'!D264</f>
        <v/>
      </c>
      <c r="F3235">
        <f>INT((C3235-Нед_Начало)/7)+1</f>
        <v/>
      </c>
      <c r="G3235">
        <f>IF(E3235=0,0,INDEX('Планы менеджеров'!$B$5:$M$16,B3235,D3235)/INDEX(Мес_Раб,D3235))</f>
        <v/>
      </c>
    </row>
    <row r="3236">
      <c r="A3236" t="inlineStr">
        <is>
          <t>Лебедев</t>
        </is>
      </c>
      <c r="B3236" t="n">
        <v>13</v>
      </c>
      <c r="C3236" s="18">
        <f>'Календарь'!A265</f>
        <v/>
      </c>
      <c r="D3236">
        <f>MONTH(C3236)</f>
        <v/>
      </c>
      <c r="E3236">
        <f>'Календарь'!D265</f>
        <v/>
      </c>
      <c r="F3236">
        <f>INT((C3236-Нед_Начало)/7)+1</f>
        <v/>
      </c>
      <c r="G3236">
        <f>IF(E3236=0,0,INDEX('Планы менеджеров'!$B$5:$M$16,B3236,D3236)/INDEX(Мес_Раб,D3236))</f>
        <v/>
      </c>
    </row>
    <row r="3237">
      <c r="A3237" t="inlineStr">
        <is>
          <t>Лебедев</t>
        </is>
      </c>
      <c r="B3237" t="n">
        <v>13</v>
      </c>
      <c r="C3237" s="18">
        <f>'Календарь'!A266</f>
        <v/>
      </c>
      <c r="D3237">
        <f>MONTH(C3237)</f>
        <v/>
      </c>
      <c r="E3237">
        <f>'Календарь'!D266</f>
        <v/>
      </c>
      <c r="F3237">
        <f>INT((C3237-Нед_Начало)/7)+1</f>
        <v/>
      </c>
      <c r="G3237">
        <f>IF(E3237=0,0,INDEX('Планы менеджеров'!$B$5:$M$16,B3237,D3237)/INDEX(Мес_Раб,D3237))</f>
        <v/>
      </c>
    </row>
    <row r="3238">
      <c r="A3238" t="inlineStr">
        <is>
          <t>Лебедев</t>
        </is>
      </c>
      <c r="B3238" t="n">
        <v>13</v>
      </c>
      <c r="C3238" s="18">
        <f>'Календарь'!A267</f>
        <v/>
      </c>
      <c r="D3238">
        <f>MONTH(C3238)</f>
        <v/>
      </c>
      <c r="E3238">
        <f>'Календарь'!D267</f>
        <v/>
      </c>
      <c r="F3238">
        <f>INT((C3238-Нед_Начало)/7)+1</f>
        <v/>
      </c>
      <c r="G3238">
        <f>IF(E3238=0,0,INDEX('Планы менеджеров'!$B$5:$M$16,B3238,D3238)/INDEX(Мес_Раб,D3238))</f>
        <v/>
      </c>
    </row>
    <row r="3239">
      <c r="A3239" t="inlineStr">
        <is>
          <t>Лебедев</t>
        </is>
      </c>
      <c r="B3239" t="n">
        <v>13</v>
      </c>
      <c r="C3239" s="18">
        <f>'Календарь'!A268</f>
        <v/>
      </c>
      <c r="D3239">
        <f>MONTH(C3239)</f>
        <v/>
      </c>
      <c r="E3239">
        <f>'Календарь'!D268</f>
        <v/>
      </c>
      <c r="F3239">
        <f>INT((C3239-Нед_Начало)/7)+1</f>
        <v/>
      </c>
      <c r="G3239">
        <f>IF(E3239=0,0,INDEX('Планы менеджеров'!$B$5:$M$16,B3239,D3239)/INDEX(Мес_Раб,D3239))</f>
        <v/>
      </c>
    </row>
    <row r="3240">
      <c r="A3240" t="inlineStr">
        <is>
          <t>Лебедев</t>
        </is>
      </c>
      <c r="B3240" t="n">
        <v>13</v>
      </c>
      <c r="C3240" s="18">
        <f>'Календарь'!A269</f>
        <v/>
      </c>
      <c r="D3240">
        <f>MONTH(C3240)</f>
        <v/>
      </c>
      <c r="E3240">
        <f>'Календарь'!D269</f>
        <v/>
      </c>
      <c r="F3240">
        <f>INT((C3240-Нед_Начало)/7)+1</f>
        <v/>
      </c>
      <c r="G3240">
        <f>IF(E3240=0,0,INDEX('Планы менеджеров'!$B$5:$M$16,B3240,D3240)/INDEX(Мес_Раб,D3240))</f>
        <v/>
      </c>
    </row>
    <row r="3241">
      <c r="A3241" t="inlineStr">
        <is>
          <t>Лебедев</t>
        </is>
      </c>
      <c r="B3241" t="n">
        <v>13</v>
      </c>
      <c r="C3241" s="18">
        <f>'Календарь'!A270</f>
        <v/>
      </c>
      <c r="D3241">
        <f>MONTH(C3241)</f>
        <v/>
      </c>
      <c r="E3241">
        <f>'Календарь'!D270</f>
        <v/>
      </c>
      <c r="F3241">
        <f>INT((C3241-Нед_Начало)/7)+1</f>
        <v/>
      </c>
      <c r="G3241">
        <f>IF(E3241=0,0,INDEX('Планы менеджеров'!$B$5:$M$16,B3241,D3241)/INDEX(Мес_Раб,D3241))</f>
        <v/>
      </c>
    </row>
    <row r="3242">
      <c r="A3242" t="inlineStr">
        <is>
          <t>Лебедев</t>
        </is>
      </c>
      <c r="B3242" t="n">
        <v>13</v>
      </c>
      <c r="C3242" s="18">
        <f>'Календарь'!A271</f>
        <v/>
      </c>
      <c r="D3242">
        <f>MONTH(C3242)</f>
        <v/>
      </c>
      <c r="E3242">
        <f>'Календарь'!D271</f>
        <v/>
      </c>
      <c r="F3242">
        <f>INT((C3242-Нед_Начало)/7)+1</f>
        <v/>
      </c>
      <c r="G3242">
        <f>IF(E3242=0,0,INDEX('Планы менеджеров'!$B$5:$M$16,B3242,D3242)/INDEX(Мес_Раб,D3242))</f>
        <v/>
      </c>
    </row>
    <row r="3243">
      <c r="A3243" t="inlineStr">
        <is>
          <t>Лебедев</t>
        </is>
      </c>
      <c r="B3243" t="n">
        <v>13</v>
      </c>
      <c r="C3243" s="18">
        <f>'Календарь'!A272</f>
        <v/>
      </c>
      <c r="D3243">
        <f>MONTH(C3243)</f>
        <v/>
      </c>
      <c r="E3243">
        <f>'Календарь'!D272</f>
        <v/>
      </c>
      <c r="F3243">
        <f>INT((C3243-Нед_Начало)/7)+1</f>
        <v/>
      </c>
      <c r="G3243">
        <f>IF(E3243=0,0,INDEX('Планы менеджеров'!$B$5:$M$16,B3243,D3243)/INDEX(Мес_Раб,D3243))</f>
        <v/>
      </c>
    </row>
    <row r="3244">
      <c r="A3244" t="inlineStr">
        <is>
          <t>Лебедев</t>
        </is>
      </c>
      <c r="B3244" t="n">
        <v>13</v>
      </c>
      <c r="C3244" s="18">
        <f>'Календарь'!A273</f>
        <v/>
      </c>
      <c r="D3244">
        <f>MONTH(C3244)</f>
        <v/>
      </c>
      <c r="E3244">
        <f>'Календарь'!D273</f>
        <v/>
      </c>
      <c r="F3244">
        <f>INT((C3244-Нед_Начало)/7)+1</f>
        <v/>
      </c>
      <c r="G3244">
        <f>IF(E3244=0,0,INDEX('Планы менеджеров'!$B$5:$M$16,B3244,D3244)/INDEX(Мес_Раб,D3244))</f>
        <v/>
      </c>
    </row>
    <row r="3245">
      <c r="A3245" t="inlineStr">
        <is>
          <t>Лебедев</t>
        </is>
      </c>
      <c r="B3245" t="n">
        <v>13</v>
      </c>
      <c r="C3245" s="18">
        <f>'Календарь'!A274</f>
        <v/>
      </c>
      <c r="D3245">
        <f>MONTH(C3245)</f>
        <v/>
      </c>
      <c r="E3245">
        <f>'Календарь'!D274</f>
        <v/>
      </c>
      <c r="F3245">
        <f>INT((C3245-Нед_Начало)/7)+1</f>
        <v/>
      </c>
      <c r="G3245">
        <f>IF(E3245=0,0,INDEX('Планы менеджеров'!$B$5:$M$16,B3245,D3245)/INDEX(Мес_Раб,D3245))</f>
        <v/>
      </c>
    </row>
    <row r="3246">
      <c r="A3246" t="inlineStr">
        <is>
          <t>Лебедев</t>
        </is>
      </c>
      <c r="B3246" t="n">
        <v>13</v>
      </c>
      <c r="C3246" s="18">
        <f>'Календарь'!A275</f>
        <v/>
      </c>
      <c r="D3246">
        <f>MONTH(C3246)</f>
        <v/>
      </c>
      <c r="E3246">
        <f>'Календарь'!D275</f>
        <v/>
      </c>
      <c r="F3246">
        <f>INT((C3246-Нед_Начало)/7)+1</f>
        <v/>
      </c>
      <c r="G3246">
        <f>IF(E3246=0,0,INDEX('Планы менеджеров'!$B$5:$M$16,B3246,D3246)/INDEX(Мес_Раб,D3246))</f>
        <v/>
      </c>
    </row>
    <row r="3247">
      <c r="A3247" t="inlineStr">
        <is>
          <t>Лебедев</t>
        </is>
      </c>
      <c r="B3247" t="n">
        <v>13</v>
      </c>
      <c r="C3247" s="18">
        <f>'Календарь'!A276</f>
        <v/>
      </c>
      <c r="D3247">
        <f>MONTH(C3247)</f>
        <v/>
      </c>
      <c r="E3247">
        <f>'Календарь'!D276</f>
        <v/>
      </c>
      <c r="F3247">
        <f>INT((C3247-Нед_Начало)/7)+1</f>
        <v/>
      </c>
      <c r="G3247">
        <f>IF(E3247=0,0,INDEX('Планы менеджеров'!$B$5:$M$16,B3247,D3247)/INDEX(Мес_Раб,D3247))</f>
        <v/>
      </c>
    </row>
    <row r="3248">
      <c r="A3248" t="inlineStr">
        <is>
          <t>Лебедев</t>
        </is>
      </c>
      <c r="B3248" t="n">
        <v>13</v>
      </c>
      <c r="C3248" s="18">
        <f>'Календарь'!A277</f>
        <v/>
      </c>
      <c r="D3248">
        <f>MONTH(C3248)</f>
        <v/>
      </c>
      <c r="E3248">
        <f>'Календарь'!D277</f>
        <v/>
      </c>
      <c r="F3248">
        <f>INT((C3248-Нед_Начало)/7)+1</f>
        <v/>
      </c>
      <c r="G3248">
        <f>IF(E3248=0,0,INDEX('Планы менеджеров'!$B$5:$M$16,B3248,D3248)/INDEX(Мес_Раб,D3248))</f>
        <v/>
      </c>
    </row>
    <row r="3249">
      <c r="A3249" t="inlineStr">
        <is>
          <t>Лебедев</t>
        </is>
      </c>
      <c r="B3249" t="n">
        <v>13</v>
      </c>
      <c r="C3249" s="18">
        <f>'Календарь'!A278</f>
        <v/>
      </c>
      <c r="D3249">
        <f>MONTH(C3249)</f>
        <v/>
      </c>
      <c r="E3249">
        <f>'Календарь'!D278</f>
        <v/>
      </c>
      <c r="F3249">
        <f>INT((C3249-Нед_Начало)/7)+1</f>
        <v/>
      </c>
      <c r="G3249">
        <f>IF(E3249=0,0,INDEX('Планы менеджеров'!$B$5:$M$16,B3249,D3249)/INDEX(Мес_Раб,D3249))</f>
        <v/>
      </c>
    </row>
    <row r="3250">
      <c r="A3250" t="inlineStr">
        <is>
          <t>Лебедев</t>
        </is>
      </c>
      <c r="B3250" t="n">
        <v>13</v>
      </c>
      <c r="C3250" s="18">
        <f>'Календарь'!A279</f>
        <v/>
      </c>
      <c r="D3250">
        <f>MONTH(C3250)</f>
        <v/>
      </c>
      <c r="E3250">
        <f>'Календарь'!D279</f>
        <v/>
      </c>
      <c r="F3250">
        <f>INT((C3250-Нед_Начало)/7)+1</f>
        <v/>
      </c>
      <c r="G3250">
        <f>IF(E3250=0,0,INDEX('Планы менеджеров'!$B$5:$M$16,B3250,D3250)/INDEX(Мес_Раб,D3250))</f>
        <v/>
      </c>
    </row>
    <row r="3251">
      <c r="A3251" t="inlineStr">
        <is>
          <t>Лебедев</t>
        </is>
      </c>
      <c r="B3251" t="n">
        <v>13</v>
      </c>
      <c r="C3251" s="18">
        <f>'Календарь'!A280</f>
        <v/>
      </c>
      <c r="D3251">
        <f>MONTH(C3251)</f>
        <v/>
      </c>
      <c r="E3251">
        <f>'Календарь'!D280</f>
        <v/>
      </c>
      <c r="F3251">
        <f>INT((C3251-Нед_Начало)/7)+1</f>
        <v/>
      </c>
      <c r="G3251">
        <f>IF(E3251=0,0,INDEX('Планы менеджеров'!$B$5:$M$16,B3251,D3251)/INDEX(Мес_Раб,D3251))</f>
        <v/>
      </c>
    </row>
    <row r="3252">
      <c r="A3252" t="inlineStr">
        <is>
          <t>Лебедев</t>
        </is>
      </c>
      <c r="B3252" t="n">
        <v>13</v>
      </c>
      <c r="C3252" s="18">
        <f>'Календарь'!A281</f>
        <v/>
      </c>
      <c r="D3252">
        <f>MONTH(C3252)</f>
        <v/>
      </c>
      <c r="E3252">
        <f>'Календарь'!D281</f>
        <v/>
      </c>
      <c r="F3252">
        <f>INT((C3252-Нед_Начало)/7)+1</f>
        <v/>
      </c>
      <c r="G3252">
        <f>IF(E3252=0,0,INDEX('Планы менеджеров'!$B$5:$M$16,B3252,D3252)/INDEX(Мес_Раб,D3252))</f>
        <v/>
      </c>
    </row>
    <row r="3253">
      <c r="A3253" t="inlineStr">
        <is>
          <t>Лебедев</t>
        </is>
      </c>
      <c r="B3253" t="n">
        <v>13</v>
      </c>
      <c r="C3253" s="18">
        <f>'Календарь'!A282</f>
        <v/>
      </c>
      <c r="D3253">
        <f>MONTH(C3253)</f>
        <v/>
      </c>
      <c r="E3253">
        <f>'Календарь'!D282</f>
        <v/>
      </c>
      <c r="F3253">
        <f>INT((C3253-Нед_Начало)/7)+1</f>
        <v/>
      </c>
      <c r="G3253">
        <f>IF(E3253=0,0,INDEX('Планы менеджеров'!$B$5:$M$16,B3253,D3253)/INDEX(Мес_Раб,D3253))</f>
        <v/>
      </c>
    </row>
    <row r="3254">
      <c r="A3254" t="inlineStr">
        <is>
          <t>Лебедев</t>
        </is>
      </c>
      <c r="B3254" t="n">
        <v>13</v>
      </c>
      <c r="C3254" s="18">
        <f>'Календарь'!A283</f>
        <v/>
      </c>
      <c r="D3254">
        <f>MONTH(C3254)</f>
        <v/>
      </c>
      <c r="E3254">
        <f>'Календарь'!D283</f>
        <v/>
      </c>
      <c r="F3254">
        <f>INT((C3254-Нед_Начало)/7)+1</f>
        <v/>
      </c>
      <c r="G3254">
        <f>IF(E3254=0,0,INDEX('Планы менеджеров'!$B$5:$M$16,B3254,D3254)/INDEX(Мес_Раб,D3254))</f>
        <v/>
      </c>
    </row>
    <row r="3255">
      <c r="A3255" t="inlineStr">
        <is>
          <t>Лебедев</t>
        </is>
      </c>
      <c r="B3255" t="n">
        <v>13</v>
      </c>
      <c r="C3255" s="18">
        <f>'Календарь'!A284</f>
        <v/>
      </c>
      <c r="D3255">
        <f>MONTH(C3255)</f>
        <v/>
      </c>
      <c r="E3255">
        <f>'Календарь'!D284</f>
        <v/>
      </c>
      <c r="F3255">
        <f>INT((C3255-Нед_Начало)/7)+1</f>
        <v/>
      </c>
      <c r="G3255">
        <f>IF(E3255=0,0,INDEX('Планы менеджеров'!$B$5:$M$16,B3255,D3255)/INDEX(Мес_Раб,D3255))</f>
        <v/>
      </c>
    </row>
    <row r="3256">
      <c r="A3256" t="inlineStr">
        <is>
          <t>Лебедев</t>
        </is>
      </c>
      <c r="B3256" t="n">
        <v>13</v>
      </c>
      <c r="C3256" s="18">
        <f>'Календарь'!A285</f>
        <v/>
      </c>
      <c r="D3256">
        <f>MONTH(C3256)</f>
        <v/>
      </c>
      <c r="E3256">
        <f>'Календарь'!D285</f>
        <v/>
      </c>
      <c r="F3256">
        <f>INT((C3256-Нед_Начало)/7)+1</f>
        <v/>
      </c>
      <c r="G3256">
        <f>IF(E3256=0,0,INDEX('Планы менеджеров'!$B$5:$M$16,B3256,D3256)/INDEX(Мес_Раб,D3256))</f>
        <v/>
      </c>
    </row>
    <row r="3257">
      <c r="A3257" t="inlineStr">
        <is>
          <t>Лебедев</t>
        </is>
      </c>
      <c r="B3257" t="n">
        <v>13</v>
      </c>
      <c r="C3257" s="18">
        <f>'Календарь'!A286</f>
        <v/>
      </c>
      <c r="D3257">
        <f>MONTH(C3257)</f>
        <v/>
      </c>
      <c r="E3257">
        <f>'Календарь'!D286</f>
        <v/>
      </c>
      <c r="F3257">
        <f>INT((C3257-Нед_Начало)/7)+1</f>
        <v/>
      </c>
      <c r="G3257">
        <f>IF(E3257=0,0,INDEX('Планы менеджеров'!$B$5:$M$16,B3257,D3257)/INDEX(Мес_Раб,D3257))</f>
        <v/>
      </c>
    </row>
    <row r="3258">
      <c r="A3258" t="inlineStr">
        <is>
          <t>Лебедев</t>
        </is>
      </c>
      <c r="B3258" t="n">
        <v>13</v>
      </c>
      <c r="C3258" s="18">
        <f>'Календарь'!A287</f>
        <v/>
      </c>
      <c r="D3258">
        <f>MONTH(C3258)</f>
        <v/>
      </c>
      <c r="E3258">
        <f>'Календарь'!D287</f>
        <v/>
      </c>
      <c r="F3258">
        <f>INT((C3258-Нед_Начало)/7)+1</f>
        <v/>
      </c>
      <c r="G3258">
        <f>IF(E3258=0,0,INDEX('Планы менеджеров'!$B$5:$M$16,B3258,D3258)/INDEX(Мес_Раб,D3258))</f>
        <v/>
      </c>
    </row>
    <row r="3259">
      <c r="A3259" t="inlineStr">
        <is>
          <t>Лебедев</t>
        </is>
      </c>
      <c r="B3259" t="n">
        <v>13</v>
      </c>
      <c r="C3259" s="18">
        <f>'Календарь'!A288</f>
        <v/>
      </c>
      <c r="D3259">
        <f>MONTH(C3259)</f>
        <v/>
      </c>
      <c r="E3259">
        <f>'Календарь'!D288</f>
        <v/>
      </c>
      <c r="F3259">
        <f>INT((C3259-Нед_Начало)/7)+1</f>
        <v/>
      </c>
      <c r="G3259">
        <f>IF(E3259=0,0,INDEX('Планы менеджеров'!$B$5:$M$16,B3259,D3259)/INDEX(Мес_Раб,D3259))</f>
        <v/>
      </c>
    </row>
    <row r="3260">
      <c r="A3260" t="inlineStr">
        <is>
          <t>Лебедев</t>
        </is>
      </c>
      <c r="B3260" t="n">
        <v>13</v>
      </c>
      <c r="C3260" s="18">
        <f>'Календарь'!A289</f>
        <v/>
      </c>
      <c r="D3260">
        <f>MONTH(C3260)</f>
        <v/>
      </c>
      <c r="E3260">
        <f>'Календарь'!D289</f>
        <v/>
      </c>
      <c r="F3260">
        <f>INT((C3260-Нед_Начало)/7)+1</f>
        <v/>
      </c>
      <c r="G3260">
        <f>IF(E3260=0,0,INDEX('Планы менеджеров'!$B$5:$M$16,B3260,D3260)/INDEX(Мес_Раб,D3260))</f>
        <v/>
      </c>
    </row>
    <row r="3261">
      <c r="A3261" t="inlineStr">
        <is>
          <t>Лебедев</t>
        </is>
      </c>
      <c r="B3261" t="n">
        <v>13</v>
      </c>
      <c r="C3261" s="18">
        <f>'Календарь'!A290</f>
        <v/>
      </c>
      <c r="D3261">
        <f>MONTH(C3261)</f>
        <v/>
      </c>
      <c r="E3261">
        <f>'Календарь'!D290</f>
        <v/>
      </c>
      <c r="F3261">
        <f>INT((C3261-Нед_Начало)/7)+1</f>
        <v/>
      </c>
      <c r="G3261">
        <f>IF(E3261=0,0,INDEX('Планы менеджеров'!$B$5:$M$16,B3261,D3261)/INDEX(Мес_Раб,D3261))</f>
        <v/>
      </c>
    </row>
    <row r="3262">
      <c r="A3262" t="inlineStr">
        <is>
          <t>Лебедев</t>
        </is>
      </c>
      <c r="B3262" t="n">
        <v>13</v>
      </c>
      <c r="C3262" s="18">
        <f>'Календарь'!A291</f>
        <v/>
      </c>
      <c r="D3262">
        <f>MONTH(C3262)</f>
        <v/>
      </c>
      <c r="E3262">
        <f>'Календарь'!D291</f>
        <v/>
      </c>
      <c r="F3262">
        <f>INT((C3262-Нед_Начало)/7)+1</f>
        <v/>
      </c>
      <c r="G3262">
        <f>IF(E3262=0,0,INDEX('Планы менеджеров'!$B$5:$M$16,B3262,D3262)/INDEX(Мес_Раб,D3262))</f>
        <v/>
      </c>
    </row>
    <row r="3263">
      <c r="A3263" t="inlineStr">
        <is>
          <t>Лебедев</t>
        </is>
      </c>
      <c r="B3263" t="n">
        <v>13</v>
      </c>
      <c r="C3263" s="18">
        <f>'Календарь'!A292</f>
        <v/>
      </c>
      <c r="D3263">
        <f>MONTH(C3263)</f>
        <v/>
      </c>
      <c r="E3263">
        <f>'Календарь'!D292</f>
        <v/>
      </c>
      <c r="F3263">
        <f>INT((C3263-Нед_Начало)/7)+1</f>
        <v/>
      </c>
      <c r="G3263">
        <f>IF(E3263=0,0,INDEX('Планы менеджеров'!$B$5:$M$16,B3263,D3263)/INDEX(Мес_Раб,D3263))</f>
        <v/>
      </c>
    </row>
    <row r="3264">
      <c r="A3264" t="inlineStr">
        <is>
          <t>Лебедев</t>
        </is>
      </c>
      <c r="B3264" t="n">
        <v>13</v>
      </c>
      <c r="C3264" s="18">
        <f>'Календарь'!A293</f>
        <v/>
      </c>
      <c r="D3264">
        <f>MONTH(C3264)</f>
        <v/>
      </c>
      <c r="E3264">
        <f>'Календарь'!D293</f>
        <v/>
      </c>
      <c r="F3264">
        <f>INT((C3264-Нед_Начало)/7)+1</f>
        <v/>
      </c>
      <c r="G3264">
        <f>IF(E3264=0,0,INDEX('Планы менеджеров'!$B$5:$M$16,B3264,D3264)/INDEX(Мес_Раб,D3264))</f>
        <v/>
      </c>
    </row>
    <row r="3265">
      <c r="A3265" t="inlineStr">
        <is>
          <t>Лебедев</t>
        </is>
      </c>
      <c r="B3265" t="n">
        <v>13</v>
      </c>
      <c r="C3265" s="18">
        <f>'Календарь'!A294</f>
        <v/>
      </c>
      <c r="D3265">
        <f>MONTH(C3265)</f>
        <v/>
      </c>
      <c r="E3265">
        <f>'Календарь'!D294</f>
        <v/>
      </c>
      <c r="F3265">
        <f>INT((C3265-Нед_Начало)/7)+1</f>
        <v/>
      </c>
      <c r="G3265">
        <f>IF(E3265=0,0,INDEX('Планы менеджеров'!$B$5:$M$16,B3265,D3265)/INDEX(Мес_Раб,D3265))</f>
        <v/>
      </c>
    </row>
    <row r="3266">
      <c r="A3266" t="inlineStr">
        <is>
          <t>Лебедев</t>
        </is>
      </c>
      <c r="B3266" t="n">
        <v>13</v>
      </c>
      <c r="C3266" s="18">
        <f>'Календарь'!A295</f>
        <v/>
      </c>
      <c r="D3266">
        <f>MONTH(C3266)</f>
        <v/>
      </c>
      <c r="E3266">
        <f>'Календарь'!D295</f>
        <v/>
      </c>
      <c r="F3266">
        <f>INT((C3266-Нед_Начало)/7)+1</f>
        <v/>
      </c>
      <c r="G3266">
        <f>IF(E3266=0,0,INDEX('Планы менеджеров'!$B$5:$M$16,B3266,D3266)/INDEX(Мес_Раб,D3266))</f>
        <v/>
      </c>
    </row>
    <row r="3267">
      <c r="A3267" t="inlineStr">
        <is>
          <t>Лебедев</t>
        </is>
      </c>
      <c r="B3267" t="n">
        <v>13</v>
      </c>
      <c r="C3267" s="18">
        <f>'Календарь'!A296</f>
        <v/>
      </c>
      <c r="D3267">
        <f>MONTH(C3267)</f>
        <v/>
      </c>
      <c r="E3267">
        <f>'Календарь'!D296</f>
        <v/>
      </c>
      <c r="F3267">
        <f>INT((C3267-Нед_Начало)/7)+1</f>
        <v/>
      </c>
      <c r="G3267">
        <f>IF(E3267=0,0,INDEX('Планы менеджеров'!$B$5:$M$16,B3267,D3267)/INDEX(Мес_Раб,D3267))</f>
        <v/>
      </c>
    </row>
    <row r="3268">
      <c r="A3268" t="inlineStr">
        <is>
          <t>Лебедев</t>
        </is>
      </c>
      <c r="B3268" t="n">
        <v>13</v>
      </c>
      <c r="C3268" s="18">
        <f>'Календарь'!A297</f>
        <v/>
      </c>
      <c r="D3268">
        <f>MONTH(C3268)</f>
        <v/>
      </c>
      <c r="E3268">
        <f>'Календарь'!D297</f>
        <v/>
      </c>
      <c r="F3268">
        <f>INT((C3268-Нед_Начало)/7)+1</f>
        <v/>
      </c>
      <c r="G3268">
        <f>IF(E3268=0,0,INDEX('Планы менеджеров'!$B$5:$M$16,B3268,D3268)/INDEX(Мес_Раб,D3268))</f>
        <v/>
      </c>
    </row>
    <row r="3269">
      <c r="A3269" t="inlineStr">
        <is>
          <t>Лебедев</t>
        </is>
      </c>
      <c r="B3269" t="n">
        <v>13</v>
      </c>
      <c r="C3269" s="18">
        <f>'Календарь'!A298</f>
        <v/>
      </c>
      <c r="D3269">
        <f>MONTH(C3269)</f>
        <v/>
      </c>
      <c r="E3269">
        <f>'Календарь'!D298</f>
        <v/>
      </c>
      <c r="F3269">
        <f>INT((C3269-Нед_Начало)/7)+1</f>
        <v/>
      </c>
      <c r="G3269">
        <f>IF(E3269=0,0,INDEX('Планы менеджеров'!$B$5:$M$16,B3269,D3269)/INDEX(Мес_Раб,D3269))</f>
        <v/>
      </c>
    </row>
    <row r="3270">
      <c r="A3270" t="inlineStr">
        <is>
          <t>Лебедев</t>
        </is>
      </c>
      <c r="B3270" t="n">
        <v>13</v>
      </c>
      <c r="C3270" s="18">
        <f>'Календарь'!A299</f>
        <v/>
      </c>
      <c r="D3270">
        <f>MONTH(C3270)</f>
        <v/>
      </c>
      <c r="E3270">
        <f>'Календарь'!D299</f>
        <v/>
      </c>
      <c r="F3270">
        <f>INT((C3270-Нед_Начало)/7)+1</f>
        <v/>
      </c>
      <c r="G3270">
        <f>IF(E3270=0,0,INDEX('Планы менеджеров'!$B$5:$M$16,B3270,D3270)/INDEX(Мес_Раб,D3270))</f>
        <v/>
      </c>
    </row>
    <row r="3271">
      <c r="A3271" t="inlineStr">
        <is>
          <t>Лебедев</t>
        </is>
      </c>
      <c r="B3271" t="n">
        <v>13</v>
      </c>
      <c r="C3271" s="18">
        <f>'Календарь'!A300</f>
        <v/>
      </c>
      <c r="D3271">
        <f>MONTH(C3271)</f>
        <v/>
      </c>
      <c r="E3271">
        <f>'Календарь'!D300</f>
        <v/>
      </c>
      <c r="F3271">
        <f>INT((C3271-Нед_Начало)/7)+1</f>
        <v/>
      </c>
      <c r="G3271">
        <f>IF(E3271=0,0,INDEX('Планы менеджеров'!$B$5:$M$16,B3271,D3271)/INDEX(Мес_Раб,D3271))</f>
        <v/>
      </c>
    </row>
    <row r="3272">
      <c r="A3272" t="inlineStr">
        <is>
          <t>Лебедев</t>
        </is>
      </c>
      <c r="B3272" t="n">
        <v>13</v>
      </c>
      <c r="C3272" s="18">
        <f>'Календарь'!A301</f>
        <v/>
      </c>
      <c r="D3272">
        <f>MONTH(C3272)</f>
        <v/>
      </c>
      <c r="E3272">
        <f>'Календарь'!D301</f>
        <v/>
      </c>
      <c r="F3272">
        <f>INT((C3272-Нед_Начало)/7)+1</f>
        <v/>
      </c>
      <c r="G3272">
        <f>IF(E3272=0,0,INDEX('Планы менеджеров'!$B$5:$M$16,B3272,D3272)/INDEX(Мес_Раб,D3272))</f>
        <v/>
      </c>
    </row>
    <row r="3273">
      <c r="A3273" t="inlineStr">
        <is>
          <t>Лебедев</t>
        </is>
      </c>
      <c r="B3273" t="n">
        <v>13</v>
      </c>
      <c r="C3273" s="18">
        <f>'Календарь'!A302</f>
        <v/>
      </c>
      <c r="D3273">
        <f>MONTH(C3273)</f>
        <v/>
      </c>
      <c r="E3273">
        <f>'Календарь'!D302</f>
        <v/>
      </c>
      <c r="F3273">
        <f>INT((C3273-Нед_Начало)/7)+1</f>
        <v/>
      </c>
      <c r="G3273">
        <f>IF(E3273=0,0,INDEX('Планы менеджеров'!$B$5:$M$16,B3273,D3273)/INDEX(Мес_Раб,D3273))</f>
        <v/>
      </c>
    </row>
    <row r="3274">
      <c r="A3274" t="inlineStr">
        <is>
          <t>Лебедев</t>
        </is>
      </c>
      <c r="B3274" t="n">
        <v>13</v>
      </c>
      <c r="C3274" s="18">
        <f>'Календарь'!A303</f>
        <v/>
      </c>
      <c r="D3274">
        <f>MONTH(C3274)</f>
        <v/>
      </c>
      <c r="E3274">
        <f>'Календарь'!D303</f>
        <v/>
      </c>
      <c r="F3274">
        <f>INT((C3274-Нед_Начало)/7)+1</f>
        <v/>
      </c>
      <c r="G3274">
        <f>IF(E3274=0,0,INDEX('Планы менеджеров'!$B$5:$M$16,B3274,D3274)/INDEX(Мес_Раб,D3274))</f>
        <v/>
      </c>
    </row>
    <row r="3275">
      <c r="A3275" t="inlineStr">
        <is>
          <t>Лебедев</t>
        </is>
      </c>
      <c r="B3275" t="n">
        <v>13</v>
      </c>
      <c r="C3275" s="18">
        <f>'Календарь'!A304</f>
        <v/>
      </c>
      <c r="D3275">
        <f>MONTH(C3275)</f>
        <v/>
      </c>
      <c r="E3275">
        <f>'Календарь'!D304</f>
        <v/>
      </c>
      <c r="F3275">
        <f>INT((C3275-Нед_Начало)/7)+1</f>
        <v/>
      </c>
      <c r="G3275">
        <f>IF(E3275=0,0,INDEX('Планы менеджеров'!$B$5:$M$16,B3275,D3275)/INDEX(Мес_Раб,D3275))</f>
        <v/>
      </c>
    </row>
    <row r="3276">
      <c r="A3276" t="inlineStr">
        <is>
          <t>Лебедев</t>
        </is>
      </c>
      <c r="B3276" t="n">
        <v>13</v>
      </c>
      <c r="C3276" s="18">
        <f>'Календарь'!A305</f>
        <v/>
      </c>
      <c r="D3276">
        <f>MONTH(C3276)</f>
        <v/>
      </c>
      <c r="E3276">
        <f>'Календарь'!D305</f>
        <v/>
      </c>
      <c r="F3276">
        <f>INT((C3276-Нед_Начало)/7)+1</f>
        <v/>
      </c>
      <c r="G3276">
        <f>IF(E3276=0,0,INDEX('Планы менеджеров'!$B$5:$M$16,B3276,D3276)/INDEX(Мес_Раб,D3276))</f>
        <v/>
      </c>
    </row>
    <row r="3277">
      <c r="A3277" t="inlineStr">
        <is>
          <t>Лебедев</t>
        </is>
      </c>
      <c r="B3277" t="n">
        <v>13</v>
      </c>
      <c r="C3277" s="18">
        <f>'Календарь'!A306</f>
        <v/>
      </c>
      <c r="D3277">
        <f>MONTH(C3277)</f>
        <v/>
      </c>
      <c r="E3277">
        <f>'Календарь'!D306</f>
        <v/>
      </c>
      <c r="F3277">
        <f>INT((C3277-Нед_Начало)/7)+1</f>
        <v/>
      </c>
      <c r="G3277">
        <f>IF(E3277=0,0,INDEX('Планы менеджеров'!$B$5:$M$16,B3277,D3277)/INDEX(Мес_Раб,D3277))</f>
        <v/>
      </c>
    </row>
    <row r="3278">
      <c r="A3278" t="inlineStr">
        <is>
          <t>Лебедев</t>
        </is>
      </c>
      <c r="B3278" t="n">
        <v>13</v>
      </c>
      <c r="C3278" s="18">
        <f>'Календарь'!A307</f>
        <v/>
      </c>
      <c r="D3278">
        <f>MONTH(C3278)</f>
        <v/>
      </c>
      <c r="E3278">
        <f>'Календарь'!D307</f>
        <v/>
      </c>
      <c r="F3278">
        <f>INT((C3278-Нед_Начало)/7)+1</f>
        <v/>
      </c>
      <c r="G3278">
        <f>IF(E3278=0,0,INDEX('Планы менеджеров'!$B$5:$M$16,B3278,D3278)/INDEX(Мес_Раб,D3278))</f>
        <v/>
      </c>
    </row>
    <row r="3279">
      <c r="A3279" t="inlineStr">
        <is>
          <t>Лебедев</t>
        </is>
      </c>
      <c r="B3279" t="n">
        <v>13</v>
      </c>
      <c r="C3279" s="18">
        <f>'Календарь'!A308</f>
        <v/>
      </c>
      <c r="D3279">
        <f>MONTH(C3279)</f>
        <v/>
      </c>
      <c r="E3279">
        <f>'Календарь'!D308</f>
        <v/>
      </c>
      <c r="F3279">
        <f>INT((C3279-Нед_Начало)/7)+1</f>
        <v/>
      </c>
      <c r="G3279">
        <f>IF(E3279=0,0,INDEX('Планы менеджеров'!$B$5:$M$16,B3279,D3279)/INDEX(Мес_Раб,D3279))</f>
        <v/>
      </c>
    </row>
    <row r="3280">
      <c r="A3280" t="inlineStr">
        <is>
          <t>Лебедев</t>
        </is>
      </c>
      <c r="B3280" t="n">
        <v>13</v>
      </c>
      <c r="C3280" s="18">
        <f>'Календарь'!A309</f>
        <v/>
      </c>
      <c r="D3280">
        <f>MONTH(C3280)</f>
        <v/>
      </c>
      <c r="E3280">
        <f>'Календарь'!D309</f>
        <v/>
      </c>
      <c r="F3280">
        <f>INT((C3280-Нед_Начало)/7)+1</f>
        <v/>
      </c>
      <c r="G3280">
        <f>IF(E3280=0,0,INDEX('Планы менеджеров'!$B$5:$M$16,B3280,D3280)/INDEX(Мес_Раб,D3280))</f>
        <v/>
      </c>
    </row>
    <row r="3281">
      <c r="A3281" t="inlineStr">
        <is>
          <t>Лебедев</t>
        </is>
      </c>
      <c r="B3281" t="n">
        <v>13</v>
      </c>
      <c r="C3281" s="18">
        <f>'Календарь'!A310</f>
        <v/>
      </c>
      <c r="D3281">
        <f>MONTH(C3281)</f>
        <v/>
      </c>
      <c r="E3281">
        <f>'Календарь'!D310</f>
        <v/>
      </c>
      <c r="F3281">
        <f>INT((C3281-Нед_Начало)/7)+1</f>
        <v/>
      </c>
      <c r="G3281">
        <f>IF(E3281=0,0,INDEX('Планы менеджеров'!$B$5:$M$16,B3281,D3281)/INDEX(Мес_Раб,D3281))</f>
        <v/>
      </c>
    </row>
    <row r="3282">
      <c r="A3282" t="inlineStr">
        <is>
          <t>Лебедев</t>
        </is>
      </c>
      <c r="B3282" t="n">
        <v>13</v>
      </c>
      <c r="C3282" s="18">
        <f>'Календарь'!A311</f>
        <v/>
      </c>
      <c r="D3282">
        <f>MONTH(C3282)</f>
        <v/>
      </c>
      <c r="E3282">
        <f>'Календарь'!D311</f>
        <v/>
      </c>
      <c r="F3282">
        <f>INT((C3282-Нед_Начало)/7)+1</f>
        <v/>
      </c>
      <c r="G3282">
        <f>IF(E3282=0,0,INDEX('Планы менеджеров'!$B$5:$M$16,B3282,D3282)/INDEX(Мес_Раб,D3282))</f>
        <v/>
      </c>
    </row>
    <row r="3283">
      <c r="A3283" t="inlineStr">
        <is>
          <t>Лебедев</t>
        </is>
      </c>
      <c r="B3283" t="n">
        <v>13</v>
      </c>
      <c r="C3283" s="18">
        <f>'Календарь'!A312</f>
        <v/>
      </c>
      <c r="D3283">
        <f>MONTH(C3283)</f>
        <v/>
      </c>
      <c r="E3283">
        <f>'Календарь'!D312</f>
        <v/>
      </c>
      <c r="F3283">
        <f>INT((C3283-Нед_Начало)/7)+1</f>
        <v/>
      </c>
      <c r="G3283">
        <f>IF(E3283=0,0,INDEX('Планы менеджеров'!$B$5:$M$16,B3283,D3283)/INDEX(Мес_Раб,D3283))</f>
        <v/>
      </c>
    </row>
    <row r="3284">
      <c r="A3284" t="inlineStr">
        <is>
          <t>Лебедев</t>
        </is>
      </c>
      <c r="B3284" t="n">
        <v>13</v>
      </c>
      <c r="C3284" s="18">
        <f>'Календарь'!A313</f>
        <v/>
      </c>
      <c r="D3284">
        <f>MONTH(C3284)</f>
        <v/>
      </c>
      <c r="E3284">
        <f>'Календарь'!D313</f>
        <v/>
      </c>
      <c r="F3284">
        <f>INT((C3284-Нед_Начало)/7)+1</f>
        <v/>
      </c>
      <c r="G3284">
        <f>IF(E3284=0,0,INDEX('Планы менеджеров'!$B$5:$M$16,B3284,D3284)/INDEX(Мес_Раб,D3284))</f>
        <v/>
      </c>
    </row>
    <row r="3285">
      <c r="A3285" t="inlineStr">
        <is>
          <t>Лебедев</t>
        </is>
      </c>
      <c r="B3285" t="n">
        <v>13</v>
      </c>
      <c r="C3285" s="18">
        <f>'Календарь'!A314</f>
        <v/>
      </c>
      <c r="D3285">
        <f>MONTH(C3285)</f>
        <v/>
      </c>
      <c r="E3285">
        <f>'Календарь'!D314</f>
        <v/>
      </c>
      <c r="F3285">
        <f>INT((C3285-Нед_Начало)/7)+1</f>
        <v/>
      </c>
      <c r="G3285">
        <f>IF(E3285=0,0,INDEX('Планы менеджеров'!$B$5:$M$16,B3285,D3285)/INDEX(Мес_Раб,D3285))</f>
        <v/>
      </c>
    </row>
    <row r="3286">
      <c r="A3286" t="inlineStr">
        <is>
          <t>Лебедев</t>
        </is>
      </c>
      <c r="B3286" t="n">
        <v>13</v>
      </c>
      <c r="C3286" s="18">
        <f>'Календарь'!A315</f>
        <v/>
      </c>
      <c r="D3286">
        <f>MONTH(C3286)</f>
        <v/>
      </c>
      <c r="E3286">
        <f>'Календарь'!D315</f>
        <v/>
      </c>
      <c r="F3286">
        <f>INT((C3286-Нед_Начало)/7)+1</f>
        <v/>
      </c>
      <c r="G3286">
        <f>IF(E3286=0,0,INDEX('Планы менеджеров'!$B$5:$M$16,B3286,D3286)/INDEX(Мес_Раб,D3286))</f>
        <v/>
      </c>
    </row>
    <row r="3287">
      <c r="A3287" t="inlineStr">
        <is>
          <t>Лебедев</t>
        </is>
      </c>
      <c r="B3287" t="n">
        <v>13</v>
      </c>
      <c r="C3287" s="18">
        <f>'Календарь'!A316</f>
        <v/>
      </c>
      <c r="D3287">
        <f>MONTH(C3287)</f>
        <v/>
      </c>
      <c r="E3287">
        <f>'Календарь'!D316</f>
        <v/>
      </c>
      <c r="F3287">
        <f>INT((C3287-Нед_Начало)/7)+1</f>
        <v/>
      </c>
      <c r="G3287">
        <f>IF(E3287=0,0,INDEX('Планы менеджеров'!$B$5:$M$16,B3287,D3287)/INDEX(Мес_Раб,D3287))</f>
        <v/>
      </c>
    </row>
    <row r="3288">
      <c r="A3288" t="inlineStr">
        <is>
          <t>Лебедев</t>
        </is>
      </c>
      <c r="B3288" t="n">
        <v>13</v>
      </c>
      <c r="C3288" s="18">
        <f>'Календарь'!A317</f>
        <v/>
      </c>
      <c r="D3288">
        <f>MONTH(C3288)</f>
        <v/>
      </c>
      <c r="E3288">
        <f>'Календарь'!D317</f>
        <v/>
      </c>
      <c r="F3288">
        <f>INT((C3288-Нед_Начало)/7)+1</f>
        <v/>
      </c>
      <c r="G3288">
        <f>IF(E3288=0,0,INDEX('Планы менеджеров'!$B$5:$M$16,B3288,D3288)/INDEX(Мес_Раб,D3288))</f>
        <v/>
      </c>
    </row>
    <row r="3289">
      <c r="A3289" t="inlineStr">
        <is>
          <t>Лебедев</t>
        </is>
      </c>
      <c r="B3289" t="n">
        <v>13</v>
      </c>
      <c r="C3289" s="18">
        <f>'Календарь'!A318</f>
        <v/>
      </c>
      <c r="D3289">
        <f>MONTH(C3289)</f>
        <v/>
      </c>
      <c r="E3289">
        <f>'Календарь'!D318</f>
        <v/>
      </c>
      <c r="F3289">
        <f>INT((C3289-Нед_Начало)/7)+1</f>
        <v/>
      </c>
      <c r="G3289">
        <f>IF(E3289=0,0,INDEX('Планы менеджеров'!$B$5:$M$16,B3289,D3289)/INDEX(Мес_Раб,D3289))</f>
        <v/>
      </c>
    </row>
    <row r="3290">
      <c r="A3290" t="inlineStr">
        <is>
          <t>Лебедев</t>
        </is>
      </c>
      <c r="B3290" t="n">
        <v>13</v>
      </c>
      <c r="C3290" s="18">
        <f>'Календарь'!A319</f>
        <v/>
      </c>
      <c r="D3290">
        <f>MONTH(C3290)</f>
        <v/>
      </c>
      <c r="E3290">
        <f>'Календарь'!D319</f>
        <v/>
      </c>
      <c r="F3290">
        <f>INT((C3290-Нед_Начало)/7)+1</f>
        <v/>
      </c>
      <c r="G3290">
        <f>IF(E3290=0,0,INDEX('Планы менеджеров'!$B$5:$M$16,B3290,D3290)/INDEX(Мес_Раб,D3290))</f>
        <v/>
      </c>
    </row>
    <row r="3291">
      <c r="A3291" t="inlineStr">
        <is>
          <t>Лебедев</t>
        </is>
      </c>
      <c r="B3291" t="n">
        <v>13</v>
      </c>
      <c r="C3291" s="18">
        <f>'Календарь'!A320</f>
        <v/>
      </c>
      <c r="D3291">
        <f>MONTH(C3291)</f>
        <v/>
      </c>
      <c r="E3291">
        <f>'Календарь'!D320</f>
        <v/>
      </c>
      <c r="F3291">
        <f>INT((C3291-Нед_Начало)/7)+1</f>
        <v/>
      </c>
      <c r="G3291">
        <f>IF(E3291=0,0,INDEX('Планы менеджеров'!$B$5:$M$16,B3291,D3291)/INDEX(Мес_Раб,D3291))</f>
        <v/>
      </c>
    </row>
    <row r="3292">
      <c r="A3292" t="inlineStr">
        <is>
          <t>Лебедев</t>
        </is>
      </c>
      <c r="B3292" t="n">
        <v>13</v>
      </c>
      <c r="C3292" s="18">
        <f>'Календарь'!A321</f>
        <v/>
      </c>
      <c r="D3292">
        <f>MONTH(C3292)</f>
        <v/>
      </c>
      <c r="E3292">
        <f>'Календарь'!D321</f>
        <v/>
      </c>
      <c r="F3292">
        <f>INT((C3292-Нед_Начало)/7)+1</f>
        <v/>
      </c>
      <c r="G3292">
        <f>IF(E3292=0,0,INDEX('Планы менеджеров'!$B$5:$M$16,B3292,D3292)/INDEX(Мес_Раб,D3292))</f>
        <v/>
      </c>
    </row>
    <row r="3293">
      <c r="A3293" t="inlineStr">
        <is>
          <t>Лебедев</t>
        </is>
      </c>
      <c r="B3293" t="n">
        <v>13</v>
      </c>
      <c r="C3293" s="18">
        <f>'Календарь'!A322</f>
        <v/>
      </c>
      <c r="D3293">
        <f>MONTH(C3293)</f>
        <v/>
      </c>
      <c r="E3293">
        <f>'Календарь'!D322</f>
        <v/>
      </c>
      <c r="F3293">
        <f>INT((C3293-Нед_Начало)/7)+1</f>
        <v/>
      </c>
      <c r="G3293">
        <f>IF(E3293=0,0,INDEX('Планы менеджеров'!$B$5:$M$16,B3293,D3293)/INDEX(Мес_Раб,D3293))</f>
        <v/>
      </c>
    </row>
    <row r="3294">
      <c r="A3294" t="inlineStr">
        <is>
          <t>Лебедев</t>
        </is>
      </c>
      <c r="B3294" t="n">
        <v>13</v>
      </c>
      <c r="C3294" s="18">
        <f>'Календарь'!A323</f>
        <v/>
      </c>
      <c r="D3294">
        <f>MONTH(C3294)</f>
        <v/>
      </c>
      <c r="E3294">
        <f>'Календарь'!D323</f>
        <v/>
      </c>
      <c r="F3294">
        <f>INT((C3294-Нед_Начало)/7)+1</f>
        <v/>
      </c>
      <c r="G3294">
        <f>IF(E3294=0,0,INDEX('Планы менеджеров'!$B$5:$M$16,B3294,D3294)/INDEX(Мес_Раб,D3294))</f>
        <v/>
      </c>
    </row>
    <row r="3295">
      <c r="A3295" t="inlineStr">
        <is>
          <t>Лебедев</t>
        </is>
      </c>
      <c r="B3295" t="n">
        <v>13</v>
      </c>
      <c r="C3295" s="18">
        <f>'Календарь'!A324</f>
        <v/>
      </c>
      <c r="D3295">
        <f>MONTH(C3295)</f>
        <v/>
      </c>
      <c r="E3295">
        <f>'Календарь'!D324</f>
        <v/>
      </c>
      <c r="F3295">
        <f>INT((C3295-Нед_Начало)/7)+1</f>
        <v/>
      </c>
      <c r="G3295">
        <f>IF(E3295=0,0,INDEX('Планы менеджеров'!$B$5:$M$16,B3295,D3295)/INDEX(Мес_Раб,D3295))</f>
        <v/>
      </c>
    </row>
    <row r="3296">
      <c r="A3296" t="inlineStr">
        <is>
          <t>Лебедев</t>
        </is>
      </c>
      <c r="B3296" t="n">
        <v>13</v>
      </c>
      <c r="C3296" s="18">
        <f>'Календарь'!A325</f>
        <v/>
      </c>
      <c r="D3296">
        <f>MONTH(C3296)</f>
        <v/>
      </c>
      <c r="E3296">
        <f>'Календарь'!D325</f>
        <v/>
      </c>
      <c r="F3296">
        <f>INT((C3296-Нед_Начало)/7)+1</f>
        <v/>
      </c>
      <c r="G3296">
        <f>IF(E3296=0,0,INDEX('Планы менеджеров'!$B$5:$M$16,B3296,D3296)/INDEX(Мес_Раб,D3296))</f>
        <v/>
      </c>
    </row>
    <row r="3297">
      <c r="A3297" t="inlineStr">
        <is>
          <t>Лебедев</t>
        </is>
      </c>
      <c r="B3297" t="n">
        <v>13</v>
      </c>
      <c r="C3297" s="18">
        <f>'Календарь'!A326</f>
        <v/>
      </c>
      <c r="D3297">
        <f>MONTH(C3297)</f>
        <v/>
      </c>
      <c r="E3297">
        <f>'Календарь'!D326</f>
        <v/>
      </c>
      <c r="F3297">
        <f>INT((C3297-Нед_Начало)/7)+1</f>
        <v/>
      </c>
      <c r="G3297">
        <f>IF(E3297=0,0,INDEX('Планы менеджеров'!$B$5:$M$16,B3297,D3297)/INDEX(Мес_Раб,D3297))</f>
        <v/>
      </c>
    </row>
    <row r="3298">
      <c r="A3298" t="inlineStr">
        <is>
          <t>Лебедев</t>
        </is>
      </c>
      <c r="B3298" t="n">
        <v>13</v>
      </c>
      <c r="C3298" s="18">
        <f>'Календарь'!A327</f>
        <v/>
      </c>
      <c r="D3298">
        <f>MONTH(C3298)</f>
        <v/>
      </c>
      <c r="E3298">
        <f>'Календарь'!D327</f>
        <v/>
      </c>
      <c r="F3298">
        <f>INT((C3298-Нед_Начало)/7)+1</f>
        <v/>
      </c>
      <c r="G3298">
        <f>IF(E3298=0,0,INDEX('Планы менеджеров'!$B$5:$M$16,B3298,D3298)/INDEX(Мес_Раб,D3298))</f>
        <v/>
      </c>
    </row>
    <row r="3299">
      <c r="A3299" t="inlineStr">
        <is>
          <t>Лебедев</t>
        </is>
      </c>
      <c r="B3299" t="n">
        <v>13</v>
      </c>
      <c r="C3299" s="18">
        <f>'Календарь'!A328</f>
        <v/>
      </c>
      <c r="D3299">
        <f>MONTH(C3299)</f>
        <v/>
      </c>
      <c r="E3299">
        <f>'Календарь'!D328</f>
        <v/>
      </c>
      <c r="F3299">
        <f>INT((C3299-Нед_Начало)/7)+1</f>
        <v/>
      </c>
      <c r="G3299">
        <f>IF(E3299=0,0,INDEX('Планы менеджеров'!$B$5:$M$16,B3299,D3299)/INDEX(Мес_Раб,D3299))</f>
        <v/>
      </c>
    </row>
    <row r="3300">
      <c r="A3300" t="inlineStr">
        <is>
          <t>Лебедев</t>
        </is>
      </c>
      <c r="B3300" t="n">
        <v>13</v>
      </c>
      <c r="C3300" s="18">
        <f>'Календарь'!A329</f>
        <v/>
      </c>
      <c r="D3300">
        <f>MONTH(C3300)</f>
        <v/>
      </c>
      <c r="E3300">
        <f>'Календарь'!D329</f>
        <v/>
      </c>
      <c r="F3300">
        <f>INT((C3300-Нед_Начало)/7)+1</f>
        <v/>
      </c>
      <c r="G3300">
        <f>IF(E3300=0,0,INDEX('Планы менеджеров'!$B$5:$M$16,B3300,D3300)/INDEX(Мес_Раб,D3300))</f>
        <v/>
      </c>
    </row>
    <row r="3301">
      <c r="A3301" t="inlineStr">
        <is>
          <t>Лебедев</t>
        </is>
      </c>
      <c r="B3301" t="n">
        <v>13</v>
      </c>
      <c r="C3301" s="18">
        <f>'Календарь'!A330</f>
        <v/>
      </c>
      <c r="D3301">
        <f>MONTH(C3301)</f>
        <v/>
      </c>
      <c r="E3301">
        <f>'Календарь'!D330</f>
        <v/>
      </c>
      <c r="F3301">
        <f>INT((C3301-Нед_Начало)/7)+1</f>
        <v/>
      </c>
      <c r="G3301">
        <f>IF(E3301=0,0,INDEX('Планы менеджеров'!$B$5:$M$16,B3301,D3301)/INDEX(Мес_Раб,D3301))</f>
        <v/>
      </c>
    </row>
    <row r="3302">
      <c r="A3302" t="inlineStr">
        <is>
          <t>Лебедев</t>
        </is>
      </c>
      <c r="B3302" t="n">
        <v>13</v>
      </c>
      <c r="C3302" s="18">
        <f>'Календарь'!A331</f>
        <v/>
      </c>
      <c r="D3302">
        <f>MONTH(C3302)</f>
        <v/>
      </c>
      <c r="E3302">
        <f>'Календарь'!D331</f>
        <v/>
      </c>
      <c r="F3302">
        <f>INT((C3302-Нед_Начало)/7)+1</f>
        <v/>
      </c>
      <c r="G3302">
        <f>IF(E3302=0,0,INDEX('Планы менеджеров'!$B$5:$M$16,B3302,D3302)/INDEX(Мес_Раб,D3302))</f>
        <v/>
      </c>
    </row>
    <row r="3303">
      <c r="A3303" t="inlineStr">
        <is>
          <t>Лебедев</t>
        </is>
      </c>
      <c r="B3303" t="n">
        <v>13</v>
      </c>
      <c r="C3303" s="18">
        <f>'Календарь'!A332</f>
        <v/>
      </c>
      <c r="D3303">
        <f>MONTH(C3303)</f>
        <v/>
      </c>
      <c r="E3303">
        <f>'Календарь'!D332</f>
        <v/>
      </c>
      <c r="F3303">
        <f>INT((C3303-Нед_Начало)/7)+1</f>
        <v/>
      </c>
      <c r="G3303">
        <f>IF(E3303=0,0,INDEX('Планы менеджеров'!$B$5:$M$16,B3303,D3303)/INDEX(Мес_Раб,D3303))</f>
        <v/>
      </c>
    </row>
    <row r="3304">
      <c r="A3304" t="inlineStr">
        <is>
          <t>Лебедев</t>
        </is>
      </c>
      <c r="B3304" t="n">
        <v>13</v>
      </c>
      <c r="C3304" s="18">
        <f>'Календарь'!A333</f>
        <v/>
      </c>
      <c r="D3304">
        <f>MONTH(C3304)</f>
        <v/>
      </c>
      <c r="E3304">
        <f>'Календарь'!D333</f>
        <v/>
      </c>
      <c r="F3304">
        <f>INT((C3304-Нед_Начало)/7)+1</f>
        <v/>
      </c>
      <c r="G3304">
        <f>IF(E3304=0,0,INDEX('Планы менеджеров'!$B$5:$M$16,B3304,D3304)/INDEX(Мес_Раб,D3304))</f>
        <v/>
      </c>
    </row>
    <row r="3305">
      <c r="A3305" t="inlineStr">
        <is>
          <t>Лебедев</t>
        </is>
      </c>
      <c r="B3305" t="n">
        <v>13</v>
      </c>
      <c r="C3305" s="18">
        <f>'Календарь'!A334</f>
        <v/>
      </c>
      <c r="D3305">
        <f>MONTH(C3305)</f>
        <v/>
      </c>
      <c r="E3305">
        <f>'Календарь'!D334</f>
        <v/>
      </c>
      <c r="F3305">
        <f>INT((C3305-Нед_Начало)/7)+1</f>
        <v/>
      </c>
      <c r="G3305">
        <f>IF(E3305=0,0,INDEX('Планы менеджеров'!$B$5:$M$16,B3305,D3305)/INDEX(Мес_Раб,D3305))</f>
        <v/>
      </c>
    </row>
    <row r="3306">
      <c r="A3306" t="inlineStr">
        <is>
          <t>Лебедев</t>
        </is>
      </c>
      <c r="B3306" t="n">
        <v>13</v>
      </c>
      <c r="C3306" s="18">
        <f>'Календарь'!A335</f>
        <v/>
      </c>
      <c r="D3306">
        <f>MONTH(C3306)</f>
        <v/>
      </c>
      <c r="E3306">
        <f>'Календарь'!D335</f>
        <v/>
      </c>
      <c r="F3306">
        <f>INT((C3306-Нед_Начало)/7)+1</f>
        <v/>
      </c>
      <c r="G3306">
        <f>IF(E3306=0,0,INDEX('Планы менеджеров'!$B$5:$M$16,B3306,D3306)/INDEX(Мес_Раб,D3306))</f>
        <v/>
      </c>
    </row>
    <row r="3307">
      <c r="A3307" t="inlineStr">
        <is>
          <t>Лебедев</t>
        </is>
      </c>
      <c r="B3307" t="n">
        <v>13</v>
      </c>
      <c r="C3307" s="18">
        <f>'Календарь'!A336</f>
        <v/>
      </c>
      <c r="D3307">
        <f>MONTH(C3307)</f>
        <v/>
      </c>
      <c r="E3307">
        <f>'Календарь'!D336</f>
        <v/>
      </c>
      <c r="F3307">
        <f>INT((C3307-Нед_Начало)/7)+1</f>
        <v/>
      </c>
      <c r="G3307">
        <f>IF(E3307=0,0,INDEX('Планы менеджеров'!$B$5:$M$16,B3307,D3307)/INDEX(Мес_Раб,D3307))</f>
        <v/>
      </c>
    </row>
    <row r="3308">
      <c r="A3308" t="inlineStr">
        <is>
          <t>Лебедев</t>
        </is>
      </c>
      <c r="B3308" t="n">
        <v>13</v>
      </c>
      <c r="C3308" s="18">
        <f>'Календарь'!A337</f>
        <v/>
      </c>
      <c r="D3308">
        <f>MONTH(C3308)</f>
        <v/>
      </c>
      <c r="E3308">
        <f>'Календарь'!D337</f>
        <v/>
      </c>
      <c r="F3308">
        <f>INT((C3308-Нед_Начало)/7)+1</f>
        <v/>
      </c>
      <c r="G3308">
        <f>IF(E3308=0,0,INDEX('Планы менеджеров'!$B$5:$M$16,B3308,D3308)/INDEX(Мес_Раб,D3308))</f>
        <v/>
      </c>
    </row>
    <row r="3309">
      <c r="A3309" t="inlineStr">
        <is>
          <t>Лебедев</t>
        </is>
      </c>
      <c r="B3309" t="n">
        <v>13</v>
      </c>
      <c r="C3309" s="18">
        <f>'Календарь'!A338</f>
        <v/>
      </c>
      <c r="D3309">
        <f>MONTH(C3309)</f>
        <v/>
      </c>
      <c r="E3309">
        <f>'Календарь'!D338</f>
        <v/>
      </c>
      <c r="F3309">
        <f>INT((C3309-Нед_Начало)/7)+1</f>
        <v/>
      </c>
      <c r="G3309">
        <f>IF(E3309=0,0,INDEX('Планы менеджеров'!$B$5:$M$16,B3309,D3309)/INDEX(Мес_Раб,D3309))</f>
        <v/>
      </c>
    </row>
    <row r="3310">
      <c r="A3310" t="inlineStr">
        <is>
          <t>Лебедев</t>
        </is>
      </c>
      <c r="B3310" t="n">
        <v>13</v>
      </c>
      <c r="C3310" s="18">
        <f>'Календарь'!A339</f>
        <v/>
      </c>
      <c r="D3310">
        <f>MONTH(C3310)</f>
        <v/>
      </c>
      <c r="E3310">
        <f>'Календарь'!D339</f>
        <v/>
      </c>
      <c r="F3310">
        <f>INT((C3310-Нед_Начало)/7)+1</f>
        <v/>
      </c>
      <c r="G3310">
        <f>IF(E3310=0,0,INDEX('Планы менеджеров'!$B$5:$M$16,B3310,D3310)/INDEX(Мес_Раб,D3310))</f>
        <v/>
      </c>
    </row>
    <row r="3311">
      <c r="A3311" t="inlineStr">
        <is>
          <t>Лебедев</t>
        </is>
      </c>
      <c r="B3311" t="n">
        <v>13</v>
      </c>
      <c r="C3311" s="18">
        <f>'Календарь'!A340</f>
        <v/>
      </c>
      <c r="D3311">
        <f>MONTH(C3311)</f>
        <v/>
      </c>
      <c r="E3311">
        <f>'Календарь'!D340</f>
        <v/>
      </c>
      <c r="F3311">
        <f>INT((C3311-Нед_Начало)/7)+1</f>
        <v/>
      </c>
      <c r="G3311">
        <f>IF(E3311=0,0,INDEX('Планы менеджеров'!$B$5:$M$16,B3311,D3311)/INDEX(Мес_Раб,D3311))</f>
        <v/>
      </c>
    </row>
    <row r="3312">
      <c r="A3312" t="inlineStr">
        <is>
          <t>Лебедев</t>
        </is>
      </c>
      <c r="B3312" t="n">
        <v>13</v>
      </c>
      <c r="C3312" s="18">
        <f>'Календарь'!A341</f>
        <v/>
      </c>
      <c r="D3312">
        <f>MONTH(C3312)</f>
        <v/>
      </c>
      <c r="E3312">
        <f>'Календарь'!D341</f>
        <v/>
      </c>
      <c r="F3312">
        <f>INT((C3312-Нед_Начало)/7)+1</f>
        <v/>
      </c>
      <c r="G3312">
        <f>IF(E3312=0,0,INDEX('Планы менеджеров'!$B$5:$M$16,B3312,D3312)/INDEX(Мес_Раб,D3312))</f>
        <v/>
      </c>
    </row>
    <row r="3313">
      <c r="A3313" t="inlineStr">
        <is>
          <t>Лебедев</t>
        </is>
      </c>
      <c r="B3313" t="n">
        <v>13</v>
      </c>
      <c r="C3313" s="18">
        <f>'Календарь'!A342</f>
        <v/>
      </c>
      <c r="D3313">
        <f>MONTH(C3313)</f>
        <v/>
      </c>
      <c r="E3313">
        <f>'Календарь'!D342</f>
        <v/>
      </c>
      <c r="F3313">
        <f>INT((C3313-Нед_Начало)/7)+1</f>
        <v/>
      </c>
      <c r="G3313">
        <f>IF(E3313=0,0,INDEX('Планы менеджеров'!$B$5:$M$16,B3313,D3313)/INDEX(Мес_Раб,D3313))</f>
        <v/>
      </c>
    </row>
    <row r="3314">
      <c r="A3314" t="inlineStr">
        <is>
          <t>Лебедев</t>
        </is>
      </c>
      <c r="B3314" t="n">
        <v>13</v>
      </c>
      <c r="C3314" s="18">
        <f>'Календарь'!A343</f>
        <v/>
      </c>
      <c r="D3314">
        <f>MONTH(C3314)</f>
        <v/>
      </c>
      <c r="E3314">
        <f>'Календарь'!D343</f>
        <v/>
      </c>
      <c r="F3314">
        <f>INT((C3314-Нед_Начало)/7)+1</f>
        <v/>
      </c>
      <c r="G3314">
        <f>IF(E3314=0,0,INDEX('Планы менеджеров'!$B$5:$M$16,B3314,D3314)/INDEX(Мес_Раб,D3314))</f>
        <v/>
      </c>
    </row>
    <row r="3315">
      <c r="A3315" t="inlineStr">
        <is>
          <t>Лебедев</t>
        </is>
      </c>
      <c r="B3315" t="n">
        <v>13</v>
      </c>
      <c r="C3315" s="18">
        <f>'Календарь'!A344</f>
        <v/>
      </c>
      <c r="D3315">
        <f>MONTH(C3315)</f>
        <v/>
      </c>
      <c r="E3315">
        <f>'Календарь'!D344</f>
        <v/>
      </c>
      <c r="F3315">
        <f>INT((C3315-Нед_Начало)/7)+1</f>
        <v/>
      </c>
      <c r="G3315">
        <f>IF(E3315=0,0,INDEX('Планы менеджеров'!$B$5:$M$16,B3315,D3315)/INDEX(Мес_Раб,D3315))</f>
        <v/>
      </c>
    </row>
    <row r="3316">
      <c r="A3316" t="inlineStr">
        <is>
          <t>Лебедев</t>
        </is>
      </c>
      <c r="B3316" t="n">
        <v>13</v>
      </c>
      <c r="C3316" s="18">
        <f>'Календарь'!A345</f>
        <v/>
      </c>
      <c r="D3316">
        <f>MONTH(C3316)</f>
        <v/>
      </c>
      <c r="E3316">
        <f>'Календарь'!D345</f>
        <v/>
      </c>
      <c r="F3316">
        <f>INT((C3316-Нед_Начало)/7)+1</f>
        <v/>
      </c>
      <c r="G3316">
        <f>IF(E3316=0,0,INDEX('Планы менеджеров'!$B$5:$M$16,B3316,D3316)/INDEX(Мес_Раб,D3316))</f>
        <v/>
      </c>
    </row>
    <row r="3317">
      <c r="A3317" t="inlineStr">
        <is>
          <t>Лебедев</t>
        </is>
      </c>
      <c r="B3317" t="n">
        <v>13</v>
      </c>
      <c r="C3317" s="18">
        <f>'Календарь'!A346</f>
        <v/>
      </c>
      <c r="D3317">
        <f>MONTH(C3317)</f>
        <v/>
      </c>
      <c r="E3317">
        <f>'Календарь'!D346</f>
        <v/>
      </c>
      <c r="F3317">
        <f>INT((C3317-Нед_Начало)/7)+1</f>
        <v/>
      </c>
      <c r="G3317">
        <f>IF(E3317=0,0,INDEX('Планы менеджеров'!$B$5:$M$16,B3317,D3317)/INDEX(Мес_Раб,D3317))</f>
        <v/>
      </c>
    </row>
    <row r="3318">
      <c r="A3318" t="inlineStr">
        <is>
          <t>Лебедев</t>
        </is>
      </c>
      <c r="B3318" t="n">
        <v>13</v>
      </c>
      <c r="C3318" s="18">
        <f>'Календарь'!A347</f>
        <v/>
      </c>
      <c r="D3318">
        <f>MONTH(C3318)</f>
        <v/>
      </c>
      <c r="E3318">
        <f>'Календарь'!D347</f>
        <v/>
      </c>
      <c r="F3318">
        <f>INT((C3318-Нед_Начало)/7)+1</f>
        <v/>
      </c>
      <c r="G3318">
        <f>IF(E3318=0,0,INDEX('Планы менеджеров'!$B$5:$M$16,B3318,D3318)/INDEX(Мес_Раб,D3318))</f>
        <v/>
      </c>
    </row>
    <row r="3319">
      <c r="A3319" t="inlineStr">
        <is>
          <t>Лебедев</t>
        </is>
      </c>
      <c r="B3319" t="n">
        <v>13</v>
      </c>
      <c r="C3319" s="18">
        <f>'Календарь'!A348</f>
        <v/>
      </c>
      <c r="D3319">
        <f>MONTH(C3319)</f>
        <v/>
      </c>
      <c r="E3319">
        <f>'Календарь'!D348</f>
        <v/>
      </c>
      <c r="F3319">
        <f>INT((C3319-Нед_Начало)/7)+1</f>
        <v/>
      </c>
      <c r="G3319">
        <f>IF(E3319=0,0,INDEX('Планы менеджеров'!$B$5:$M$16,B3319,D3319)/INDEX(Мес_Раб,D3319))</f>
        <v/>
      </c>
    </row>
    <row r="3320">
      <c r="A3320" t="inlineStr">
        <is>
          <t>Лебедев</t>
        </is>
      </c>
      <c r="B3320" t="n">
        <v>13</v>
      </c>
      <c r="C3320" s="18">
        <f>'Календарь'!A349</f>
        <v/>
      </c>
      <c r="D3320">
        <f>MONTH(C3320)</f>
        <v/>
      </c>
      <c r="E3320">
        <f>'Календарь'!D349</f>
        <v/>
      </c>
      <c r="F3320">
        <f>INT((C3320-Нед_Начало)/7)+1</f>
        <v/>
      </c>
      <c r="G3320">
        <f>IF(E3320=0,0,INDEX('Планы менеджеров'!$B$5:$M$16,B3320,D3320)/INDEX(Мес_Раб,D3320))</f>
        <v/>
      </c>
    </row>
    <row r="3321">
      <c r="A3321" t="inlineStr">
        <is>
          <t>Лебедев</t>
        </is>
      </c>
      <c r="B3321" t="n">
        <v>13</v>
      </c>
      <c r="C3321" s="18">
        <f>'Календарь'!A350</f>
        <v/>
      </c>
      <c r="D3321">
        <f>MONTH(C3321)</f>
        <v/>
      </c>
      <c r="E3321">
        <f>'Календарь'!D350</f>
        <v/>
      </c>
      <c r="F3321">
        <f>INT((C3321-Нед_Начало)/7)+1</f>
        <v/>
      </c>
      <c r="G3321">
        <f>IF(E3321=0,0,INDEX('Планы менеджеров'!$B$5:$M$16,B3321,D3321)/INDEX(Мес_Раб,D3321))</f>
        <v/>
      </c>
    </row>
    <row r="3322">
      <c r="A3322" t="inlineStr">
        <is>
          <t>Лебедев</t>
        </is>
      </c>
      <c r="B3322" t="n">
        <v>13</v>
      </c>
      <c r="C3322" s="18">
        <f>'Календарь'!A351</f>
        <v/>
      </c>
      <c r="D3322">
        <f>MONTH(C3322)</f>
        <v/>
      </c>
      <c r="E3322">
        <f>'Календарь'!D351</f>
        <v/>
      </c>
      <c r="F3322">
        <f>INT((C3322-Нед_Начало)/7)+1</f>
        <v/>
      </c>
      <c r="G3322">
        <f>IF(E3322=0,0,INDEX('Планы менеджеров'!$B$5:$M$16,B3322,D3322)/INDEX(Мес_Раб,D3322))</f>
        <v/>
      </c>
    </row>
    <row r="3323">
      <c r="A3323" t="inlineStr">
        <is>
          <t>Лебедев</t>
        </is>
      </c>
      <c r="B3323" t="n">
        <v>13</v>
      </c>
      <c r="C3323" s="18">
        <f>'Календарь'!A352</f>
        <v/>
      </c>
      <c r="D3323">
        <f>MONTH(C3323)</f>
        <v/>
      </c>
      <c r="E3323">
        <f>'Календарь'!D352</f>
        <v/>
      </c>
      <c r="F3323">
        <f>INT((C3323-Нед_Начало)/7)+1</f>
        <v/>
      </c>
      <c r="G3323">
        <f>IF(E3323=0,0,INDEX('Планы менеджеров'!$B$5:$M$16,B3323,D3323)/INDEX(Мес_Раб,D3323))</f>
        <v/>
      </c>
    </row>
    <row r="3324">
      <c r="A3324" t="inlineStr">
        <is>
          <t>Лебедев</t>
        </is>
      </c>
      <c r="B3324" t="n">
        <v>13</v>
      </c>
      <c r="C3324" s="18">
        <f>'Календарь'!A353</f>
        <v/>
      </c>
      <c r="D3324">
        <f>MONTH(C3324)</f>
        <v/>
      </c>
      <c r="E3324">
        <f>'Календарь'!D353</f>
        <v/>
      </c>
      <c r="F3324">
        <f>INT((C3324-Нед_Начало)/7)+1</f>
        <v/>
      </c>
      <c r="G3324">
        <f>IF(E3324=0,0,INDEX('Планы менеджеров'!$B$5:$M$16,B3324,D3324)/INDEX(Мес_Раб,D3324))</f>
        <v/>
      </c>
    </row>
    <row r="3325">
      <c r="A3325" t="inlineStr">
        <is>
          <t>Лебедев</t>
        </is>
      </c>
      <c r="B3325" t="n">
        <v>13</v>
      </c>
      <c r="C3325" s="18">
        <f>'Календарь'!A354</f>
        <v/>
      </c>
      <c r="D3325">
        <f>MONTH(C3325)</f>
        <v/>
      </c>
      <c r="E3325">
        <f>'Календарь'!D354</f>
        <v/>
      </c>
      <c r="F3325">
        <f>INT((C3325-Нед_Начало)/7)+1</f>
        <v/>
      </c>
      <c r="G3325">
        <f>IF(E3325=0,0,INDEX('Планы менеджеров'!$B$5:$M$16,B3325,D3325)/INDEX(Мес_Раб,D3325))</f>
        <v/>
      </c>
    </row>
    <row r="3326">
      <c r="A3326" t="inlineStr">
        <is>
          <t>Лебедев</t>
        </is>
      </c>
      <c r="B3326" t="n">
        <v>13</v>
      </c>
      <c r="C3326" s="18">
        <f>'Календарь'!A355</f>
        <v/>
      </c>
      <c r="D3326">
        <f>MONTH(C3326)</f>
        <v/>
      </c>
      <c r="E3326">
        <f>'Календарь'!D355</f>
        <v/>
      </c>
      <c r="F3326">
        <f>INT((C3326-Нед_Начало)/7)+1</f>
        <v/>
      </c>
      <c r="G3326">
        <f>IF(E3326=0,0,INDEX('Планы менеджеров'!$B$5:$M$16,B3326,D3326)/INDEX(Мес_Раб,D3326))</f>
        <v/>
      </c>
    </row>
    <row r="3327">
      <c r="A3327" t="inlineStr">
        <is>
          <t>Лебедев</t>
        </is>
      </c>
      <c r="B3327" t="n">
        <v>13</v>
      </c>
      <c r="C3327" s="18">
        <f>'Календарь'!A356</f>
        <v/>
      </c>
      <c r="D3327">
        <f>MONTH(C3327)</f>
        <v/>
      </c>
      <c r="E3327">
        <f>'Календарь'!D356</f>
        <v/>
      </c>
      <c r="F3327">
        <f>INT((C3327-Нед_Начало)/7)+1</f>
        <v/>
      </c>
      <c r="G3327">
        <f>IF(E3327=0,0,INDEX('Планы менеджеров'!$B$5:$M$16,B3327,D3327)/INDEX(Мес_Раб,D3327))</f>
        <v/>
      </c>
    </row>
    <row r="3328">
      <c r="A3328" t="inlineStr">
        <is>
          <t>Лебедев</t>
        </is>
      </c>
      <c r="B3328" t="n">
        <v>13</v>
      </c>
      <c r="C3328" s="18">
        <f>'Календарь'!A357</f>
        <v/>
      </c>
      <c r="D3328">
        <f>MONTH(C3328)</f>
        <v/>
      </c>
      <c r="E3328">
        <f>'Календарь'!D357</f>
        <v/>
      </c>
      <c r="F3328">
        <f>INT((C3328-Нед_Начало)/7)+1</f>
        <v/>
      </c>
      <c r="G3328">
        <f>IF(E3328=0,0,INDEX('Планы менеджеров'!$B$5:$M$16,B3328,D3328)/INDEX(Мес_Раб,D3328))</f>
        <v/>
      </c>
    </row>
    <row r="3329">
      <c r="A3329" t="inlineStr">
        <is>
          <t>Лебедев</t>
        </is>
      </c>
      <c r="B3329" t="n">
        <v>13</v>
      </c>
      <c r="C3329" s="18">
        <f>'Календарь'!A358</f>
        <v/>
      </c>
      <c r="D3329">
        <f>MONTH(C3329)</f>
        <v/>
      </c>
      <c r="E3329">
        <f>'Календарь'!D358</f>
        <v/>
      </c>
      <c r="F3329">
        <f>INT((C3329-Нед_Начало)/7)+1</f>
        <v/>
      </c>
      <c r="G3329">
        <f>IF(E3329=0,0,INDEX('Планы менеджеров'!$B$5:$M$16,B3329,D3329)/INDEX(Мес_Раб,D3329))</f>
        <v/>
      </c>
    </row>
    <row r="3330">
      <c r="A3330" t="inlineStr">
        <is>
          <t>Лебедев</t>
        </is>
      </c>
      <c r="B3330" t="n">
        <v>13</v>
      </c>
      <c r="C3330" s="18">
        <f>'Календарь'!A359</f>
        <v/>
      </c>
      <c r="D3330">
        <f>MONTH(C3330)</f>
        <v/>
      </c>
      <c r="E3330">
        <f>'Календарь'!D359</f>
        <v/>
      </c>
      <c r="F3330">
        <f>INT((C3330-Нед_Начало)/7)+1</f>
        <v/>
      </c>
      <c r="G3330">
        <f>IF(E3330=0,0,INDEX('Планы менеджеров'!$B$5:$M$16,B3330,D3330)/INDEX(Мес_Раб,D3330))</f>
        <v/>
      </c>
    </row>
    <row r="3331">
      <c r="A3331" t="inlineStr">
        <is>
          <t>Лебедев</t>
        </is>
      </c>
      <c r="B3331" t="n">
        <v>13</v>
      </c>
      <c r="C3331" s="18">
        <f>'Календарь'!A360</f>
        <v/>
      </c>
      <c r="D3331">
        <f>MONTH(C3331)</f>
        <v/>
      </c>
      <c r="E3331">
        <f>'Календарь'!D360</f>
        <v/>
      </c>
      <c r="F3331">
        <f>INT((C3331-Нед_Начало)/7)+1</f>
        <v/>
      </c>
      <c r="G3331">
        <f>IF(E3331=0,0,INDEX('Планы менеджеров'!$B$5:$M$16,B3331,D3331)/INDEX(Мес_Раб,D3331))</f>
        <v/>
      </c>
    </row>
    <row r="3332">
      <c r="A3332" t="inlineStr">
        <is>
          <t>Лебедев</t>
        </is>
      </c>
      <c r="B3332" t="n">
        <v>13</v>
      </c>
      <c r="C3332" s="18">
        <f>'Календарь'!A361</f>
        <v/>
      </c>
      <c r="D3332">
        <f>MONTH(C3332)</f>
        <v/>
      </c>
      <c r="E3332">
        <f>'Календарь'!D361</f>
        <v/>
      </c>
      <c r="F3332">
        <f>INT((C3332-Нед_Начало)/7)+1</f>
        <v/>
      </c>
      <c r="G3332">
        <f>IF(E3332=0,0,INDEX('Планы менеджеров'!$B$5:$M$16,B3332,D3332)/INDEX(Мес_Раб,D3332))</f>
        <v/>
      </c>
    </row>
    <row r="3333">
      <c r="A3333" t="inlineStr">
        <is>
          <t>Лебедев</t>
        </is>
      </c>
      <c r="B3333" t="n">
        <v>13</v>
      </c>
      <c r="C3333" s="18">
        <f>'Календарь'!A362</f>
        <v/>
      </c>
      <c r="D3333">
        <f>MONTH(C3333)</f>
        <v/>
      </c>
      <c r="E3333">
        <f>'Календарь'!D362</f>
        <v/>
      </c>
      <c r="F3333">
        <f>INT((C3333-Нед_Начало)/7)+1</f>
        <v/>
      </c>
      <c r="G3333">
        <f>IF(E3333=0,0,INDEX('Планы менеджеров'!$B$5:$M$16,B3333,D3333)/INDEX(Мес_Раб,D3333))</f>
        <v/>
      </c>
    </row>
    <row r="3334">
      <c r="A3334" t="inlineStr">
        <is>
          <t>Лебедев</t>
        </is>
      </c>
      <c r="B3334" t="n">
        <v>13</v>
      </c>
      <c r="C3334" s="18">
        <f>'Календарь'!A363</f>
        <v/>
      </c>
      <c r="D3334">
        <f>MONTH(C3334)</f>
        <v/>
      </c>
      <c r="E3334">
        <f>'Календарь'!D363</f>
        <v/>
      </c>
      <c r="F3334">
        <f>INT((C3334-Нед_Начало)/7)+1</f>
        <v/>
      </c>
      <c r="G3334">
        <f>IF(E3334=0,0,INDEX('Планы менеджеров'!$B$5:$M$16,B3334,D3334)/INDEX(Мес_Раб,D3334))</f>
        <v/>
      </c>
    </row>
    <row r="3335">
      <c r="A3335" t="inlineStr">
        <is>
          <t>Лебедев</t>
        </is>
      </c>
      <c r="B3335" t="n">
        <v>13</v>
      </c>
      <c r="C3335" s="18">
        <f>'Календарь'!A364</f>
        <v/>
      </c>
      <c r="D3335">
        <f>MONTH(C3335)</f>
        <v/>
      </c>
      <c r="E3335">
        <f>'Календарь'!D364</f>
        <v/>
      </c>
      <c r="F3335">
        <f>INT((C3335-Нед_Начало)/7)+1</f>
        <v/>
      </c>
      <c r="G3335">
        <f>IF(E3335=0,0,INDEX('Планы менеджеров'!$B$5:$M$16,B3335,D3335)/INDEX(Мес_Раб,D3335))</f>
        <v/>
      </c>
    </row>
    <row r="3336">
      <c r="A3336" t="inlineStr">
        <is>
          <t>Лебедев</t>
        </is>
      </c>
      <c r="B3336" t="n">
        <v>13</v>
      </c>
      <c r="C3336" s="18">
        <f>'Календарь'!A365</f>
        <v/>
      </c>
      <c r="D3336">
        <f>MONTH(C3336)</f>
        <v/>
      </c>
      <c r="E3336">
        <f>'Календарь'!D365</f>
        <v/>
      </c>
      <c r="F3336">
        <f>INT((C3336-Нед_Начало)/7)+1</f>
        <v/>
      </c>
      <c r="G3336">
        <f>IF(E3336=0,0,INDEX('Планы менеджеров'!$B$5:$M$16,B3336,D3336)/INDEX(Мес_Раб,D3336))</f>
        <v/>
      </c>
    </row>
    <row r="3337">
      <c r="A3337" t="inlineStr">
        <is>
          <t>Лебедев</t>
        </is>
      </c>
      <c r="B3337" t="n">
        <v>13</v>
      </c>
      <c r="C3337" s="18">
        <f>'Календарь'!A366</f>
        <v/>
      </c>
      <c r="D3337">
        <f>MONTH(C3337)</f>
        <v/>
      </c>
      <c r="E3337">
        <f>'Календарь'!D366</f>
        <v/>
      </c>
      <c r="F3337">
        <f>INT((C3337-Нед_Начало)/7)+1</f>
        <v/>
      </c>
      <c r="G3337">
        <f>IF(E3337=0,0,INDEX('Планы менеджеров'!$B$5:$M$16,B3337,D3337)/INDEX(Мес_Раб,D3337))</f>
        <v/>
      </c>
    </row>
    <row r="3338">
      <c r="A3338" t="inlineStr">
        <is>
          <t>Лебедев</t>
        </is>
      </c>
      <c r="B3338" t="n">
        <v>13</v>
      </c>
      <c r="C3338" s="18">
        <f>'Календарь'!A367</f>
        <v/>
      </c>
      <c r="D3338">
        <f>MONTH(C3338)</f>
        <v/>
      </c>
      <c r="E3338">
        <f>'Календарь'!D367</f>
        <v/>
      </c>
      <c r="F3338">
        <f>INT((C3338-Нед_Начало)/7)+1</f>
        <v/>
      </c>
      <c r="G3338">
        <f>IF(E3338=0,0,INDEX('Планы менеджеров'!$B$5:$M$16,B3338,D3338)/INDEX(Мес_Раб,D3338))</f>
        <v/>
      </c>
    </row>
    <row r="3339">
      <c r="A3339" t="inlineStr">
        <is>
          <t>Лебедев</t>
        </is>
      </c>
      <c r="B3339" t="n">
        <v>13</v>
      </c>
      <c r="C3339" s="18">
        <f>'Календарь'!A368</f>
        <v/>
      </c>
      <c r="D3339">
        <f>MONTH(C3339)</f>
        <v/>
      </c>
      <c r="E3339">
        <f>'Календарь'!D368</f>
        <v/>
      </c>
      <c r="F3339">
        <f>INT((C3339-Нед_Начало)/7)+1</f>
        <v/>
      </c>
      <c r="G3339">
        <f>IF(E3339=0,0,INDEX('Планы менеджеров'!$B$5:$M$16,B3339,D3339)/INDEX(Мес_Раб,D3339))</f>
        <v/>
      </c>
    </row>
    <row r="3340">
      <c r="A3340" t="inlineStr">
        <is>
          <t>Лебедев</t>
        </is>
      </c>
      <c r="B3340" t="n">
        <v>13</v>
      </c>
      <c r="C3340" s="18">
        <f>'Календарь'!A369</f>
        <v/>
      </c>
      <c r="D3340">
        <f>MONTH(C3340)</f>
        <v/>
      </c>
      <c r="E3340">
        <f>'Календарь'!D369</f>
        <v/>
      </c>
      <c r="F3340">
        <f>INT((C3340-Нед_Начало)/7)+1</f>
        <v/>
      </c>
      <c r="G3340">
        <f>IF(E3340=0,0,INDEX('Планы менеджеров'!$B$5:$M$16,B3340,D3340)/INDEX(Мес_Раб,D3340))</f>
        <v/>
      </c>
    </row>
    <row r="3341">
      <c r="A3341" t="inlineStr">
        <is>
          <t>Лебедев</t>
        </is>
      </c>
      <c r="B3341" t="n">
        <v>13</v>
      </c>
      <c r="C3341" s="18">
        <f>'Календарь'!A370</f>
        <v/>
      </c>
      <c r="D3341">
        <f>MONTH(C3341)</f>
        <v/>
      </c>
      <c r="E3341">
        <f>'Календарь'!D370</f>
        <v/>
      </c>
      <c r="F3341">
        <f>INT((C3341-Нед_Начало)/7)+1</f>
        <v/>
      </c>
      <c r="G3341">
        <f>IF(E3341=0,0,INDEX('Планы менеджеров'!$B$5:$M$16,B3341,D3341)/INDEX(Мес_Раб,D3341))</f>
        <v/>
      </c>
    </row>
    <row r="3342">
      <c r="A3342" t="inlineStr">
        <is>
          <t>Лебедев</t>
        </is>
      </c>
      <c r="B3342" t="n">
        <v>13</v>
      </c>
      <c r="C3342" s="18">
        <f>'Календарь'!A371</f>
        <v/>
      </c>
      <c r="D3342">
        <f>MONTH(C3342)</f>
        <v/>
      </c>
      <c r="E3342">
        <f>'Календарь'!D371</f>
        <v/>
      </c>
      <c r="F3342">
        <f>INT((C3342-Нед_Начало)/7)+1</f>
        <v/>
      </c>
      <c r="G3342">
        <f>IF(E3342=0,0,INDEX('Планы менеджеров'!$B$5:$M$16,B3342,D3342)/INDEX(Мес_Раб,D3342))</f>
        <v/>
      </c>
    </row>
    <row r="3343">
      <c r="A3343" t="inlineStr">
        <is>
          <t>Лебедев</t>
        </is>
      </c>
      <c r="B3343" t="n">
        <v>13</v>
      </c>
      <c r="C3343" s="18">
        <f>'Календарь'!A372</f>
        <v/>
      </c>
      <c r="D3343">
        <f>MONTH(C3343)</f>
        <v/>
      </c>
      <c r="E3343">
        <f>'Календарь'!D372</f>
        <v/>
      </c>
      <c r="F3343">
        <f>INT((C3343-Нед_Начало)/7)+1</f>
        <v/>
      </c>
      <c r="G3343">
        <f>IF(E3343=0,0,INDEX('Планы менеджеров'!$B$5:$M$16,B3343,D3343)/INDEX(Мес_Раб,D3343))</f>
        <v/>
      </c>
    </row>
    <row r="3344">
      <c r="A3344" t="inlineStr">
        <is>
          <t>Семенова</t>
        </is>
      </c>
      <c r="B3344" t="n">
        <v>14</v>
      </c>
      <c r="C3344" s="18">
        <f>'Календарь'!A2</f>
        <v/>
      </c>
      <c r="D3344">
        <f>MONTH(C3344)</f>
        <v/>
      </c>
      <c r="E3344">
        <f>'Календарь'!D2</f>
        <v/>
      </c>
      <c r="F3344">
        <f>INT((C3344-Нед_Начало)/7)+1</f>
        <v/>
      </c>
      <c r="G3344">
        <f>IF(E3344=0,0,INDEX('Планы менеджеров'!$B$5:$M$16,B3344,D3344)/INDEX(Мес_Раб,D3344))</f>
        <v/>
      </c>
    </row>
    <row r="3345">
      <c r="A3345" t="inlineStr">
        <is>
          <t>Семенова</t>
        </is>
      </c>
      <c r="B3345" t="n">
        <v>14</v>
      </c>
      <c r="C3345" s="18">
        <f>'Календарь'!A3</f>
        <v/>
      </c>
      <c r="D3345">
        <f>MONTH(C3345)</f>
        <v/>
      </c>
      <c r="E3345">
        <f>'Календарь'!D3</f>
        <v/>
      </c>
      <c r="F3345">
        <f>INT((C3345-Нед_Начало)/7)+1</f>
        <v/>
      </c>
      <c r="G3345">
        <f>IF(E3345=0,0,INDEX('Планы менеджеров'!$B$5:$M$16,B3345,D3345)/INDEX(Мес_Раб,D3345))</f>
        <v/>
      </c>
    </row>
    <row r="3346">
      <c r="A3346" t="inlineStr">
        <is>
          <t>Семенова</t>
        </is>
      </c>
      <c r="B3346" t="n">
        <v>14</v>
      </c>
      <c r="C3346" s="18">
        <f>'Календарь'!A4</f>
        <v/>
      </c>
      <c r="D3346">
        <f>MONTH(C3346)</f>
        <v/>
      </c>
      <c r="E3346">
        <f>'Календарь'!D4</f>
        <v/>
      </c>
      <c r="F3346">
        <f>INT((C3346-Нед_Начало)/7)+1</f>
        <v/>
      </c>
      <c r="G3346">
        <f>IF(E3346=0,0,INDEX('Планы менеджеров'!$B$5:$M$16,B3346,D3346)/INDEX(Мес_Раб,D3346))</f>
        <v/>
      </c>
    </row>
    <row r="3347">
      <c r="A3347" t="inlineStr">
        <is>
          <t>Семенова</t>
        </is>
      </c>
      <c r="B3347" t="n">
        <v>14</v>
      </c>
      <c r="C3347" s="18">
        <f>'Календарь'!A5</f>
        <v/>
      </c>
      <c r="D3347">
        <f>MONTH(C3347)</f>
        <v/>
      </c>
      <c r="E3347">
        <f>'Календарь'!D5</f>
        <v/>
      </c>
      <c r="F3347">
        <f>INT((C3347-Нед_Начало)/7)+1</f>
        <v/>
      </c>
      <c r="G3347">
        <f>IF(E3347=0,0,INDEX('Планы менеджеров'!$B$5:$M$16,B3347,D3347)/INDEX(Мес_Раб,D3347))</f>
        <v/>
      </c>
    </row>
    <row r="3348">
      <c r="A3348" t="inlineStr">
        <is>
          <t>Семенова</t>
        </is>
      </c>
      <c r="B3348" t="n">
        <v>14</v>
      </c>
      <c r="C3348" s="18">
        <f>'Календарь'!A6</f>
        <v/>
      </c>
      <c r="D3348">
        <f>MONTH(C3348)</f>
        <v/>
      </c>
      <c r="E3348">
        <f>'Календарь'!D6</f>
        <v/>
      </c>
      <c r="F3348">
        <f>INT((C3348-Нед_Начало)/7)+1</f>
        <v/>
      </c>
      <c r="G3348">
        <f>IF(E3348=0,0,INDEX('Планы менеджеров'!$B$5:$M$16,B3348,D3348)/INDEX(Мес_Раб,D3348))</f>
        <v/>
      </c>
    </row>
    <row r="3349">
      <c r="A3349" t="inlineStr">
        <is>
          <t>Семенова</t>
        </is>
      </c>
      <c r="B3349" t="n">
        <v>14</v>
      </c>
      <c r="C3349" s="18">
        <f>'Календарь'!A7</f>
        <v/>
      </c>
      <c r="D3349">
        <f>MONTH(C3349)</f>
        <v/>
      </c>
      <c r="E3349">
        <f>'Календарь'!D7</f>
        <v/>
      </c>
      <c r="F3349">
        <f>INT((C3349-Нед_Начало)/7)+1</f>
        <v/>
      </c>
      <c r="G3349">
        <f>IF(E3349=0,0,INDEX('Планы менеджеров'!$B$5:$M$16,B3349,D3349)/INDEX(Мес_Раб,D3349))</f>
        <v/>
      </c>
    </row>
    <row r="3350">
      <c r="A3350" t="inlineStr">
        <is>
          <t>Семенова</t>
        </is>
      </c>
      <c r="B3350" t="n">
        <v>14</v>
      </c>
      <c r="C3350" s="18">
        <f>'Календарь'!A8</f>
        <v/>
      </c>
      <c r="D3350">
        <f>MONTH(C3350)</f>
        <v/>
      </c>
      <c r="E3350">
        <f>'Календарь'!D8</f>
        <v/>
      </c>
      <c r="F3350">
        <f>INT((C3350-Нед_Начало)/7)+1</f>
        <v/>
      </c>
      <c r="G3350">
        <f>IF(E3350=0,0,INDEX('Планы менеджеров'!$B$5:$M$16,B3350,D3350)/INDEX(Мес_Раб,D3350))</f>
        <v/>
      </c>
    </row>
    <row r="3351">
      <c r="A3351" t="inlineStr">
        <is>
          <t>Семенова</t>
        </is>
      </c>
      <c r="B3351" t="n">
        <v>14</v>
      </c>
      <c r="C3351" s="18">
        <f>'Календарь'!A9</f>
        <v/>
      </c>
      <c r="D3351">
        <f>MONTH(C3351)</f>
        <v/>
      </c>
      <c r="E3351">
        <f>'Календарь'!D9</f>
        <v/>
      </c>
      <c r="F3351">
        <f>INT((C3351-Нед_Начало)/7)+1</f>
        <v/>
      </c>
      <c r="G3351">
        <f>IF(E3351=0,0,INDEX('Планы менеджеров'!$B$5:$M$16,B3351,D3351)/INDEX(Мес_Раб,D3351))</f>
        <v/>
      </c>
    </row>
    <row r="3352">
      <c r="A3352" t="inlineStr">
        <is>
          <t>Семенова</t>
        </is>
      </c>
      <c r="B3352" t="n">
        <v>14</v>
      </c>
      <c r="C3352" s="18">
        <f>'Календарь'!A10</f>
        <v/>
      </c>
      <c r="D3352">
        <f>MONTH(C3352)</f>
        <v/>
      </c>
      <c r="E3352">
        <f>'Календарь'!D10</f>
        <v/>
      </c>
      <c r="F3352">
        <f>INT((C3352-Нед_Начало)/7)+1</f>
        <v/>
      </c>
      <c r="G3352">
        <f>IF(E3352=0,0,INDEX('Планы менеджеров'!$B$5:$M$16,B3352,D3352)/INDEX(Мес_Раб,D3352))</f>
        <v/>
      </c>
    </row>
    <row r="3353">
      <c r="A3353" t="inlineStr">
        <is>
          <t>Семенова</t>
        </is>
      </c>
      <c r="B3353" t="n">
        <v>14</v>
      </c>
      <c r="C3353" s="18">
        <f>'Календарь'!A11</f>
        <v/>
      </c>
      <c r="D3353">
        <f>MONTH(C3353)</f>
        <v/>
      </c>
      <c r="E3353">
        <f>'Календарь'!D11</f>
        <v/>
      </c>
      <c r="F3353">
        <f>INT((C3353-Нед_Начало)/7)+1</f>
        <v/>
      </c>
      <c r="G3353">
        <f>IF(E3353=0,0,INDEX('Планы менеджеров'!$B$5:$M$16,B3353,D3353)/INDEX(Мес_Раб,D3353))</f>
        <v/>
      </c>
    </row>
    <row r="3354">
      <c r="A3354" t="inlineStr">
        <is>
          <t>Семенова</t>
        </is>
      </c>
      <c r="B3354" t="n">
        <v>14</v>
      </c>
      <c r="C3354" s="18">
        <f>'Календарь'!A12</f>
        <v/>
      </c>
      <c r="D3354">
        <f>MONTH(C3354)</f>
        <v/>
      </c>
      <c r="E3354">
        <f>'Календарь'!D12</f>
        <v/>
      </c>
      <c r="F3354">
        <f>INT((C3354-Нед_Начало)/7)+1</f>
        <v/>
      </c>
      <c r="G3354">
        <f>IF(E3354=0,0,INDEX('Планы менеджеров'!$B$5:$M$16,B3354,D3354)/INDEX(Мес_Раб,D3354))</f>
        <v/>
      </c>
    </row>
    <row r="3355">
      <c r="A3355" t="inlineStr">
        <is>
          <t>Семенова</t>
        </is>
      </c>
      <c r="B3355" t="n">
        <v>14</v>
      </c>
      <c r="C3355" s="18">
        <f>'Календарь'!A13</f>
        <v/>
      </c>
      <c r="D3355">
        <f>MONTH(C3355)</f>
        <v/>
      </c>
      <c r="E3355">
        <f>'Календарь'!D13</f>
        <v/>
      </c>
      <c r="F3355">
        <f>INT((C3355-Нед_Начало)/7)+1</f>
        <v/>
      </c>
      <c r="G3355">
        <f>IF(E3355=0,0,INDEX('Планы менеджеров'!$B$5:$M$16,B3355,D3355)/INDEX(Мес_Раб,D3355))</f>
        <v/>
      </c>
    </row>
    <row r="3356">
      <c r="A3356" t="inlineStr">
        <is>
          <t>Семенова</t>
        </is>
      </c>
      <c r="B3356" t="n">
        <v>14</v>
      </c>
      <c r="C3356" s="18">
        <f>'Календарь'!A14</f>
        <v/>
      </c>
      <c r="D3356">
        <f>MONTH(C3356)</f>
        <v/>
      </c>
      <c r="E3356">
        <f>'Календарь'!D14</f>
        <v/>
      </c>
      <c r="F3356">
        <f>INT((C3356-Нед_Начало)/7)+1</f>
        <v/>
      </c>
      <c r="G3356">
        <f>IF(E3356=0,0,INDEX('Планы менеджеров'!$B$5:$M$16,B3356,D3356)/INDEX(Мес_Раб,D3356))</f>
        <v/>
      </c>
    </row>
    <row r="3357">
      <c r="A3357" t="inlineStr">
        <is>
          <t>Семенова</t>
        </is>
      </c>
      <c r="B3357" t="n">
        <v>14</v>
      </c>
      <c r="C3357" s="18">
        <f>'Календарь'!A15</f>
        <v/>
      </c>
      <c r="D3357">
        <f>MONTH(C3357)</f>
        <v/>
      </c>
      <c r="E3357">
        <f>'Календарь'!D15</f>
        <v/>
      </c>
      <c r="F3357">
        <f>INT((C3357-Нед_Начало)/7)+1</f>
        <v/>
      </c>
      <c r="G3357">
        <f>IF(E3357=0,0,INDEX('Планы менеджеров'!$B$5:$M$16,B3357,D3357)/INDEX(Мес_Раб,D3357))</f>
        <v/>
      </c>
    </row>
    <row r="3358">
      <c r="A3358" t="inlineStr">
        <is>
          <t>Семенова</t>
        </is>
      </c>
      <c r="B3358" t="n">
        <v>14</v>
      </c>
      <c r="C3358" s="18">
        <f>'Календарь'!A16</f>
        <v/>
      </c>
      <c r="D3358">
        <f>MONTH(C3358)</f>
        <v/>
      </c>
      <c r="E3358">
        <f>'Календарь'!D16</f>
        <v/>
      </c>
      <c r="F3358">
        <f>INT((C3358-Нед_Начало)/7)+1</f>
        <v/>
      </c>
      <c r="G3358">
        <f>IF(E3358=0,0,INDEX('Планы менеджеров'!$B$5:$M$16,B3358,D3358)/INDEX(Мес_Раб,D3358))</f>
        <v/>
      </c>
    </row>
    <row r="3359">
      <c r="A3359" t="inlineStr">
        <is>
          <t>Семенова</t>
        </is>
      </c>
      <c r="B3359" t="n">
        <v>14</v>
      </c>
      <c r="C3359" s="18">
        <f>'Календарь'!A17</f>
        <v/>
      </c>
      <c r="D3359">
        <f>MONTH(C3359)</f>
        <v/>
      </c>
      <c r="E3359">
        <f>'Календарь'!D17</f>
        <v/>
      </c>
      <c r="F3359">
        <f>INT((C3359-Нед_Начало)/7)+1</f>
        <v/>
      </c>
      <c r="G3359">
        <f>IF(E3359=0,0,INDEX('Планы менеджеров'!$B$5:$M$16,B3359,D3359)/INDEX(Мес_Раб,D3359))</f>
        <v/>
      </c>
    </row>
    <row r="3360">
      <c r="A3360" t="inlineStr">
        <is>
          <t>Семенова</t>
        </is>
      </c>
      <c r="B3360" t="n">
        <v>14</v>
      </c>
      <c r="C3360" s="18">
        <f>'Календарь'!A18</f>
        <v/>
      </c>
      <c r="D3360">
        <f>MONTH(C3360)</f>
        <v/>
      </c>
      <c r="E3360">
        <f>'Календарь'!D18</f>
        <v/>
      </c>
      <c r="F3360">
        <f>INT((C3360-Нед_Начало)/7)+1</f>
        <v/>
      </c>
      <c r="G3360">
        <f>IF(E3360=0,0,INDEX('Планы менеджеров'!$B$5:$M$16,B3360,D3360)/INDEX(Мес_Раб,D3360))</f>
        <v/>
      </c>
    </row>
    <row r="3361">
      <c r="A3361" t="inlineStr">
        <is>
          <t>Семенова</t>
        </is>
      </c>
      <c r="B3361" t="n">
        <v>14</v>
      </c>
      <c r="C3361" s="18">
        <f>'Календарь'!A19</f>
        <v/>
      </c>
      <c r="D3361">
        <f>MONTH(C3361)</f>
        <v/>
      </c>
      <c r="E3361">
        <f>'Календарь'!D19</f>
        <v/>
      </c>
      <c r="F3361">
        <f>INT((C3361-Нед_Начало)/7)+1</f>
        <v/>
      </c>
      <c r="G3361">
        <f>IF(E3361=0,0,INDEX('Планы менеджеров'!$B$5:$M$16,B3361,D3361)/INDEX(Мес_Раб,D3361))</f>
        <v/>
      </c>
    </row>
    <row r="3362">
      <c r="A3362" t="inlineStr">
        <is>
          <t>Семенова</t>
        </is>
      </c>
      <c r="B3362" t="n">
        <v>14</v>
      </c>
      <c r="C3362" s="18">
        <f>'Календарь'!A20</f>
        <v/>
      </c>
      <c r="D3362">
        <f>MONTH(C3362)</f>
        <v/>
      </c>
      <c r="E3362">
        <f>'Календарь'!D20</f>
        <v/>
      </c>
      <c r="F3362">
        <f>INT((C3362-Нед_Начало)/7)+1</f>
        <v/>
      </c>
      <c r="G3362">
        <f>IF(E3362=0,0,INDEX('Планы менеджеров'!$B$5:$M$16,B3362,D3362)/INDEX(Мес_Раб,D3362))</f>
        <v/>
      </c>
    </row>
    <row r="3363">
      <c r="A3363" t="inlineStr">
        <is>
          <t>Семенова</t>
        </is>
      </c>
      <c r="B3363" t="n">
        <v>14</v>
      </c>
      <c r="C3363" s="18">
        <f>'Календарь'!A21</f>
        <v/>
      </c>
      <c r="D3363">
        <f>MONTH(C3363)</f>
        <v/>
      </c>
      <c r="E3363">
        <f>'Календарь'!D21</f>
        <v/>
      </c>
      <c r="F3363">
        <f>INT((C3363-Нед_Начало)/7)+1</f>
        <v/>
      </c>
      <c r="G3363">
        <f>IF(E3363=0,0,INDEX('Планы менеджеров'!$B$5:$M$16,B3363,D3363)/INDEX(Мес_Раб,D3363))</f>
        <v/>
      </c>
    </row>
    <row r="3364">
      <c r="A3364" t="inlineStr">
        <is>
          <t>Семенова</t>
        </is>
      </c>
      <c r="B3364" t="n">
        <v>14</v>
      </c>
      <c r="C3364" s="18">
        <f>'Календарь'!A22</f>
        <v/>
      </c>
      <c r="D3364">
        <f>MONTH(C3364)</f>
        <v/>
      </c>
      <c r="E3364">
        <f>'Календарь'!D22</f>
        <v/>
      </c>
      <c r="F3364">
        <f>INT((C3364-Нед_Начало)/7)+1</f>
        <v/>
      </c>
      <c r="G3364">
        <f>IF(E3364=0,0,INDEX('Планы менеджеров'!$B$5:$M$16,B3364,D3364)/INDEX(Мес_Раб,D3364))</f>
        <v/>
      </c>
    </row>
    <row r="3365">
      <c r="A3365" t="inlineStr">
        <is>
          <t>Семенова</t>
        </is>
      </c>
      <c r="B3365" t="n">
        <v>14</v>
      </c>
      <c r="C3365" s="18">
        <f>'Календарь'!A23</f>
        <v/>
      </c>
      <c r="D3365">
        <f>MONTH(C3365)</f>
        <v/>
      </c>
      <c r="E3365">
        <f>'Календарь'!D23</f>
        <v/>
      </c>
      <c r="F3365">
        <f>INT((C3365-Нед_Начало)/7)+1</f>
        <v/>
      </c>
      <c r="G3365">
        <f>IF(E3365=0,0,INDEX('Планы менеджеров'!$B$5:$M$16,B3365,D3365)/INDEX(Мес_Раб,D3365))</f>
        <v/>
      </c>
    </row>
    <row r="3366">
      <c r="A3366" t="inlineStr">
        <is>
          <t>Семенова</t>
        </is>
      </c>
      <c r="B3366" t="n">
        <v>14</v>
      </c>
      <c r="C3366" s="18">
        <f>'Календарь'!A24</f>
        <v/>
      </c>
      <c r="D3366">
        <f>MONTH(C3366)</f>
        <v/>
      </c>
      <c r="E3366">
        <f>'Календарь'!D24</f>
        <v/>
      </c>
      <c r="F3366">
        <f>INT((C3366-Нед_Начало)/7)+1</f>
        <v/>
      </c>
      <c r="G3366">
        <f>IF(E3366=0,0,INDEX('Планы менеджеров'!$B$5:$M$16,B3366,D3366)/INDEX(Мес_Раб,D3366))</f>
        <v/>
      </c>
    </row>
    <row r="3367">
      <c r="A3367" t="inlineStr">
        <is>
          <t>Семенова</t>
        </is>
      </c>
      <c r="B3367" t="n">
        <v>14</v>
      </c>
      <c r="C3367" s="18">
        <f>'Календарь'!A25</f>
        <v/>
      </c>
      <c r="D3367">
        <f>MONTH(C3367)</f>
        <v/>
      </c>
      <c r="E3367">
        <f>'Календарь'!D25</f>
        <v/>
      </c>
      <c r="F3367">
        <f>INT((C3367-Нед_Начало)/7)+1</f>
        <v/>
      </c>
      <c r="G3367">
        <f>IF(E3367=0,0,INDEX('Планы менеджеров'!$B$5:$M$16,B3367,D3367)/INDEX(Мес_Раб,D3367))</f>
        <v/>
      </c>
    </row>
    <row r="3368">
      <c r="A3368" t="inlineStr">
        <is>
          <t>Семенова</t>
        </is>
      </c>
      <c r="B3368" t="n">
        <v>14</v>
      </c>
      <c r="C3368" s="18">
        <f>'Календарь'!A26</f>
        <v/>
      </c>
      <c r="D3368">
        <f>MONTH(C3368)</f>
        <v/>
      </c>
      <c r="E3368">
        <f>'Календарь'!D26</f>
        <v/>
      </c>
      <c r="F3368">
        <f>INT((C3368-Нед_Начало)/7)+1</f>
        <v/>
      </c>
      <c r="G3368">
        <f>IF(E3368=0,0,INDEX('Планы менеджеров'!$B$5:$M$16,B3368,D3368)/INDEX(Мес_Раб,D3368))</f>
        <v/>
      </c>
    </row>
    <row r="3369">
      <c r="A3369" t="inlineStr">
        <is>
          <t>Семенова</t>
        </is>
      </c>
      <c r="B3369" t="n">
        <v>14</v>
      </c>
      <c r="C3369" s="18">
        <f>'Календарь'!A27</f>
        <v/>
      </c>
      <c r="D3369">
        <f>MONTH(C3369)</f>
        <v/>
      </c>
      <c r="E3369">
        <f>'Календарь'!D27</f>
        <v/>
      </c>
      <c r="F3369">
        <f>INT((C3369-Нед_Начало)/7)+1</f>
        <v/>
      </c>
      <c r="G3369">
        <f>IF(E3369=0,0,INDEX('Планы менеджеров'!$B$5:$M$16,B3369,D3369)/INDEX(Мес_Раб,D3369))</f>
        <v/>
      </c>
    </row>
    <row r="3370">
      <c r="A3370" t="inlineStr">
        <is>
          <t>Семенова</t>
        </is>
      </c>
      <c r="B3370" t="n">
        <v>14</v>
      </c>
      <c r="C3370" s="18">
        <f>'Календарь'!A28</f>
        <v/>
      </c>
      <c r="D3370">
        <f>MONTH(C3370)</f>
        <v/>
      </c>
      <c r="E3370">
        <f>'Календарь'!D28</f>
        <v/>
      </c>
      <c r="F3370">
        <f>INT((C3370-Нед_Начало)/7)+1</f>
        <v/>
      </c>
      <c r="G3370">
        <f>IF(E3370=0,0,INDEX('Планы менеджеров'!$B$5:$M$16,B3370,D3370)/INDEX(Мес_Раб,D3370))</f>
        <v/>
      </c>
    </row>
    <row r="3371">
      <c r="A3371" t="inlineStr">
        <is>
          <t>Семенова</t>
        </is>
      </c>
      <c r="B3371" t="n">
        <v>14</v>
      </c>
      <c r="C3371" s="18">
        <f>'Календарь'!A29</f>
        <v/>
      </c>
      <c r="D3371">
        <f>MONTH(C3371)</f>
        <v/>
      </c>
      <c r="E3371">
        <f>'Календарь'!D29</f>
        <v/>
      </c>
      <c r="F3371">
        <f>INT((C3371-Нед_Начало)/7)+1</f>
        <v/>
      </c>
      <c r="G3371">
        <f>IF(E3371=0,0,INDEX('Планы менеджеров'!$B$5:$M$16,B3371,D3371)/INDEX(Мес_Раб,D3371))</f>
        <v/>
      </c>
    </row>
    <row r="3372">
      <c r="A3372" t="inlineStr">
        <is>
          <t>Семенова</t>
        </is>
      </c>
      <c r="B3372" t="n">
        <v>14</v>
      </c>
      <c r="C3372" s="18">
        <f>'Календарь'!A30</f>
        <v/>
      </c>
      <c r="D3372">
        <f>MONTH(C3372)</f>
        <v/>
      </c>
      <c r="E3372">
        <f>'Календарь'!D30</f>
        <v/>
      </c>
      <c r="F3372">
        <f>INT((C3372-Нед_Начало)/7)+1</f>
        <v/>
      </c>
      <c r="G3372">
        <f>IF(E3372=0,0,INDEX('Планы менеджеров'!$B$5:$M$16,B3372,D3372)/INDEX(Мес_Раб,D3372))</f>
        <v/>
      </c>
    </row>
    <row r="3373">
      <c r="A3373" t="inlineStr">
        <is>
          <t>Семенова</t>
        </is>
      </c>
      <c r="B3373" t="n">
        <v>14</v>
      </c>
      <c r="C3373" s="18">
        <f>'Календарь'!A31</f>
        <v/>
      </c>
      <c r="D3373">
        <f>MONTH(C3373)</f>
        <v/>
      </c>
      <c r="E3373">
        <f>'Календарь'!D31</f>
        <v/>
      </c>
      <c r="F3373">
        <f>INT((C3373-Нед_Начало)/7)+1</f>
        <v/>
      </c>
      <c r="G3373">
        <f>IF(E3373=0,0,INDEX('Планы менеджеров'!$B$5:$M$16,B3373,D3373)/INDEX(Мес_Раб,D3373))</f>
        <v/>
      </c>
    </row>
    <row r="3374">
      <c r="A3374" t="inlineStr">
        <is>
          <t>Семенова</t>
        </is>
      </c>
      <c r="B3374" t="n">
        <v>14</v>
      </c>
      <c r="C3374" s="18">
        <f>'Календарь'!A32</f>
        <v/>
      </c>
      <c r="D3374">
        <f>MONTH(C3374)</f>
        <v/>
      </c>
      <c r="E3374">
        <f>'Календарь'!D32</f>
        <v/>
      </c>
      <c r="F3374">
        <f>INT((C3374-Нед_Начало)/7)+1</f>
        <v/>
      </c>
      <c r="G3374">
        <f>IF(E3374=0,0,INDEX('Планы менеджеров'!$B$5:$M$16,B3374,D3374)/INDEX(Мес_Раб,D3374))</f>
        <v/>
      </c>
    </row>
    <row r="3375">
      <c r="A3375" t="inlineStr">
        <is>
          <t>Семенова</t>
        </is>
      </c>
      <c r="B3375" t="n">
        <v>14</v>
      </c>
      <c r="C3375" s="18">
        <f>'Календарь'!A33</f>
        <v/>
      </c>
      <c r="D3375">
        <f>MONTH(C3375)</f>
        <v/>
      </c>
      <c r="E3375">
        <f>'Календарь'!D33</f>
        <v/>
      </c>
      <c r="F3375">
        <f>INT((C3375-Нед_Начало)/7)+1</f>
        <v/>
      </c>
      <c r="G3375">
        <f>IF(E3375=0,0,INDEX('Планы менеджеров'!$B$5:$M$16,B3375,D3375)/INDEX(Мес_Раб,D3375))</f>
        <v/>
      </c>
    </row>
    <row r="3376">
      <c r="A3376" t="inlineStr">
        <is>
          <t>Семенова</t>
        </is>
      </c>
      <c r="B3376" t="n">
        <v>14</v>
      </c>
      <c r="C3376" s="18">
        <f>'Календарь'!A34</f>
        <v/>
      </c>
      <c r="D3376">
        <f>MONTH(C3376)</f>
        <v/>
      </c>
      <c r="E3376">
        <f>'Календарь'!D34</f>
        <v/>
      </c>
      <c r="F3376">
        <f>INT((C3376-Нед_Начало)/7)+1</f>
        <v/>
      </c>
      <c r="G3376">
        <f>IF(E3376=0,0,INDEX('Планы менеджеров'!$B$5:$M$16,B3376,D3376)/INDEX(Мес_Раб,D3376))</f>
        <v/>
      </c>
    </row>
    <row r="3377">
      <c r="A3377" t="inlineStr">
        <is>
          <t>Семенова</t>
        </is>
      </c>
      <c r="B3377" t="n">
        <v>14</v>
      </c>
      <c r="C3377" s="18">
        <f>'Календарь'!A35</f>
        <v/>
      </c>
      <c r="D3377">
        <f>MONTH(C3377)</f>
        <v/>
      </c>
      <c r="E3377">
        <f>'Календарь'!D35</f>
        <v/>
      </c>
      <c r="F3377">
        <f>INT((C3377-Нед_Начало)/7)+1</f>
        <v/>
      </c>
      <c r="G3377">
        <f>IF(E3377=0,0,INDEX('Планы менеджеров'!$B$5:$M$16,B3377,D3377)/INDEX(Мес_Раб,D3377))</f>
        <v/>
      </c>
    </row>
    <row r="3378">
      <c r="A3378" t="inlineStr">
        <is>
          <t>Семенова</t>
        </is>
      </c>
      <c r="B3378" t="n">
        <v>14</v>
      </c>
      <c r="C3378" s="18">
        <f>'Календарь'!A36</f>
        <v/>
      </c>
      <c r="D3378">
        <f>MONTH(C3378)</f>
        <v/>
      </c>
      <c r="E3378">
        <f>'Календарь'!D36</f>
        <v/>
      </c>
      <c r="F3378">
        <f>INT((C3378-Нед_Начало)/7)+1</f>
        <v/>
      </c>
      <c r="G3378">
        <f>IF(E3378=0,0,INDEX('Планы менеджеров'!$B$5:$M$16,B3378,D3378)/INDEX(Мес_Раб,D3378))</f>
        <v/>
      </c>
    </row>
    <row r="3379">
      <c r="A3379" t="inlineStr">
        <is>
          <t>Семенова</t>
        </is>
      </c>
      <c r="B3379" t="n">
        <v>14</v>
      </c>
      <c r="C3379" s="18">
        <f>'Календарь'!A37</f>
        <v/>
      </c>
      <c r="D3379">
        <f>MONTH(C3379)</f>
        <v/>
      </c>
      <c r="E3379">
        <f>'Календарь'!D37</f>
        <v/>
      </c>
      <c r="F3379">
        <f>INT((C3379-Нед_Начало)/7)+1</f>
        <v/>
      </c>
      <c r="G3379">
        <f>IF(E3379=0,0,INDEX('Планы менеджеров'!$B$5:$M$16,B3379,D3379)/INDEX(Мес_Раб,D3379))</f>
        <v/>
      </c>
    </row>
    <row r="3380">
      <c r="A3380" t="inlineStr">
        <is>
          <t>Семенова</t>
        </is>
      </c>
      <c r="B3380" t="n">
        <v>14</v>
      </c>
      <c r="C3380" s="18">
        <f>'Календарь'!A38</f>
        <v/>
      </c>
      <c r="D3380">
        <f>MONTH(C3380)</f>
        <v/>
      </c>
      <c r="E3380">
        <f>'Календарь'!D38</f>
        <v/>
      </c>
      <c r="F3380">
        <f>INT((C3380-Нед_Начало)/7)+1</f>
        <v/>
      </c>
      <c r="G3380">
        <f>IF(E3380=0,0,INDEX('Планы менеджеров'!$B$5:$M$16,B3380,D3380)/INDEX(Мес_Раб,D3380))</f>
        <v/>
      </c>
    </row>
    <row r="3381">
      <c r="A3381" t="inlineStr">
        <is>
          <t>Семенова</t>
        </is>
      </c>
      <c r="B3381" t="n">
        <v>14</v>
      </c>
      <c r="C3381" s="18">
        <f>'Календарь'!A39</f>
        <v/>
      </c>
      <c r="D3381">
        <f>MONTH(C3381)</f>
        <v/>
      </c>
      <c r="E3381">
        <f>'Календарь'!D39</f>
        <v/>
      </c>
      <c r="F3381">
        <f>INT((C3381-Нед_Начало)/7)+1</f>
        <v/>
      </c>
      <c r="G3381">
        <f>IF(E3381=0,0,INDEX('Планы менеджеров'!$B$5:$M$16,B3381,D3381)/INDEX(Мес_Раб,D3381))</f>
        <v/>
      </c>
    </row>
    <row r="3382">
      <c r="A3382" t="inlineStr">
        <is>
          <t>Семенова</t>
        </is>
      </c>
      <c r="B3382" t="n">
        <v>14</v>
      </c>
      <c r="C3382" s="18">
        <f>'Календарь'!A40</f>
        <v/>
      </c>
      <c r="D3382">
        <f>MONTH(C3382)</f>
        <v/>
      </c>
      <c r="E3382">
        <f>'Календарь'!D40</f>
        <v/>
      </c>
      <c r="F3382">
        <f>INT((C3382-Нед_Начало)/7)+1</f>
        <v/>
      </c>
      <c r="G3382">
        <f>IF(E3382=0,0,INDEX('Планы менеджеров'!$B$5:$M$16,B3382,D3382)/INDEX(Мес_Раб,D3382))</f>
        <v/>
      </c>
    </row>
    <row r="3383">
      <c r="A3383" t="inlineStr">
        <is>
          <t>Семенова</t>
        </is>
      </c>
      <c r="B3383" t="n">
        <v>14</v>
      </c>
      <c r="C3383" s="18">
        <f>'Календарь'!A41</f>
        <v/>
      </c>
      <c r="D3383">
        <f>MONTH(C3383)</f>
        <v/>
      </c>
      <c r="E3383">
        <f>'Календарь'!D41</f>
        <v/>
      </c>
      <c r="F3383">
        <f>INT((C3383-Нед_Начало)/7)+1</f>
        <v/>
      </c>
      <c r="G3383">
        <f>IF(E3383=0,0,INDEX('Планы менеджеров'!$B$5:$M$16,B3383,D3383)/INDEX(Мес_Раб,D3383))</f>
        <v/>
      </c>
    </row>
    <row r="3384">
      <c r="A3384" t="inlineStr">
        <is>
          <t>Семенова</t>
        </is>
      </c>
      <c r="B3384" t="n">
        <v>14</v>
      </c>
      <c r="C3384" s="18">
        <f>'Календарь'!A42</f>
        <v/>
      </c>
      <c r="D3384">
        <f>MONTH(C3384)</f>
        <v/>
      </c>
      <c r="E3384">
        <f>'Календарь'!D42</f>
        <v/>
      </c>
      <c r="F3384">
        <f>INT((C3384-Нед_Начало)/7)+1</f>
        <v/>
      </c>
      <c r="G3384">
        <f>IF(E3384=0,0,INDEX('Планы менеджеров'!$B$5:$M$16,B3384,D3384)/INDEX(Мес_Раб,D3384))</f>
        <v/>
      </c>
    </row>
    <row r="3385">
      <c r="A3385" t="inlineStr">
        <is>
          <t>Семенова</t>
        </is>
      </c>
      <c r="B3385" t="n">
        <v>14</v>
      </c>
      <c r="C3385" s="18">
        <f>'Календарь'!A43</f>
        <v/>
      </c>
      <c r="D3385">
        <f>MONTH(C3385)</f>
        <v/>
      </c>
      <c r="E3385">
        <f>'Календарь'!D43</f>
        <v/>
      </c>
      <c r="F3385">
        <f>INT((C3385-Нед_Начало)/7)+1</f>
        <v/>
      </c>
      <c r="G3385">
        <f>IF(E3385=0,0,INDEX('Планы менеджеров'!$B$5:$M$16,B3385,D3385)/INDEX(Мес_Раб,D3385))</f>
        <v/>
      </c>
    </row>
    <row r="3386">
      <c r="A3386" t="inlineStr">
        <is>
          <t>Семенова</t>
        </is>
      </c>
      <c r="B3386" t="n">
        <v>14</v>
      </c>
      <c r="C3386" s="18">
        <f>'Календарь'!A44</f>
        <v/>
      </c>
      <c r="D3386">
        <f>MONTH(C3386)</f>
        <v/>
      </c>
      <c r="E3386">
        <f>'Календарь'!D44</f>
        <v/>
      </c>
      <c r="F3386">
        <f>INT((C3386-Нед_Начало)/7)+1</f>
        <v/>
      </c>
      <c r="G3386">
        <f>IF(E3386=0,0,INDEX('Планы менеджеров'!$B$5:$M$16,B3386,D3386)/INDEX(Мес_Раб,D3386))</f>
        <v/>
      </c>
    </row>
    <row r="3387">
      <c r="A3387" t="inlineStr">
        <is>
          <t>Семенова</t>
        </is>
      </c>
      <c r="B3387" t="n">
        <v>14</v>
      </c>
      <c r="C3387" s="18">
        <f>'Календарь'!A45</f>
        <v/>
      </c>
      <c r="D3387">
        <f>MONTH(C3387)</f>
        <v/>
      </c>
      <c r="E3387">
        <f>'Календарь'!D45</f>
        <v/>
      </c>
      <c r="F3387">
        <f>INT((C3387-Нед_Начало)/7)+1</f>
        <v/>
      </c>
      <c r="G3387">
        <f>IF(E3387=0,0,INDEX('Планы менеджеров'!$B$5:$M$16,B3387,D3387)/INDEX(Мес_Раб,D3387))</f>
        <v/>
      </c>
    </row>
    <row r="3388">
      <c r="A3388" t="inlineStr">
        <is>
          <t>Семенова</t>
        </is>
      </c>
      <c r="B3388" t="n">
        <v>14</v>
      </c>
      <c r="C3388" s="18">
        <f>'Календарь'!A46</f>
        <v/>
      </c>
      <c r="D3388">
        <f>MONTH(C3388)</f>
        <v/>
      </c>
      <c r="E3388">
        <f>'Календарь'!D46</f>
        <v/>
      </c>
      <c r="F3388">
        <f>INT((C3388-Нед_Начало)/7)+1</f>
        <v/>
      </c>
      <c r="G3388">
        <f>IF(E3388=0,0,INDEX('Планы менеджеров'!$B$5:$M$16,B3388,D3388)/INDEX(Мес_Раб,D3388))</f>
        <v/>
      </c>
    </row>
    <row r="3389">
      <c r="A3389" t="inlineStr">
        <is>
          <t>Семенова</t>
        </is>
      </c>
      <c r="B3389" t="n">
        <v>14</v>
      </c>
      <c r="C3389" s="18">
        <f>'Календарь'!A47</f>
        <v/>
      </c>
      <c r="D3389">
        <f>MONTH(C3389)</f>
        <v/>
      </c>
      <c r="E3389">
        <f>'Календарь'!D47</f>
        <v/>
      </c>
      <c r="F3389">
        <f>INT((C3389-Нед_Начало)/7)+1</f>
        <v/>
      </c>
      <c r="G3389">
        <f>IF(E3389=0,0,INDEX('Планы менеджеров'!$B$5:$M$16,B3389,D3389)/INDEX(Мес_Раб,D3389))</f>
        <v/>
      </c>
    </row>
    <row r="3390">
      <c r="A3390" t="inlineStr">
        <is>
          <t>Семенова</t>
        </is>
      </c>
      <c r="B3390" t="n">
        <v>14</v>
      </c>
      <c r="C3390" s="18">
        <f>'Календарь'!A48</f>
        <v/>
      </c>
      <c r="D3390">
        <f>MONTH(C3390)</f>
        <v/>
      </c>
      <c r="E3390">
        <f>'Календарь'!D48</f>
        <v/>
      </c>
      <c r="F3390">
        <f>INT((C3390-Нед_Начало)/7)+1</f>
        <v/>
      </c>
      <c r="G3390">
        <f>IF(E3390=0,0,INDEX('Планы менеджеров'!$B$5:$M$16,B3390,D3390)/INDEX(Мес_Раб,D3390))</f>
        <v/>
      </c>
    </row>
    <row r="3391">
      <c r="A3391" t="inlineStr">
        <is>
          <t>Семенова</t>
        </is>
      </c>
      <c r="B3391" t="n">
        <v>14</v>
      </c>
      <c r="C3391" s="18">
        <f>'Календарь'!A49</f>
        <v/>
      </c>
      <c r="D3391">
        <f>MONTH(C3391)</f>
        <v/>
      </c>
      <c r="E3391">
        <f>'Календарь'!D49</f>
        <v/>
      </c>
      <c r="F3391">
        <f>INT((C3391-Нед_Начало)/7)+1</f>
        <v/>
      </c>
      <c r="G3391">
        <f>IF(E3391=0,0,INDEX('Планы менеджеров'!$B$5:$M$16,B3391,D3391)/INDEX(Мес_Раб,D3391))</f>
        <v/>
      </c>
    </row>
    <row r="3392">
      <c r="A3392" t="inlineStr">
        <is>
          <t>Семенова</t>
        </is>
      </c>
      <c r="B3392" t="n">
        <v>14</v>
      </c>
      <c r="C3392" s="18">
        <f>'Календарь'!A50</f>
        <v/>
      </c>
      <c r="D3392">
        <f>MONTH(C3392)</f>
        <v/>
      </c>
      <c r="E3392">
        <f>'Календарь'!D50</f>
        <v/>
      </c>
      <c r="F3392">
        <f>INT((C3392-Нед_Начало)/7)+1</f>
        <v/>
      </c>
      <c r="G3392">
        <f>IF(E3392=0,0,INDEX('Планы менеджеров'!$B$5:$M$16,B3392,D3392)/INDEX(Мес_Раб,D3392))</f>
        <v/>
      </c>
    </row>
    <row r="3393">
      <c r="A3393" t="inlineStr">
        <is>
          <t>Семенова</t>
        </is>
      </c>
      <c r="B3393" t="n">
        <v>14</v>
      </c>
      <c r="C3393" s="18">
        <f>'Календарь'!A51</f>
        <v/>
      </c>
      <c r="D3393">
        <f>MONTH(C3393)</f>
        <v/>
      </c>
      <c r="E3393">
        <f>'Календарь'!D51</f>
        <v/>
      </c>
      <c r="F3393">
        <f>INT((C3393-Нед_Начало)/7)+1</f>
        <v/>
      </c>
      <c r="G3393">
        <f>IF(E3393=0,0,INDEX('Планы менеджеров'!$B$5:$M$16,B3393,D3393)/INDEX(Мес_Раб,D3393))</f>
        <v/>
      </c>
    </row>
    <row r="3394">
      <c r="A3394" t="inlineStr">
        <is>
          <t>Семенова</t>
        </is>
      </c>
      <c r="B3394" t="n">
        <v>14</v>
      </c>
      <c r="C3394" s="18">
        <f>'Календарь'!A52</f>
        <v/>
      </c>
      <c r="D3394">
        <f>MONTH(C3394)</f>
        <v/>
      </c>
      <c r="E3394">
        <f>'Календарь'!D52</f>
        <v/>
      </c>
      <c r="F3394">
        <f>INT((C3394-Нед_Начало)/7)+1</f>
        <v/>
      </c>
      <c r="G3394">
        <f>IF(E3394=0,0,INDEX('Планы менеджеров'!$B$5:$M$16,B3394,D3394)/INDEX(Мес_Раб,D3394))</f>
        <v/>
      </c>
    </row>
    <row r="3395">
      <c r="A3395" t="inlineStr">
        <is>
          <t>Семенова</t>
        </is>
      </c>
      <c r="B3395" t="n">
        <v>14</v>
      </c>
      <c r="C3395" s="18">
        <f>'Календарь'!A53</f>
        <v/>
      </c>
      <c r="D3395">
        <f>MONTH(C3395)</f>
        <v/>
      </c>
      <c r="E3395">
        <f>'Календарь'!D53</f>
        <v/>
      </c>
      <c r="F3395">
        <f>INT((C3395-Нед_Начало)/7)+1</f>
        <v/>
      </c>
      <c r="G3395">
        <f>IF(E3395=0,0,INDEX('Планы менеджеров'!$B$5:$M$16,B3395,D3395)/INDEX(Мес_Раб,D3395))</f>
        <v/>
      </c>
    </row>
    <row r="3396">
      <c r="A3396" t="inlineStr">
        <is>
          <t>Семенова</t>
        </is>
      </c>
      <c r="B3396" t="n">
        <v>14</v>
      </c>
      <c r="C3396" s="18">
        <f>'Календарь'!A54</f>
        <v/>
      </c>
      <c r="D3396">
        <f>MONTH(C3396)</f>
        <v/>
      </c>
      <c r="E3396">
        <f>'Календарь'!D54</f>
        <v/>
      </c>
      <c r="F3396">
        <f>INT((C3396-Нед_Начало)/7)+1</f>
        <v/>
      </c>
      <c r="G3396">
        <f>IF(E3396=0,0,INDEX('Планы менеджеров'!$B$5:$M$16,B3396,D3396)/INDEX(Мес_Раб,D3396))</f>
        <v/>
      </c>
    </row>
    <row r="3397">
      <c r="A3397" t="inlineStr">
        <is>
          <t>Семенова</t>
        </is>
      </c>
      <c r="B3397" t="n">
        <v>14</v>
      </c>
      <c r="C3397" s="18">
        <f>'Календарь'!A55</f>
        <v/>
      </c>
      <c r="D3397">
        <f>MONTH(C3397)</f>
        <v/>
      </c>
      <c r="E3397">
        <f>'Календарь'!D55</f>
        <v/>
      </c>
      <c r="F3397">
        <f>INT((C3397-Нед_Начало)/7)+1</f>
        <v/>
      </c>
      <c r="G3397">
        <f>IF(E3397=0,0,INDEX('Планы менеджеров'!$B$5:$M$16,B3397,D3397)/INDEX(Мес_Раб,D3397))</f>
        <v/>
      </c>
    </row>
    <row r="3398">
      <c r="A3398" t="inlineStr">
        <is>
          <t>Семенова</t>
        </is>
      </c>
      <c r="B3398" t="n">
        <v>14</v>
      </c>
      <c r="C3398" s="18">
        <f>'Календарь'!A56</f>
        <v/>
      </c>
      <c r="D3398">
        <f>MONTH(C3398)</f>
        <v/>
      </c>
      <c r="E3398">
        <f>'Календарь'!D56</f>
        <v/>
      </c>
      <c r="F3398">
        <f>INT((C3398-Нед_Начало)/7)+1</f>
        <v/>
      </c>
      <c r="G3398">
        <f>IF(E3398=0,0,INDEX('Планы менеджеров'!$B$5:$M$16,B3398,D3398)/INDEX(Мес_Раб,D3398))</f>
        <v/>
      </c>
    </row>
    <row r="3399">
      <c r="A3399" t="inlineStr">
        <is>
          <t>Семенова</t>
        </is>
      </c>
      <c r="B3399" t="n">
        <v>14</v>
      </c>
      <c r="C3399" s="18">
        <f>'Календарь'!A57</f>
        <v/>
      </c>
      <c r="D3399">
        <f>MONTH(C3399)</f>
        <v/>
      </c>
      <c r="E3399">
        <f>'Календарь'!D57</f>
        <v/>
      </c>
      <c r="F3399">
        <f>INT((C3399-Нед_Начало)/7)+1</f>
        <v/>
      </c>
      <c r="G3399">
        <f>IF(E3399=0,0,INDEX('Планы менеджеров'!$B$5:$M$16,B3399,D3399)/INDEX(Мес_Раб,D3399))</f>
        <v/>
      </c>
    </row>
    <row r="3400">
      <c r="A3400" t="inlineStr">
        <is>
          <t>Семенова</t>
        </is>
      </c>
      <c r="B3400" t="n">
        <v>14</v>
      </c>
      <c r="C3400" s="18">
        <f>'Календарь'!A58</f>
        <v/>
      </c>
      <c r="D3400">
        <f>MONTH(C3400)</f>
        <v/>
      </c>
      <c r="E3400">
        <f>'Календарь'!D58</f>
        <v/>
      </c>
      <c r="F3400">
        <f>INT((C3400-Нед_Начало)/7)+1</f>
        <v/>
      </c>
      <c r="G3400">
        <f>IF(E3400=0,0,INDEX('Планы менеджеров'!$B$5:$M$16,B3400,D3400)/INDEX(Мес_Раб,D3400))</f>
        <v/>
      </c>
    </row>
    <row r="3401">
      <c r="A3401" t="inlineStr">
        <is>
          <t>Семенова</t>
        </is>
      </c>
      <c r="B3401" t="n">
        <v>14</v>
      </c>
      <c r="C3401" s="18">
        <f>'Календарь'!A59</f>
        <v/>
      </c>
      <c r="D3401">
        <f>MONTH(C3401)</f>
        <v/>
      </c>
      <c r="E3401">
        <f>'Календарь'!D59</f>
        <v/>
      </c>
      <c r="F3401">
        <f>INT((C3401-Нед_Начало)/7)+1</f>
        <v/>
      </c>
      <c r="G3401">
        <f>IF(E3401=0,0,INDEX('Планы менеджеров'!$B$5:$M$16,B3401,D3401)/INDEX(Мес_Раб,D3401))</f>
        <v/>
      </c>
    </row>
    <row r="3402">
      <c r="A3402" t="inlineStr">
        <is>
          <t>Семенова</t>
        </is>
      </c>
      <c r="B3402" t="n">
        <v>14</v>
      </c>
      <c r="C3402" s="18">
        <f>'Календарь'!A60</f>
        <v/>
      </c>
      <c r="D3402">
        <f>MONTH(C3402)</f>
        <v/>
      </c>
      <c r="E3402">
        <f>'Календарь'!D60</f>
        <v/>
      </c>
      <c r="F3402">
        <f>INT((C3402-Нед_Начало)/7)+1</f>
        <v/>
      </c>
      <c r="G3402">
        <f>IF(E3402=0,0,INDEX('Планы менеджеров'!$B$5:$M$16,B3402,D3402)/INDEX(Мес_Раб,D3402))</f>
        <v/>
      </c>
    </row>
    <row r="3403">
      <c r="A3403" t="inlineStr">
        <is>
          <t>Семенова</t>
        </is>
      </c>
      <c r="B3403" t="n">
        <v>14</v>
      </c>
      <c r="C3403" s="18">
        <f>'Календарь'!A61</f>
        <v/>
      </c>
      <c r="D3403">
        <f>MONTH(C3403)</f>
        <v/>
      </c>
      <c r="E3403">
        <f>'Календарь'!D61</f>
        <v/>
      </c>
      <c r="F3403">
        <f>INT((C3403-Нед_Начало)/7)+1</f>
        <v/>
      </c>
      <c r="G3403">
        <f>IF(E3403=0,0,INDEX('Планы менеджеров'!$B$5:$M$16,B3403,D3403)/INDEX(Мес_Раб,D3403))</f>
        <v/>
      </c>
    </row>
    <row r="3404">
      <c r="A3404" t="inlineStr">
        <is>
          <t>Семенова</t>
        </is>
      </c>
      <c r="B3404" t="n">
        <v>14</v>
      </c>
      <c r="C3404" s="18">
        <f>'Календарь'!A62</f>
        <v/>
      </c>
      <c r="D3404">
        <f>MONTH(C3404)</f>
        <v/>
      </c>
      <c r="E3404">
        <f>'Календарь'!D62</f>
        <v/>
      </c>
      <c r="F3404">
        <f>INT((C3404-Нед_Начало)/7)+1</f>
        <v/>
      </c>
      <c r="G3404">
        <f>IF(E3404=0,0,INDEX('Планы менеджеров'!$B$5:$M$16,B3404,D3404)/INDEX(Мес_Раб,D3404))</f>
        <v/>
      </c>
    </row>
    <row r="3405">
      <c r="A3405" t="inlineStr">
        <is>
          <t>Семенова</t>
        </is>
      </c>
      <c r="B3405" t="n">
        <v>14</v>
      </c>
      <c r="C3405" s="18">
        <f>'Календарь'!A63</f>
        <v/>
      </c>
      <c r="D3405">
        <f>MONTH(C3405)</f>
        <v/>
      </c>
      <c r="E3405">
        <f>'Календарь'!D63</f>
        <v/>
      </c>
      <c r="F3405">
        <f>INT((C3405-Нед_Начало)/7)+1</f>
        <v/>
      </c>
      <c r="G3405">
        <f>IF(E3405=0,0,INDEX('Планы менеджеров'!$B$5:$M$16,B3405,D3405)/INDEX(Мес_Раб,D3405))</f>
        <v/>
      </c>
    </row>
    <row r="3406">
      <c r="A3406" t="inlineStr">
        <is>
          <t>Семенова</t>
        </is>
      </c>
      <c r="B3406" t="n">
        <v>14</v>
      </c>
      <c r="C3406" s="18">
        <f>'Календарь'!A64</f>
        <v/>
      </c>
      <c r="D3406">
        <f>MONTH(C3406)</f>
        <v/>
      </c>
      <c r="E3406">
        <f>'Календарь'!D64</f>
        <v/>
      </c>
      <c r="F3406">
        <f>INT((C3406-Нед_Начало)/7)+1</f>
        <v/>
      </c>
      <c r="G3406">
        <f>IF(E3406=0,0,INDEX('Планы менеджеров'!$B$5:$M$16,B3406,D3406)/INDEX(Мес_Раб,D3406))</f>
        <v/>
      </c>
    </row>
    <row r="3407">
      <c r="A3407" t="inlineStr">
        <is>
          <t>Семенова</t>
        </is>
      </c>
      <c r="B3407" t="n">
        <v>14</v>
      </c>
      <c r="C3407" s="18">
        <f>'Календарь'!A65</f>
        <v/>
      </c>
      <c r="D3407">
        <f>MONTH(C3407)</f>
        <v/>
      </c>
      <c r="E3407">
        <f>'Календарь'!D65</f>
        <v/>
      </c>
      <c r="F3407">
        <f>INT((C3407-Нед_Начало)/7)+1</f>
        <v/>
      </c>
      <c r="G3407">
        <f>IF(E3407=0,0,INDEX('Планы менеджеров'!$B$5:$M$16,B3407,D3407)/INDEX(Мес_Раб,D3407))</f>
        <v/>
      </c>
    </row>
    <row r="3408">
      <c r="A3408" t="inlineStr">
        <is>
          <t>Семенова</t>
        </is>
      </c>
      <c r="B3408" t="n">
        <v>14</v>
      </c>
      <c r="C3408" s="18">
        <f>'Календарь'!A66</f>
        <v/>
      </c>
      <c r="D3408">
        <f>MONTH(C3408)</f>
        <v/>
      </c>
      <c r="E3408">
        <f>'Календарь'!D66</f>
        <v/>
      </c>
      <c r="F3408">
        <f>INT((C3408-Нед_Начало)/7)+1</f>
        <v/>
      </c>
      <c r="G3408">
        <f>IF(E3408=0,0,INDEX('Планы менеджеров'!$B$5:$M$16,B3408,D3408)/INDEX(Мес_Раб,D3408))</f>
        <v/>
      </c>
    </row>
    <row r="3409">
      <c r="A3409" t="inlineStr">
        <is>
          <t>Семенова</t>
        </is>
      </c>
      <c r="B3409" t="n">
        <v>14</v>
      </c>
      <c r="C3409" s="18">
        <f>'Календарь'!A67</f>
        <v/>
      </c>
      <c r="D3409">
        <f>MONTH(C3409)</f>
        <v/>
      </c>
      <c r="E3409">
        <f>'Календарь'!D67</f>
        <v/>
      </c>
      <c r="F3409">
        <f>INT((C3409-Нед_Начало)/7)+1</f>
        <v/>
      </c>
      <c r="G3409">
        <f>IF(E3409=0,0,INDEX('Планы менеджеров'!$B$5:$M$16,B3409,D3409)/INDEX(Мес_Раб,D3409))</f>
        <v/>
      </c>
    </row>
    <row r="3410">
      <c r="A3410" t="inlineStr">
        <is>
          <t>Семенова</t>
        </is>
      </c>
      <c r="B3410" t="n">
        <v>14</v>
      </c>
      <c r="C3410" s="18">
        <f>'Календарь'!A68</f>
        <v/>
      </c>
      <c r="D3410">
        <f>MONTH(C3410)</f>
        <v/>
      </c>
      <c r="E3410">
        <f>'Календарь'!D68</f>
        <v/>
      </c>
      <c r="F3410">
        <f>INT((C3410-Нед_Начало)/7)+1</f>
        <v/>
      </c>
      <c r="G3410">
        <f>IF(E3410=0,0,INDEX('Планы менеджеров'!$B$5:$M$16,B3410,D3410)/INDEX(Мес_Раб,D3410))</f>
        <v/>
      </c>
    </row>
    <row r="3411">
      <c r="A3411" t="inlineStr">
        <is>
          <t>Семенова</t>
        </is>
      </c>
      <c r="B3411" t="n">
        <v>14</v>
      </c>
      <c r="C3411" s="18">
        <f>'Календарь'!A69</f>
        <v/>
      </c>
      <c r="D3411">
        <f>MONTH(C3411)</f>
        <v/>
      </c>
      <c r="E3411">
        <f>'Календарь'!D69</f>
        <v/>
      </c>
      <c r="F3411">
        <f>INT((C3411-Нед_Начало)/7)+1</f>
        <v/>
      </c>
      <c r="G3411">
        <f>IF(E3411=0,0,INDEX('Планы менеджеров'!$B$5:$M$16,B3411,D3411)/INDEX(Мес_Раб,D3411))</f>
        <v/>
      </c>
    </row>
    <row r="3412">
      <c r="A3412" t="inlineStr">
        <is>
          <t>Семенова</t>
        </is>
      </c>
      <c r="B3412" t="n">
        <v>14</v>
      </c>
      <c r="C3412" s="18">
        <f>'Календарь'!A70</f>
        <v/>
      </c>
      <c r="D3412">
        <f>MONTH(C3412)</f>
        <v/>
      </c>
      <c r="E3412">
        <f>'Календарь'!D70</f>
        <v/>
      </c>
      <c r="F3412">
        <f>INT((C3412-Нед_Начало)/7)+1</f>
        <v/>
      </c>
      <c r="G3412">
        <f>IF(E3412=0,0,INDEX('Планы менеджеров'!$B$5:$M$16,B3412,D3412)/INDEX(Мес_Раб,D3412))</f>
        <v/>
      </c>
    </row>
    <row r="3413">
      <c r="A3413" t="inlineStr">
        <is>
          <t>Семенова</t>
        </is>
      </c>
      <c r="B3413" t="n">
        <v>14</v>
      </c>
      <c r="C3413" s="18">
        <f>'Календарь'!A71</f>
        <v/>
      </c>
      <c r="D3413">
        <f>MONTH(C3413)</f>
        <v/>
      </c>
      <c r="E3413">
        <f>'Календарь'!D71</f>
        <v/>
      </c>
      <c r="F3413">
        <f>INT((C3413-Нед_Начало)/7)+1</f>
        <v/>
      </c>
      <c r="G3413">
        <f>IF(E3413=0,0,INDEX('Планы менеджеров'!$B$5:$M$16,B3413,D3413)/INDEX(Мес_Раб,D3413))</f>
        <v/>
      </c>
    </row>
    <row r="3414">
      <c r="A3414" t="inlineStr">
        <is>
          <t>Семенова</t>
        </is>
      </c>
      <c r="B3414" t="n">
        <v>14</v>
      </c>
      <c r="C3414" s="18">
        <f>'Календарь'!A72</f>
        <v/>
      </c>
      <c r="D3414">
        <f>MONTH(C3414)</f>
        <v/>
      </c>
      <c r="E3414">
        <f>'Календарь'!D72</f>
        <v/>
      </c>
      <c r="F3414">
        <f>INT((C3414-Нед_Начало)/7)+1</f>
        <v/>
      </c>
      <c r="G3414">
        <f>IF(E3414=0,0,INDEX('Планы менеджеров'!$B$5:$M$16,B3414,D3414)/INDEX(Мес_Раб,D3414))</f>
        <v/>
      </c>
    </row>
    <row r="3415">
      <c r="A3415" t="inlineStr">
        <is>
          <t>Семенова</t>
        </is>
      </c>
      <c r="B3415" t="n">
        <v>14</v>
      </c>
      <c r="C3415" s="18">
        <f>'Календарь'!A73</f>
        <v/>
      </c>
      <c r="D3415">
        <f>MONTH(C3415)</f>
        <v/>
      </c>
      <c r="E3415">
        <f>'Календарь'!D73</f>
        <v/>
      </c>
      <c r="F3415">
        <f>INT((C3415-Нед_Начало)/7)+1</f>
        <v/>
      </c>
      <c r="G3415">
        <f>IF(E3415=0,0,INDEX('Планы менеджеров'!$B$5:$M$16,B3415,D3415)/INDEX(Мес_Раб,D3415))</f>
        <v/>
      </c>
    </row>
    <row r="3416">
      <c r="A3416" t="inlineStr">
        <is>
          <t>Семенова</t>
        </is>
      </c>
      <c r="B3416" t="n">
        <v>14</v>
      </c>
      <c r="C3416" s="18">
        <f>'Календарь'!A74</f>
        <v/>
      </c>
      <c r="D3416">
        <f>MONTH(C3416)</f>
        <v/>
      </c>
      <c r="E3416">
        <f>'Календарь'!D74</f>
        <v/>
      </c>
      <c r="F3416">
        <f>INT((C3416-Нед_Начало)/7)+1</f>
        <v/>
      </c>
      <c r="G3416">
        <f>IF(E3416=0,0,INDEX('Планы менеджеров'!$B$5:$M$16,B3416,D3416)/INDEX(Мес_Раб,D3416))</f>
        <v/>
      </c>
    </row>
    <row r="3417">
      <c r="A3417" t="inlineStr">
        <is>
          <t>Семенова</t>
        </is>
      </c>
      <c r="B3417" t="n">
        <v>14</v>
      </c>
      <c r="C3417" s="18">
        <f>'Календарь'!A75</f>
        <v/>
      </c>
      <c r="D3417">
        <f>MONTH(C3417)</f>
        <v/>
      </c>
      <c r="E3417">
        <f>'Календарь'!D75</f>
        <v/>
      </c>
      <c r="F3417">
        <f>INT((C3417-Нед_Начало)/7)+1</f>
        <v/>
      </c>
      <c r="G3417">
        <f>IF(E3417=0,0,INDEX('Планы менеджеров'!$B$5:$M$16,B3417,D3417)/INDEX(Мес_Раб,D3417))</f>
        <v/>
      </c>
    </row>
    <row r="3418">
      <c r="A3418" t="inlineStr">
        <is>
          <t>Семенова</t>
        </is>
      </c>
      <c r="B3418" t="n">
        <v>14</v>
      </c>
      <c r="C3418" s="18">
        <f>'Календарь'!A76</f>
        <v/>
      </c>
      <c r="D3418">
        <f>MONTH(C3418)</f>
        <v/>
      </c>
      <c r="E3418">
        <f>'Календарь'!D76</f>
        <v/>
      </c>
      <c r="F3418">
        <f>INT((C3418-Нед_Начало)/7)+1</f>
        <v/>
      </c>
      <c r="G3418">
        <f>IF(E3418=0,0,INDEX('Планы менеджеров'!$B$5:$M$16,B3418,D3418)/INDEX(Мес_Раб,D3418))</f>
        <v/>
      </c>
    </row>
    <row r="3419">
      <c r="A3419" t="inlineStr">
        <is>
          <t>Семенова</t>
        </is>
      </c>
      <c r="B3419" t="n">
        <v>14</v>
      </c>
      <c r="C3419" s="18">
        <f>'Календарь'!A77</f>
        <v/>
      </c>
      <c r="D3419">
        <f>MONTH(C3419)</f>
        <v/>
      </c>
      <c r="E3419">
        <f>'Календарь'!D77</f>
        <v/>
      </c>
      <c r="F3419">
        <f>INT((C3419-Нед_Начало)/7)+1</f>
        <v/>
      </c>
      <c r="G3419">
        <f>IF(E3419=0,0,INDEX('Планы менеджеров'!$B$5:$M$16,B3419,D3419)/INDEX(Мес_Раб,D3419))</f>
        <v/>
      </c>
    </row>
    <row r="3420">
      <c r="A3420" t="inlineStr">
        <is>
          <t>Семенова</t>
        </is>
      </c>
      <c r="B3420" t="n">
        <v>14</v>
      </c>
      <c r="C3420" s="18">
        <f>'Календарь'!A78</f>
        <v/>
      </c>
      <c r="D3420">
        <f>MONTH(C3420)</f>
        <v/>
      </c>
      <c r="E3420">
        <f>'Календарь'!D78</f>
        <v/>
      </c>
      <c r="F3420">
        <f>INT((C3420-Нед_Начало)/7)+1</f>
        <v/>
      </c>
      <c r="G3420">
        <f>IF(E3420=0,0,INDEX('Планы менеджеров'!$B$5:$M$16,B3420,D3420)/INDEX(Мес_Раб,D3420))</f>
        <v/>
      </c>
    </row>
    <row r="3421">
      <c r="A3421" t="inlineStr">
        <is>
          <t>Семенова</t>
        </is>
      </c>
      <c r="B3421" t="n">
        <v>14</v>
      </c>
      <c r="C3421" s="18">
        <f>'Календарь'!A79</f>
        <v/>
      </c>
      <c r="D3421">
        <f>MONTH(C3421)</f>
        <v/>
      </c>
      <c r="E3421">
        <f>'Календарь'!D79</f>
        <v/>
      </c>
      <c r="F3421">
        <f>INT((C3421-Нед_Начало)/7)+1</f>
        <v/>
      </c>
      <c r="G3421">
        <f>IF(E3421=0,0,INDEX('Планы менеджеров'!$B$5:$M$16,B3421,D3421)/INDEX(Мес_Раб,D3421))</f>
        <v/>
      </c>
    </row>
    <row r="3422">
      <c r="A3422" t="inlineStr">
        <is>
          <t>Семенова</t>
        </is>
      </c>
      <c r="B3422" t="n">
        <v>14</v>
      </c>
      <c r="C3422" s="18">
        <f>'Календарь'!A80</f>
        <v/>
      </c>
      <c r="D3422">
        <f>MONTH(C3422)</f>
        <v/>
      </c>
      <c r="E3422">
        <f>'Календарь'!D80</f>
        <v/>
      </c>
      <c r="F3422">
        <f>INT((C3422-Нед_Начало)/7)+1</f>
        <v/>
      </c>
      <c r="G3422">
        <f>IF(E3422=0,0,INDEX('Планы менеджеров'!$B$5:$M$16,B3422,D3422)/INDEX(Мес_Раб,D3422))</f>
        <v/>
      </c>
    </row>
    <row r="3423">
      <c r="A3423" t="inlineStr">
        <is>
          <t>Семенова</t>
        </is>
      </c>
      <c r="B3423" t="n">
        <v>14</v>
      </c>
      <c r="C3423" s="18">
        <f>'Календарь'!A81</f>
        <v/>
      </c>
      <c r="D3423">
        <f>MONTH(C3423)</f>
        <v/>
      </c>
      <c r="E3423">
        <f>'Календарь'!D81</f>
        <v/>
      </c>
      <c r="F3423">
        <f>INT((C3423-Нед_Начало)/7)+1</f>
        <v/>
      </c>
      <c r="G3423">
        <f>IF(E3423=0,0,INDEX('Планы менеджеров'!$B$5:$M$16,B3423,D3423)/INDEX(Мес_Раб,D3423))</f>
        <v/>
      </c>
    </row>
    <row r="3424">
      <c r="A3424" t="inlineStr">
        <is>
          <t>Семенова</t>
        </is>
      </c>
      <c r="B3424" t="n">
        <v>14</v>
      </c>
      <c r="C3424" s="18">
        <f>'Календарь'!A82</f>
        <v/>
      </c>
      <c r="D3424">
        <f>MONTH(C3424)</f>
        <v/>
      </c>
      <c r="E3424">
        <f>'Календарь'!D82</f>
        <v/>
      </c>
      <c r="F3424">
        <f>INT((C3424-Нед_Начало)/7)+1</f>
        <v/>
      </c>
      <c r="G3424">
        <f>IF(E3424=0,0,INDEX('Планы менеджеров'!$B$5:$M$16,B3424,D3424)/INDEX(Мес_Раб,D3424))</f>
        <v/>
      </c>
    </row>
    <row r="3425">
      <c r="A3425" t="inlineStr">
        <is>
          <t>Семенова</t>
        </is>
      </c>
      <c r="B3425" t="n">
        <v>14</v>
      </c>
      <c r="C3425" s="18">
        <f>'Календарь'!A83</f>
        <v/>
      </c>
      <c r="D3425">
        <f>MONTH(C3425)</f>
        <v/>
      </c>
      <c r="E3425">
        <f>'Календарь'!D83</f>
        <v/>
      </c>
      <c r="F3425">
        <f>INT((C3425-Нед_Начало)/7)+1</f>
        <v/>
      </c>
      <c r="G3425">
        <f>IF(E3425=0,0,INDEX('Планы менеджеров'!$B$5:$M$16,B3425,D3425)/INDEX(Мес_Раб,D3425))</f>
        <v/>
      </c>
    </row>
    <row r="3426">
      <c r="A3426" t="inlineStr">
        <is>
          <t>Семенова</t>
        </is>
      </c>
      <c r="B3426" t="n">
        <v>14</v>
      </c>
      <c r="C3426" s="18">
        <f>'Календарь'!A84</f>
        <v/>
      </c>
      <c r="D3426">
        <f>MONTH(C3426)</f>
        <v/>
      </c>
      <c r="E3426">
        <f>'Календарь'!D84</f>
        <v/>
      </c>
      <c r="F3426">
        <f>INT((C3426-Нед_Начало)/7)+1</f>
        <v/>
      </c>
      <c r="G3426">
        <f>IF(E3426=0,0,INDEX('Планы менеджеров'!$B$5:$M$16,B3426,D3426)/INDEX(Мес_Раб,D3426))</f>
        <v/>
      </c>
    </row>
    <row r="3427">
      <c r="A3427" t="inlineStr">
        <is>
          <t>Семенова</t>
        </is>
      </c>
      <c r="B3427" t="n">
        <v>14</v>
      </c>
      <c r="C3427" s="18">
        <f>'Календарь'!A85</f>
        <v/>
      </c>
      <c r="D3427">
        <f>MONTH(C3427)</f>
        <v/>
      </c>
      <c r="E3427">
        <f>'Календарь'!D85</f>
        <v/>
      </c>
      <c r="F3427">
        <f>INT((C3427-Нед_Начало)/7)+1</f>
        <v/>
      </c>
      <c r="G3427">
        <f>IF(E3427=0,0,INDEX('Планы менеджеров'!$B$5:$M$16,B3427,D3427)/INDEX(Мес_Раб,D3427))</f>
        <v/>
      </c>
    </row>
    <row r="3428">
      <c r="A3428" t="inlineStr">
        <is>
          <t>Семенова</t>
        </is>
      </c>
      <c r="B3428" t="n">
        <v>14</v>
      </c>
      <c r="C3428" s="18">
        <f>'Календарь'!A86</f>
        <v/>
      </c>
      <c r="D3428">
        <f>MONTH(C3428)</f>
        <v/>
      </c>
      <c r="E3428">
        <f>'Календарь'!D86</f>
        <v/>
      </c>
      <c r="F3428">
        <f>INT((C3428-Нед_Начало)/7)+1</f>
        <v/>
      </c>
      <c r="G3428">
        <f>IF(E3428=0,0,INDEX('Планы менеджеров'!$B$5:$M$16,B3428,D3428)/INDEX(Мес_Раб,D3428))</f>
        <v/>
      </c>
    </row>
    <row r="3429">
      <c r="A3429" t="inlineStr">
        <is>
          <t>Семенова</t>
        </is>
      </c>
      <c r="B3429" t="n">
        <v>14</v>
      </c>
      <c r="C3429" s="18">
        <f>'Календарь'!A87</f>
        <v/>
      </c>
      <c r="D3429">
        <f>MONTH(C3429)</f>
        <v/>
      </c>
      <c r="E3429">
        <f>'Календарь'!D87</f>
        <v/>
      </c>
      <c r="F3429">
        <f>INT((C3429-Нед_Начало)/7)+1</f>
        <v/>
      </c>
      <c r="G3429">
        <f>IF(E3429=0,0,INDEX('Планы менеджеров'!$B$5:$M$16,B3429,D3429)/INDEX(Мес_Раб,D3429))</f>
        <v/>
      </c>
    </row>
    <row r="3430">
      <c r="A3430" t="inlineStr">
        <is>
          <t>Семенова</t>
        </is>
      </c>
      <c r="B3430" t="n">
        <v>14</v>
      </c>
      <c r="C3430" s="18">
        <f>'Календарь'!A88</f>
        <v/>
      </c>
      <c r="D3430">
        <f>MONTH(C3430)</f>
        <v/>
      </c>
      <c r="E3430">
        <f>'Календарь'!D88</f>
        <v/>
      </c>
      <c r="F3430">
        <f>INT((C3430-Нед_Начало)/7)+1</f>
        <v/>
      </c>
      <c r="G3430">
        <f>IF(E3430=0,0,INDEX('Планы менеджеров'!$B$5:$M$16,B3430,D3430)/INDEX(Мес_Раб,D3430))</f>
        <v/>
      </c>
    </row>
    <row r="3431">
      <c r="A3431" t="inlineStr">
        <is>
          <t>Семенова</t>
        </is>
      </c>
      <c r="B3431" t="n">
        <v>14</v>
      </c>
      <c r="C3431" s="18">
        <f>'Календарь'!A89</f>
        <v/>
      </c>
      <c r="D3431">
        <f>MONTH(C3431)</f>
        <v/>
      </c>
      <c r="E3431">
        <f>'Календарь'!D89</f>
        <v/>
      </c>
      <c r="F3431">
        <f>INT((C3431-Нед_Начало)/7)+1</f>
        <v/>
      </c>
      <c r="G3431">
        <f>IF(E3431=0,0,INDEX('Планы менеджеров'!$B$5:$M$16,B3431,D3431)/INDEX(Мес_Раб,D3431))</f>
        <v/>
      </c>
    </row>
    <row r="3432">
      <c r="A3432" t="inlineStr">
        <is>
          <t>Семенова</t>
        </is>
      </c>
      <c r="B3432" t="n">
        <v>14</v>
      </c>
      <c r="C3432" s="18">
        <f>'Календарь'!A90</f>
        <v/>
      </c>
      <c r="D3432">
        <f>MONTH(C3432)</f>
        <v/>
      </c>
      <c r="E3432">
        <f>'Календарь'!D90</f>
        <v/>
      </c>
      <c r="F3432">
        <f>INT((C3432-Нед_Начало)/7)+1</f>
        <v/>
      </c>
      <c r="G3432">
        <f>IF(E3432=0,0,INDEX('Планы менеджеров'!$B$5:$M$16,B3432,D3432)/INDEX(Мес_Раб,D3432))</f>
        <v/>
      </c>
    </row>
    <row r="3433">
      <c r="A3433" t="inlineStr">
        <is>
          <t>Семенова</t>
        </is>
      </c>
      <c r="B3433" t="n">
        <v>14</v>
      </c>
      <c r="C3433" s="18">
        <f>'Календарь'!A91</f>
        <v/>
      </c>
      <c r="D3433">
        <f>MONTH(C3433)</f>
        <v/>
      </c>
      <c r="E3433">
        <f>'Календарь'!D91</f>
        <v/>
      </c>
      <c r="F3433">
        <f>INT((C3433-Нед_Начало)/7)+1</f>
        <v/>
      </c>
      <c r="G3433">
        <f>IF(E3433=0,0,INDEX('Планы менеджеров'!$B$5:$M$16,B3433,D3433)/INDEX(Мес_Раб,D3433))</f>
        <v/>
      </c>
    </row>
    <row r="3434">
      <c r="A3434" t="inlineStr">
        <is>
          <t>Семенова</t>
        </is>
      </c>
      <c r="B3434" t="n">
        <v>14</v>
      </c>
      <c r="C3434" s="18">
        <f>'Календарь'!A92</f>
        <v/>
      </c>
      <c r="D3434">
        <f>MONTH(C3434)</f>
        <v/>
      </c>
      <c r="E3434">
        <f>'Календарь'!D92</f>
        <v/>
      </c>
      <c r="F3434">
        <f>INT((C3434-Нед_Начало)/7)+1</f>
        <v/>
      </c>
      <c r="G3434">
        <f>IF(E3434=0,0,INDEX('Планы менеджеров'!$B$5:$M$16,B3434,D3434)/INDEX(Мес_Раб,D3434))</f>
        <v/>
      </c>
    </row>
    <row r="3435">
      <c r="A3435" t="inlineStr">
        <is>
          <t>Семенова</t>
        </is>
      </c>
      <c r="B3435" t="n">
        <v>14</v>
      </c>
      <c r="C3435" s="18">
        <f>'Календарь'!A93</f>
        <v/>
      </c>
      <c r="D3435">
        <f>MONTH(C3435)</f>
        <v/>
      </c>
      <c r="E3435">
        <f>'Календарь'!D93</f>
        <v/>
      </c>
      <c r="F3435">
        <f>INT((C3435-Нед_Начало)/7)+1</f>
        <v/>
      </c>
      <c r="G3435">
        <f>IF(E3435=0,0,INDEX('Планы менеджеров'!$B$5:$M$16,B3435,D3435)/INDEX(Мес_Раб,D3435))</f>
        <v/>
      </c>
    </row>
    <row r="3436">
      <c r="A3436" t="inlineStr">
        <is>
          <t>Семенова</t>
        </is>
      </c>
      <c r="B3436" t="n">
        <v>14</v>
      </c>
      <c r="C3436" s="18">
        <f>'Календарь'!A94</f>
        <v/>
      </c>
      <c r="D3436">
        <f>MONTH(C3436)</f>
        <v/>
      </c>
      <c r="E3436">
        <f>'Календарь'!D94</f>
        <v/>
      </c>
      <c r="F3436">
        <f>INT((C3436-Нед_Начало)/7)+1</f>
        <v/>
      </c>
      <c r="G3436">
        <f>IF(E3436=0,0,INDEX('Планы менеджеров'!$B$5:$M$16,B3436,D3436)/INDEX(Мес_Раб,D3436))</f>
        <v/>
      </c>
    </row>
    <row r="3437">
      <c r="A3437" t="inlineStr">
        <is>
          <t>Семенова</t>
        </is>
      </c>
      <c r="B3437" t="n">
        <v>14</v>
      </c>
      <c r="C3437" s="18">
        <f>'Календарь'!A95</f>
        <v/>
      </c>
      <c r="D3437">
        <f>MONTH(C3437)</f>
        <v/>
      </c>
      <c r="E3437">
        <f>'Календарь'!D95</f>
        <v/>
      </c>
      <c r="F3437">
        <f>INT((C3437-Нед_Начало)/7)+1</f>
        <v/>
      </c>
      <c r="G3437">
        <f>IF(E3437=0,0,INDEX('Планы менеджеров'!$B$5:$M$16,B3437,D3437)/INDEX(Мес_Раб,D3437))</f>
        <v/>
      </c>
    </row>
    <row r="3438">
      <c r="A3438" t="inlineStr">
        <is>
          <t>Семенова</t>
        </is>
      </c>
      <c r="B3438" t="n">
        <v>14</v>
      </c>
      <c r="C3438" s="18">
        <f>'Календарь'!A96</f>
        <v/>
      </c>
      <c r="D3438">
        <f>MONTH(C3438)</f>
        <v/>
      </c>
      <c r="E3438">
        <f>'Календарь'!D96</f>
        <v/>
      </c>
      <c r="F3438">
        <f>INT((C3438-Нед_Начало)/7)+1</f>
        <v/>
      </c>
      <c r="G3438">
        <f>IF(E3438=0,0,INDEX('Планы менеджеров'!$B$5:$M$16,B3438,D3438)/INDEX(Мес_Раб,D3438))</f>
        <v/>
      </c>
    </row>
    <row r="3439">
      <c r="A3439" t="inlineStr">
        <is>
          <t>Семенова</t>
        </is>
      </c>
      <c r="B3439" t="n">
        <v>14</v>
      </c>
      <c r="C3439" s="18">
        <f>'Календарь'!A97</f>
        <v/>
      </c>
      <c r="D3439">
        <f>MONTH(C3439)</f>
        <v/>
      </c>
      <c r="E3439">
        <f>'Календарь'!D97</f>
        <v/>
      </c>
      <c r="F3439">
        <f>INT((C3439-Нед_Начало)/7)+1</f>
        <v/>
      </c>
      <c r="G3439">
        <f>IF(E3439=0,0,INDEX('Планы менеджеров'!$B$5:$M$16,B3439,D3439)/INDEX(Мес_Раб,D3439))</f>
        <v/>
      </c>
    </row>
    <row r="3440">
      <c r="A3440" t="inlineStr">
        <is>
          <t>Семенова</t>
        </is>
      </c>
      <c r="B3440" t="n">
        <v>14</v>
      </c>
      <c r="C3440" s="18">
        <f>'Календарь'!A98</f>
        <v/>
      </c>
      <c r="D3440">
        <f>MONTH(C3440)</f>
        <v/>
      </c>
      <c r="E3440">
        <f>'Календарь'!D98</f>
        <v/>
      </c>
      <c r="F3440">
        <f>INT((C3440-Нед_Начало)/7)+1</f>
        <v/>
      </c>
      <c r="G3440">
        <f>IF(E3440=0,0,INDEX('Планы менеджеров'!$B$5:$M$16,B3440,D3440)/INDEX(Мес_Раб,D3440))</f>
        <v/>
      </c>
    </row>
    <row r="3441">
      <c r="A3441" t="inlineStr">
        <is>
          <t>Семенова</t>
        </is>
      </c>
      <c r="B3441" t="n">
        <v>14</v>
      </c>
      <c r="C3441" s="18">
        <f>'Календарь'!A99</f>
        <v/>
      </c>
      <c r="D3441">
        <f>MONTH(C3441)</f>
        <v/>
      </c>
      <c r="E3441">
        <f>'Календарь'!D99</f>
        <v/>
      </c>
      <c r="F3441">
        <f>INT((C3441-Нед_Начало)/7)+1</f>
        <v/>
      </c>
      <c r="G3441">
        <f>IF(E3441=0,0,INDEX('Планы менеджеров'!$B$5:$M$16,B3441,D3441)/INDEX(Мес_Раб,D3441))</f>
        <v/>
      </c>
    </row>
    <row r="3442">
      <c r="A3442" t="inlineStr">
        <is>
          <t>Семенова</t>
        </is>
      </c>
      <c r="B3442" t="n">
        <v>14</v>
      </c>
      <c r="C3442" s="18">
        <f>'Календарь'!A100</f>
        <v/>
      </c>
      <c r="D3442">
        <f>MONTH(C3442)</f>
        <v/>
      </c>
      <c r="E3442">
        <f>'Календарь'!D100</f>
        <v/>
      </c>
      <c r="F3442">
        <f>INT((C3442-Нед_Начало)/7)+1</f>
        <v/>
      </c>
      <c r="G3442">
        <f>IF(E3442=0,0,INDEX('Планы менеджеров'!$B$5:$M$16,B3442,D3442)/INDEX(Мес_Раб,D3442))</f>
        <v/>
      </c>
    </row>
    <row r="3443">
      <c r="A3443" t="inlineStr">
        <is>
          <t>Семенова</t>
        </is>
      </c>
      <c r="B3443" t="n">
        <v>14</v>
      </c>
      <c r="C3443" s="18">
        <f>'Календарь'!A101</f>
        <v/>
      </c>
      <c r="D3443">
        <f>MONTH(C3443)</f>
        <v/>
      </c>
      <c r="E3443">
        <f>'Календарь'!D101</f>
        <v/>
      </c>
      <c r="F3443">
        <f>INT((C3443-Нед_Начало)/7)+1</f>
        <v/>
      </c>
      <c r="G3443">
        <f>IF(E3443=0,0,INDEX('Планы менеджеров'!$B$5:$M$16,B3443,D3443)/INDEX(Мес_Раб,D3443))</f>
        <v/>
      </c>
    </row>
    <row r="3444">
      <c r="A3444" t="inlineStr">
        <is>
          <t>Семенова</t>
        </is>
      </c>
      <c r="B3444" t="n">
        <v>14</v>
      </c>
      <c r="C3444" s="18">
        <f>'Календарь'!A102</f>
        <v/>
      </c>
      <c r="D3444">
        <f>MONTH(C3444)</f>
        <v/>
      </c>
      <c r="E3444">
        <f>'Календарь'!D102</f>
        <v/>
      </c>
      <c r="F3444">
        <f>INT((C3444-Нед_Начало)/7)+1</f>
        <v/>
      </c>
      <c r="G3444">
        <f>IF(E3444=0,0,INDEX('Планы менеджеров'!$B$5:$M$16,B3444,D3444)/INDEX(Мес_Раб,D3444))</f>
        <v/>
      </c>
    </row>
    <row r="3445">
      <c r="A3445" t="inlineStr">
        <is>
          <t>Семенова</t>
        </is>
      </c>
      <c r="B3445" t="n">
        <v>14</v>
      </c>
      <c r="C3445" s="18">
        <f>'Календарь'!A103</f>
        <v/>
      </c>
      <c r="D3445">
        <f>MONTH(C3445)</f>
        <v/>
      </c>
      <c r="E3445">
        <f>'Календарь'!D103</f>
        <v/>
      </c>
      <c r="F3445">
        <f>INT((C3445-Нед_Начало)/7)+1</f>
        <v/>
      </c>
      <c r="G3445">
        <f>IF(E3445=0,0,INDEX('Планы менеджеров'!$B$5:$M$16,B3445,D3445)/INDEX(Мес_Раб,D3445))</f>
        <v/>
      </c>
    </row>
    <row r="3446">
      <c r="A3446" t="inlineStr">
        <is>
          <t>Семенова</t>
        </is>
      </c>
      <c r="B3446" t="n">
        <v>14</v>
      </c>
      <c r="C3446" s="18">
        <f>'Календарь'!A104</f>
        <v/>
      </c>
      <c r="D3446">
        <f>MONTH(C3446)</f>
        <v/>
      </c>
      <c r="E3446">
        <f>'Календарь'!D104</f>
        <v/>
      </c>
      <c r="F3446">
        <f>INT((C3446-Нед_Начало)/7)+1</f>
        <v/>
      </c>
      <c r="G3446">
        <f>IF(E3446=0,0,INDEX('Планы менеджеров'!$B$5:$M$16,B3446,D3446)/INDEX(Мес_Раб,D3446))</f>
        <v/>
      </c>
    </row>
    <row r="3447">
      <c r="A3447" t="inlineStr">
        <is>
          <t>Семенова</t>
        </is>
      </c>
      <c r="B3447" t="n">
        <v>14</v>
      </c>
      <c r="C3447" s="18">
        <f>'Календарь'!A105</f>
        <v/>
      </c>
      <c r="D3447">
        <f>MONTH(C3447)</f>
        <v/>
      </c>
      <c r="E3447">
        <f>'Календарь'!D105</f>
        <v/>
      </c>
      <c r="F3447">
        <f>INT((C3447-Нед_Начало)/7)+1</f>
        <v/>
      </c>
      <c r="G3447">
        <f>IF(E3447=0,0,INDEX('Планы менеджеров'!$B$5:$M$16,B3447,D3447)/INDEX(Мес_Раб,D3447))</f>
        <v/>
      </c>
    </row>
    <row r="3448">
      <c r="A3448" t="inlineStr">
        <is>
          <t>Семенова</t>
        </is>
      </c>
      <c r="B3448" t="n">
        <v>14</v>
      </c>
      <c r="C3448" s="18">
        <f>'Календарь'!A106</f>
        <v/>
      </c>
      <c r="D3448">
        <f>MONTH(C3448)</f>
        <v/>
      </c>
      <c r="E3448">
        <f>'Календарь'!D106</f>
        <v/>
      </c>
      <c r="F3448">
        <f>INT((C3448-Нед_Начало)/7)+1</f>
        <v/>
      </c>
      <c r="G3448">
        <f>IF(E3448=0,0,INDEX('Планы менеджеров'!$B$5:$M$16,B3448,D3448)/INDEX(Мес_Раб,D3448))</f>
        <v/>
      </c>
    </row>
    <row r="3449">
      <c r="A3449" t="inlineStr">
        <is>
          <t>Семенова</t>
        </is>
      </c>
      <c r="B3449" t="n">
        <v>14</v>
      </c>
      <c r="C3449" s="18">
        <f>'Календарь'!A107</f>
        <v/>
      </c>
      <c r="D3449">
        <f>MONTH(C3449)</f>
        <v/>
      </c>
      <c r="E3449">
        <f>'Календарь'!D107</f>
        <v/>
      </c>
      <c r="F3449">
        <f>INT((C3449-Нед_Начало)/7)+1</f>
        <v/>
      </c>
      <c r="G3449">
        <f>IF(E3449=0,0,INDEX('Планы менеджеров'!$B$5:$M$16,B3449,D3449)/INDEX(Мес_Раб,D3449))</f>
        <v/>
      </c>
    </row>
    <row r="3450">
      <c r="A3450" t="inlineStr">
        <is>
          <t>Семенова</t>
        </is>
      </c>
      <c r="B3450" t="n">
        <v>14</v>
      </c>
      <c r="C3450" s="18">
        <f>'Календарь'!A108</f>
        <v/>
      </c>
      <c r="D3450">
        <f>MONTH(C3450)</f>
        <v/>
      </c>
      <c r="E3450">
        <f>'Календарь'!D108</f>
        <v/>
      </c>
      <c r="F3450">
        <f>INT((C3450-Нед_Начало)/7)+1</f>
        <v/>
      </c>
      <c r="G3450">
        <f>IF(E3450=0,0,INDEX('Планы менеджеров'!$B$5:$M$16,B3450,D3450)/INDEX(Мес_Раб,D3450))</f>
        <v/>
      </c>
    </row>
    <row r="3451">
      <c r="A3451" t="inlineStr">
        <is>
          <t>Семенова</t>
        </is>
      </c>
      <c r="B3451" t="n">
        <v>14</v>
      </c>
      <c r="C3451" s="18">
        <f>'Календарь'!A109</f>
        <v/>
      </c>
      <c r="D3451">
        <f>MONTH(C3451)</f>
        <v/>
      </c>
      <c r="E3451">
        <f>'Календарь'!D109</f>
        <v/>
      </c>
      <c r="F3451">
        <f>INT((C3451-Нед_Начало)/7)+1</f>
        <v/>
      </c>
      <c r="G3451">
        <f>IF(E3451=0,0,INDEX('Планы менеджеров'!$B$5:$M$16,B3451,D3451)/INDEX(Мес_Раб,D3451))</f>
        <v/>
      </c>
    </row>
    <row r="3452">
      <c r="A3452" t="inlineStr">
        <is>
          <t>Семенова</t>
        </is>
      </c>
      <c r="B3452" t="n">
        <v>14</v>
      </c>
      <c r="C3452" s="18">
        <f>'Календарь'!A110</f>
        <v/>
      </c>
      <c r="D3452">
        <f>MONTH(C3452)</f>
        <v/>
      </c>
      <c r="E3452">
        <f>'Календарь'!D110</f>
        <v/>
      </c>
      <c r="F3452">
        <f>INT((C3452-Нед_Начало)/7)+1</f>
        <v/>
      </c>
      <c r="G3452">
        <f>IF(E3452=0,0,INDEX('Планы менеджеров'!$B$5:$M$16,B3452,D3452)/INDEX(Мес_Раб,D3452))</f>
        <v/>
      </c>
    </row>
    <row r="3453">
      <c r="A3453" t="inlineStr">
        <is>
          <t>Семенова</t>
        </is>
      </c>
      <c r="B3453" t="n">
        <v>14</v>
      </c>
      <c r="C3453" s="18">
        <f>'Календарь'!A111</f>
        <v/>
      </c>
      <c r="D3453">
        <f>MONTH(C3453)</f>
        <v/>
      </c>
      <c r="E3453">
        <f>'Календарь'!D111</f>
        <v/>
      </c>
      <c r="F3453">
        <f>INT((C3453-Нед_Начало)/7)+1</f>
        <v/>
      </c>
      <c r="G3453">
        <f>IF(E3453=0,0,INDEX('Планы менеджеров'!$B$5:$M$16,B3453,D3453)/INDEX(Мес_Раб,D3453))</f>
        <v/>
      </c>
    </row>
    <row r="3454">
      <c r="A3454" t="inlineStr">
        <is>
          <t>Семенова</t>
        </is>
      </c>
      <c r="B3454" t="n">
        <v>14</v>
      </c>
      <c r="C3454" s="18">
        <f>'Календарь'!A112</f>
        <v/>
      </c>
      <c r="D3454">
        <f>MONTH(C3454)</f>
        <v/>
      </c>
      <c r="E3454">
        <f>'Календарь'!D112</f>
        <v/>
      </c>
      <c r="F3454">
        <f>INT((C3454-Нед_Начало)/7)+1</f>
        <v/>
      </c>
      <c r="G3454">
        <f>IF(E3454=0,0,INDEX('Планы менеджеров'!$B$5:$M$16,B3454,D3454)/INDEX(Мес_Раб,D3454))</f>
        <v/>
      </c>
    </row>
    <row r="3455">
      <c r="A3455" t="inlineStr">
        <is>
          <t>Семенова</t>
        </is>
      </c>
      <c r="B3455" t="n">
        <v>14</v>
      </c>
      <c r="C3455" s="18">
        <f>'Календарь'!A113</f>
        <v/>
      </c>
      <c r="D3455">
        <f>MONTH(C3455)</f>
        <v/>
      </c>
      <c r="E3455">
        <f>'Календарь'!D113</f>
        <v/>
      </c>
      <c r="F3455">
        <f>INT((C3455-Нед_Начало)/7)+1</f>
        <v/>
      </c>
      <c r="G3455">
        <f>IF(E3455=0,0,INDEX('Планы менеджеров'!$B$5:$M$16,B3455,D3455)/INDEX(Мес_Раб,D3455))</f>
        <v/>
      </c>
    </row>
    <row r="3456">
      <c r="A3456" t="inlineStr">
        <is>
          <t>Семенова</t>
        </is>
      </c>
      <c r="B3456" t="n">
        <v>14</v>
      </c>
      <c r="C3456" s="18">
        <f>'Календарь'!A114</f>
        <v/>
      </c>
      <c r="D3456">
        <f>MONTH(C3456)</f>
        <v/>
      </c>
      <c r="E3456">
        <f>'Календарь'!D114</f>
        <v/>
      </c>
      <c r="F3456">
        <f>INT((C3456-Нед_Начало)/7)+1</f>
        <v/>
      </c>
      <c r="G3456">
        <f>IF(E3456=0,0,INDEX('Планы менеджеров'!$B$5:$M$16,B3456,D3456)/INDEX(Мес_Раб,D3456))</f>
        <v/>
      </c>
    </row>
    <row r="3457">
      <c r="A3457" t="inlineStr">
        <is>
          <t>Семенова</t>
        </is>
      </c>
      <c r="B3457" t="n">
        <v>14</v>
      </c>
      <c r="C3457" s="18">
        <f>'Календарь'!A115</f>
        <v/>
      </c>
      <c r="D3457">
        <f>MONTH(C3457)</f>
        <v/>
      </c>
      <c r="E3457">
        <f>'Календарь'!D115</f>
        <v/>
      </c>
      <c r="F3457">
        <f>INT((C3457-Нед_Начало)/7)+1</f>
        <v/>
      </c>
      <c r="G3457">
        <f>IF(E3457=0,0,INDEX('Планы менеджеров'!$B$5:$M$16,B3457,D3457)/INDEX(Мес_Раб,D3457))</f>
        <v/>
      </c>
    </row>
    <row r="3458">
      <c r="A3458" t="inlineStr">
        <is>
          <t>Семенова</t>
        </is>
      </c>
      <c r="B3458" t="n">
        <v>14</v>
      </c>
      <c r="C3458" s="18">
        <f>'Календарь'!A116</f>
        <v/>
      </c>
      <c r="D3458">
        <f>MONTH(C3458)</f>
        <v/>
      </c>
      <c r="E3458">
        <f>'Календарь'!D116</f>
        <v/>
      </c>
      <c r="F3458">
        <f>INT((C3458-Нед_Начало)/7)+1</f>
        <v/>
      </c>
      <c r="G3458">
        <f>IF(E3458=0,0,INDEX('Планы менеджеров'!$B$5:$M$16,B3458,D3458)/INDEX(Мес_Раб,D3458))</f>
        <v/>
      </c>
    </row>
    <row r="3459">
      <c r="A3459" t="inlineStr">
        <is>
          <t>Семенова</t>
        </is>
      </c>
      <c r="B3459" t="n">
        <v>14</v>
      </c>
      <c r="C3459" s="18">
        <f>'Календарь'!A117</f>
        <v/>
      </c>
      <c r="D3459">
        <f>MONTH(C3459)</f>
        <v/>
      </c>
      <c r="E3459">
        <f>'Календарь'!D117</f>
        <v/>
      </c>
      <c r="F3459">
        <f>INT((C3459-Нед_Начало)/7)+1</f>
        <v/>
      </c>
      <c r="G3459">
        <f>IF(E3459=0,0,INDEX('Планы менеджеров'!$B$5:$M$16,B3459,D3459)/INDEX(Мес_Раб,D3459))</f>
        <v/>
      </c>
    </row>
    <row r="3460">
      <c r="A3460" t="inlineStr">
        <is>
          <t>Семенова</t>
        </is>
      </c>
      <c r="B3460" t="n">
        <v>14</v>
      </c>
      <c r="C3460" s="18">
        <f>'Календарь'!A118</f>
        <v/>
      </c>
      <c r="D3460">
        <f>MONTH(C3460)</f>
        <v/>
      </c>
      <c r="E3460">
        <f>'Календарь'!D118</f>
        <v/>
      </c>
      <c r="F3460">
        <f>INT((C3460-Нед_Начало)/7)+1</f>
        <v/>
      </c>
      <c r="G3460">
        <f>IF(E3460=0,0,INDEX('Планы менеджеров'!$B$5:$M$16,B3460,D3460)/INDEX(Мес_Раб,D3460))</f>
        <v/>
      </c>
    </row>
    <row r="3461">
      <c r="A3461" t="inlineStr">
        <is>
          <t>Семенова</t>
        </is>
      </c>
      <c r="B3461" t="n">
        <v>14</v>
      </c>
      <c r="C3461" s="18">
        <f>'Календарь'!A119</f>
        <v/>
      </c>
      <c r="D3461">
        <f>MONTH(C3461)</f>
        <v/>
      </c>
      <c r="E3461">
        <f>'Календарь'!D119</f>
        <v/>
      </c>
      <c r="F3461">
        <f>INT((C3461-Нед_Начало)/7)+1</f>
        <v/>
      </c>
      <c r="G3461">
        <f>IF(E3461=0,0,INDEX('Планы менеджеров'!$B$5:$M$16,B3461,D3461)/INDEX(Мес_Раб,D3461))</f>
        <v/>
      </c>
    </row>
    <row r="3462">
      <c r="A3462" t="inlineStr">
        <is>
          <t>Семенова</t>
        </is>
      </c>
      <c r="B3462" t="n">
        <v>14</v>
      </c>
      <c r="C3462" s="18">
        <f>'Календарь'!A120</f>
        <v/>
      </c>
      <c r="D3462">
        <f>MONTH(C3462)</f>
        <v/>
      </c>
      <c r="E3462">
        <f>'Календарь'!D120</f>
        <v/>
      </c>
      <c r="F3462">
        <f>INT((C3462-Нед_Начало)/7)+1</f>
        <v/>
      </c>
      <c r="G3462">
        <f>IF(E3462=0,0,INDEX('Планы менеджеров'!$B$5:$M$16,B3462,D3462)/INDEX(Мес_Раб,D3462))</f>
        <v/>
      </c>
    </row>
    <row r="3463">
      <c r="A3463" t="inlineStr">
        <is>
          <t>Семенова</t>
        </is>
      </c>
      <c r="B3463" t="n">
        <v>14</v>
      </c>
      <c r="C3463" s="18">
        <f>'Календарь'!A121</f>
        <v/>
      </c>
      <c r="D3463">
        <f>MONTH(C3463)</f>
        <v/>
      </c>
      <c r="E3463">
        <f>'Календарь'!D121</f>
        <v/>
      </c>
      <c r="F3463">
        <f>INT((C3463-Нед_Начало)/7)+1</f>
        <v/>
      </c>
      <c r="G3463">
        <f>IF(E3463=0,0,INDEX('Планы менеджеров'!$B$5:$M$16,B3463,D3463)/INDEX(Мес_Раб,D3463))</f>
        <v/>
      </c>
    </row>
    <row r="3464">
      <c r="A3464" t="inlineStr">
        <is>
          <t>Семенова</t>
        </is>
      </c>
      <c r="B3464" t="n">
        <v>14</v>
      </c>
      <c r="C3464" s="18">
        <f>'Календарь'!A122</f>
        <v/>
      </c>
      <c r="D3464">
        <f>MONTH(C3464)</f>
        <v/>
      </c>
      <c r="E3464">
        <f>'Календарь'!D122</f>
        <v/>
      </c>
      <c r="F3464">
        <f>INT((C3464-Нед_Начало)/7)+1</f>
        <v/>
      </c>
      <c r="G3464">
        <f>IF(E3464=0,0,INDEX('Планы менеджеров'!$B$5:$M$16,B3464,D3464)/INDEX(Мес_Раб,D3464))</f>
        <v/>
      </c>
    </row>
    <row r="3465">
      <c r="A3465" t="inlineStr">
        <is>
          <t>Семенова</t>
        </is>
      </c>
      <c r="B3465" t="n">
        <v>14</v>
      </c>
      <c r="C3465" s="18">
        <f>'Календарь'!A123</f>
        <v/>
      </c>
      <c r="D3465">
        <f>MONTH(C3465)</f>
        <v/>
      </c>
      <c r="E3465">
        <f>'Календарь'!D123</f>
        <v/>
      </c>
      <c r="F3465">
        <f>INT((C3465-Нед_Начало)/7)+1</f>
        <v/>
      </c>
      <c r="G3465">
        <f>IF(E3465=0,0,INDEX('Планы менеджеров'!$B$5:$M$16,B3465,D3465)/INDEX(Мес_Раб,D3465))</f>
        <v/>
      </c>
    </row>
    <row r="3466">
      <c r="A3466" t="inlineStr">
        <is>
          <t>Семенова</t>
        </is>
      </c>
      <c r="B3466" t="n">
        <v>14</v>
      </c>
      <c r="C3466" s="18">
        <f>'Календарь'!A124</f>
        <v/>
      </c>
      <c r="D3466">
        <f>MONTH(C3466)</f>
        <v/>
      </c>
      <c r="E3466">
        <f>'Календарь'!D124</f>
        <v/>
      </c>
      <c r="F3466">
        <f>INT((C3466-Нед_Начало)/7)+1</f>
        <v/>
      </c>
      <c r="G3466">
        <f>IF(E3466=0,0,INDEX('Планы менеджеров'!$B$5:$M$16,B3466,D3466)/INDEX(Мес_Раб,D3466))</f>
        <v/>
      </c>
    </row>
    <row r="3467">
      <c r="A3467" t="inlineStr">
        <is>
          <t>Семенова</t>
        </is>
      </c>
      <c r="B3467" t="n">
        <v>14</v>
      </c>
      <c r="C3467" s="18">
        <f>'Календарь'!A125</f>
        <v/>
      </c>
      <c r="D3467">
        <f>MONTH(C3467)</f>
        <v/>
      </c>
      <c r="E3467">
        <f>'Календарь'!D125</f>
        <v/>
      </c>
      <c r="F3467">
        <f>INT((C3467-Нед_Начало)/7)+1</f>
        <v/>
      </c>
      <c r="G3467">
        <f>IF(E3467=0,0,INDEX('Планы менеджеров'!$B$5:$M$16,B3467,D3467)/INDEX(Мес_Раб,D3467))</f>
        <v/>
      </c>
    </row>
    <row r="3468">
      <c r="A3468" t="inlineStr">
        <is>
          <t>Семенова</t>
        </is>
      </c>
      <c r="B3468" t="n">
        <v>14</v>
      </c>
      <c r="C3468" s="18">
        <f>'Календарь'!A126</f>
        <v/>
      </c>
      <c r="D3468">
        <f>MONTH(C3468)</f>
        <v/>
      </c>
      <c r="E3468">
        <f>'Календарь'!D126</f>
        <v/>
      </c>
      <c r="F3468">
        <f>INT((C3468-Нед_Начало)/7)+1</f>
        <v/>
      </c>
      <c r="G3468">
        <f>IF(E3468=0,0,INDEX('Планы менеджеров'!$B$5:$M$16,B3468,D3468)/INDEX(Мес_Раб,D3468))</f>
        <v/>
      </c>
    </row>
    <row r="3469">
      <c r="A3469" t="inlineStr">
        <is>
          <t>Семенова</t>
        </is>
      </c>
      <c r="B3469" t="n">
        <v>14</v>
      </c>
      <c r="C3469" s="18">
        <f>'Календарь'!A127</f>
        <v/>
      </c>
      <c r="D3469">
        <f>MONTH(C3469)</f>
        <v/>
      </c>
      <c r="E3469">
        <f>'Календарь'!D127</f>
        <v/>
      </c>
      <c r="F3469">
        <f>INT((C3469-Нед_Начало)/7)+1</f>
        <v/>
      </c>
      <c r="G3469">
        <f>IF(E3469=0,0,INDEX('Планы менеджеров'!$B$5:$M$16,B3469,D3469)/INDEX(Мес_Раб,D3469))</f>
        <v/>
      </c>
    </row>
    <row r="3470">
      <c r="A3470" t="inlineStr">
        <is>
          <t>Семенова</t>
        </is>
      </c>
      <c r="B3470" t="n">
        <v>14</v>
      </c>
      <c r="C3470" s="18">
        <f>'Календарь'!A128</f>
        <v/>
      </c>
      <c r="D3470">
        <f>MONTH(C3470)</f>
        <v/>
      </c>
      <c r="E3470">
        <f>'Календарь'!D128</f>
        <v/>
      </c>
      <c r="F3470">
        <f>INT((C3470-Нед_Начало)/7)+1</f>
        <v/>
      </c>
      <c r="G3470">
        <f>IF(E3470=0,0,INDEX('Планы менеджеров'!$B$5:$M$16,B3470,D3470)/INDEX(Мес_Раб,D3470))</f>
        <v/>
      </c>
    </row>
    <row r="3471">
      <c r="A3471" t="inlineStr">
        <is>
          <t>Семенова</t>
        </is>
      </c>
      <c r="B3471" t="n">
        <v>14</v>
      </c>
      <c r="C3471" s="18">
        <f>'Календарь'!A129</f>
        <v/>
      </c>
      <c r="D3471">
        <f>MONTH(C3471)</f>
        <v/>
      </c>
      <c r="E3471">
        <f>'Календарь'!D129</f>
        <v/>
      </c>
      <c r="F3471">
        <f>INT((C3471-Нед_Начало)/7)+1</f>
        <v/>
      </c>
      <c r="G3471">
        <f>IF(E3471=0,0,INDEX('Планы менеджеров'!$B$5:$M$16,B3471,D3471)/INDEX(Мес_Раб,D3471))</f>
        <v/>
      </c>
    </row>
    <row r="3472">
      <c r="A3472" t="inlineStr">
        <is>
          <t>Семенова</t>
        </is>
      </c>
      <c r="B3472" t="n">
        <v>14</v>
      </c>
      <c r="C3472" s="18">
        <f>'Календарь'!A130</f>
        <v/>
      </c>
      <c r="D3472">
        <f>MONTH(C3472)</f>
        <v/>
      </c>
      <c r="E3472">
        <f>'Календарь'!D130</f>
        <v/>
      </c>
      <c r="F3472">
        <f>INT((C3472-Нед_Начало)/7)+1</f>
        <v/>
      </c>
      <c r="G3472">
        <f>IF(E3472=0,0,INDEX('Планы менеджеров'!$B$5:$M$16,B3472,D3472)/INDEX(Мес_Раб,D3472))</f>
        <v/>
      </c>
    </row>
    <row r="3473">
      <c r="A3473" t="inlineStr">
        <is>
          <t>Семенова</t>
        </is>
      </c>
      <c r="B3473" t="n">
        <v>14</v>
      </c>
      <c r="C3473" s="18">
        <f>'Календарь'!A131</f>
        <v/>
      </c>
      <c r="D3473">
        <f>MONTH(C3473)</f>
        <v/>
      </c>
      <c r="E3473">
        <f>'Календарь'!D131</f>
        <v/>
      </c>
      <c r="F3473">
        <f>INT((C3473-Нед_Начало)/7)+1</f>
        <v/>
      </c>
      <c r="G3473">
        <f>IF(E3473=0,0,INDEX('Планы менеджеров'!$B$5:$M$16,B3473,D3473)/INDEX(Мес_Раб,D3473))</f>
        <v/>
      </c>
    </row>
    <row r="3474">
      <c r="A3474" t="inlineStr">
        <is>
          <t>Семенова</t>
        </is>
      </c>
      <c r="B3474" t="n">
        <v>14</v>
      </c>
      <c r="C3474" s="18">
        <f>'Календарь'!A132</f>
        <v/>
      </c>
      <c r="D3474">
        <f>MONTH(C3474)</f>
        <v/>
      </c>
      <c r="E3474">
        <f>'Календарь'!D132</f>
        <v/>
      </c>
      <c r="F3474">
        <f>INT((C3474-Нед_Начало)/7)+1</f>
        <v/>
      </c>
      <c r="G3474">
        <f>IF(E3474=0,0,INDEX('Планы менеджеров'!$B$5:$M$16,B3474,D3474)/INDEX(Мес_Раб,D3474))</f>
        <v/>
      </c>
    </row>
    <row r="3475">
      <c r="A3475" t="inlineStr">
        <is>
          <t>Семенова</t>
        </is>
      </c>
      <c r="B3475" t="n">
        <v>14</v>
      </c>
      <c r="C3475" s="18">
        <f>'Календарь'!A133</f>
        <v/>
      </c>
      <c r="D3475">
        <f>MONTH(C3475)</f>
        <v/>
      </c>
      <c r="E3475">
        <f>'Календарь'!D133</f>
        <v/>
      </c>
      <c r="F3475">
        <f>INT((C3475-Нед_Начало)/7)+1</f>
        <v/>
      </c>
      <c r="G3475">
        <f>IF(E3475=0,0,INDEX('Планы менеджеров'!$B$5:$M$16,B3475,D3475)/INDEX(Мес_Раб,D3475))</f>
        <v/>
      </c>
    </row>
    <row r="3476">
      <c r="A3476" t="inlineStr">
        <is>
          <t>Семенова</t>
        </is>
      </c>
      <c r="B3476" t="n">
        <v>14</v>
      </c>
      <c r="C3476" s="18">
        <f>'Календарь'!A134</f>
        <v/>
      </c>
      <c r="D3476">
        <f>MONTH(C3476)</f>
        <v/>
      </c>
      <c r="E3476">
        <f>'Календарь'!D134</f>
        <v/>
      </c>
      <c r="F3476">
        <f>INT((C3476-Нед_Начало)/7)+1</f>
        <v/>
      </c>
      <c r="G3476">
        <f>IF(E3476=0,0,INDEX('Планы менеджеров'!$B$5:$M$16,B3476,D3476)/INDEX(Мес_Раб,D3476))</f>
        <v/>
      </c>
    </row>
    <row r="3477">
      <c r="A3477" t="inlineStr">
        <is>
          <t>Семенова</t>
        </is>
      </c>
      <c r="B3477" t="n">
        <v>14</v>
      </c>
      <c r="C3477" s="18">
        <f>'Календарь'!A135</f>
        <v/>
      </c>
      <c r="D3477">
        <f>MONTH(C3477)</f>
        <v/>
      </c>
      <c r="E3477">
        <f>'Календарь'!D135</f>
        <v/>
      </c>
      <c r="F3477">
        <f>INT((C3477-Нед_Начало)/7)+1</f>
        <v/>
      </c>
      <c r="G3477">
        <f>IF(E3477=0,0,INDEX('Планы менеджеров'!$B$5:$M$16,B3477,D3477)/INDEX(Мес_Раб,D3477))</f>
        <v/>
      </c>
    </row>
    <row r="3478">
      <c r="A3478" t="inlineStr">
        <is>
          <t>Семенова</t>
        </is>
      </c>
      <c r="B3478" t="n">
        <v>14</v>
      </c>
      <c r="C3478" s="18">
        <f>'Календарь'!A136</f>
        <v/>
      </c>
      <c r="D3478">
        <f>MONTH(C3478)</f>
        <v/>
      </c>
      <c r="E3478">
        <f>'Календарь'!D136</f>
        <v/>
      </c>
      <c r="F3478">
        <f>INT((C3478-Нед_Начало)/7)+1</f>
        <v/>
      </c>
      <c r="G3478">
        <f>IF(E3478=0,0,INDEX('Планы менеджеров'!$B$5:$M$16,B3478,D3478)/INDEX(Мес_Раб,D3478))</f>
        <v/>
      </c>
    </row>
    <row r="3479">
      <c r="A3479" t="inlineStr">
        <is>
          <t>Семенова</t>
        </is>
      </c>
      <c r="B3479" t="n">
        <v>14</v>
      </c>
      <c r="C3479" s="18">
        <f>'Календарь'!A137</f>
        <v/>
      </c>
      <c r="D3479">
        <f>MONTH(C3479)</f>
        <v/>
      </c>
      <c r="E3479">
        <f>'Календарь'!D137</f>
        <v/>
      </c>
      <c r="F3479">
        <f>INT((C3479-Нед_Начало)/7)+1</f>
        <v/>
      </c>
      <c r="G3479">
        <f>IF(E3479=0,0,INDEX('Планы менеджеров'!$B$5:$M$16,B3479,D3479)/INDEX(Мес_Раб,D3479))</f>
        <v/>
      </c>
    </row>
    <row r="3480">
      <c r="A3480" t="inlineStr">
        <is>
          <t>Семенова</t>
        </is>
      </c>
      <c r="B3480" t="n">
        <v>14</v>
      </c>
      <c r="C3480" s="18">
        <f>'Календарь'!A138</f>
        <v/>
      </c>
      <c r="D3480">
        <f>MONTH(C3480)</f>
        <v/>
      </c>
      <c r="E3480">
        <f>'Календарь'!D138</f>
        <v/>
      </c>
      <c r="F3480">
        <f>INT((C3480-Нед_Начало)/7)+1</f>
        <v/>
      </c>
      <c r="G3480">
        <f>IF(E3480=0,0,INDEX('Планы менеджеров'!$B$5:$M$16,B3480,D3480)/INDEX(Мес_Раб,D3480))</f>
        <v/>
      </c>
    </row>
    <row r="3481">
      <c r="A3481" t="inlineStr">
        <is>
          <t>Семенова</t>
        </is>
      </c>
      <c r="B3481" t="n">
        <v>14</v>
      </c>
      <c r="C3481" s="18">
        <f>'Календарь'!A139</f>
        <v/>
      </c>
      <c r="D3481">
        <f>MONTH(C3481)</f>
        <v/>
      </c>
      <c r="E3481">
        <f>'Календарь'!D139</f>
        <v/>
      </c>
      <c r="F3481">
        <f>INT((C3481-Нед_Начало)/7)+1</f>
        <v/>
      </c>
      <c r="G3481">
        <f>IF(E3481=0,0,INDEX('Планы менеджеров'!$B$5:$M$16,B3481,D3481)/INDEX(Мес_Раб,D3481))</f>
        <v/>
      </c>
    </row>
    <row r="3482">
      <c r="A3482" t="inlineStr">
        <is>
          <t>Семенова</t>
        </is>
      </c>
      <c r="B3482" t="n">
        <v>14</v>
      </c>
      <c r="C3482" s="18">
        <f>'Календарь'!A140</f>
        <v/>
      </c>
      <c r="D3482">
        <f>MONTH(C3482)</f>
        <v/>
      </c>
      <c r="E3482">
        <f>'Календарь'!D140</f>
        <v/>
      </c>
      <c r="F3482">
        <f>INT((C3482-Нед_Начало)/7)+1</f>
        <v/>
      </c>
      <c r="G3482">
        <f>IF(E3482=0,0,INDEX('Планы менеджеров'!$B$5:$M$16,B3482,D3482)/INDEX(Мес_Раб,D3482))</f>
        <v/>
      </c>
    </row>
    <row r="3483">
      <c r="A3483" t="inlineStr">
        <is>
          <t>Семенова</t>
        </is>
      </c>
      <c r="B3483" t="n">
        <v>14</v>
      </c>
      <c r="C3483" s="18">
        <f>'Календарь'!A141</f>
        <v/>
      </c>
      <c r="D3483">
        <f>MONTH(C3483)</f>
        <v/>
      </c>
      <c r="E3483">
        <f>'Календарь'!D141</f>
        <v/>
      </c>
      <c r="F3483">
        <f>INT((C3483-Нед_Начало)/7)+1</f>
        <v/>
      </c>
      <c r="G3483">
        <f>IF(E3483=0,0,INDEX('Планы менеджеров'!$B$5:$M$16,B3483,D3483)/INDEX(Мес_Раб,D3483))</f>
        <v/>
      </c>
    </row>
    <row r="3484">
      <c r="A3484" t="inlineStr">
        <is>
          <t>Семенова</t>
        </is>
      </c>
      <c r="B3484" t="n">
        <v>14</v>
      </c>
      <c r="C3484" s="18">
        <f>'Календарь'!A142</f>
        <v/>
      </c>
      <c r="D3484">
        <f>MONTH(C3484)</f>
        <v/>
      </c>
      <c r="E3484">
        <f>'Календарь'!D142</f>
        <v/>
      </c>
      <c r="F3484">
        <f>INT((C3484-Нед_Начало)/7)+1</f>
        <v/>
      </c>
      <c r="G3484">
        <f>IF(E3484=0,0,INDEX('Планы менеджеров'!$B$5:$M$16,B3484,D3484)/INDEX(Мес_Раб,D3484))</f>
        <v/>
      </c>
    </row>
    <row r="3485">
      <c r="A3485" t="inlineStr">
        <is>
          <t>Семенова</t>
        </is>
      </c>
      <c r="B3485" t="n">
        <v>14</v>
      </c>
      <c r="C3485" s="18">
        <f>'Календарь'!A143</f>
        <v/>
      </c>
      <c r="D3485">
        <f>MONTH(C3485)</f>
        <v/>
      </c>
      <c r="E3485">
        <f>'Календарь'!D143</f>
        <v/>
      </c>
      <c r="F3485">
        <f>INT((C3485-Нед_Начало)/7)+1</f>
        <v/>
      </c>
      <c r="G3485">
        <f>IF(E3485=0,0,INDEX('Планы менеджеров'!$B$5:$M$16,B3485,D3485)/INDEX(Мес_Раб,D3485))</f>
        <v/>
      </c>
    </row>
    <row r="3486">
      <c r="A3486" t="inlineStr">
        <is>
          <t>Семенова</t>
        </is>
      </c>
      <c r="B3486" t="n">
        <v>14</v>
      </c>
      <c r="C3486" s="18">
        <f>'Календарь'!A144</f>
        <v/>
      </c>
      <c r="D3486">
        <f>MONTH(C3486)</f>
        <v/>
      </c>
      <c r="E3486">
        <f>'Календарь'!D144</f>
        <v/>
      </c>
      <c r="F3486">
        <f>INT((C3486-Нед_Начало)/7)+1</f>
        <v/>
      </c>
      <c r="G3486">
        <f>IF(E3486=0,0,INDEX('Планы менеджеров'!$B$5:$M$16,B3486,D3486)/INDEX(Мес_Раб,D3486))</f>
        <v/>
      </c>
    </row>
    <row r="3487">
      <c r="A3487" t="inlineStr">
        <is>
          <t>Семенова</t>
        </is>
      </c>
      <c r="B3487" t="n">
        <v>14</v>
      </c>
      <c r="C3487" s="18">
        <f>'Календарь'!A145</f>
        <v/>
      </c>
      <c r="D3487">
        <f>MONTH(C3487)</f>
        <v/>
      </c>
      <c r="E3487">
        <f>'Календарь'!D145</f>
        <v/>
      </c>
      <c r="F3487">
        <f>INT((C3487-Нед_Начало)/7)+1</f>
        <v/>
      </c>
      <c r="G3487">
        <f>IF(E3487=0,0,INDEX('Планы менеджеров'!$B$5:$M$16,B3487,D3487)/INDEX(Мес_Раб,D3487))</f>
        <v/>
      </c>
    </row>
    <row r="3488">
      <c r="A3488" t="inlineStr">
        <is>
          <t>Семенова</t>
        </is>
      </c>
      <c r="B3488" t="n">
        <v>14</v>
      </c>
      <c r="C3488" s="18">
        <f>'Календарь'!A146</f>
        <v/>
      </c>
      <c r="D3488">
        <f>MONTH(C3488)</f>
        <v/>
      </c>
      <c r="E3488">
        <f>'Календарь'!D146</f>
        <v/>
      </c>
      <c r="F3488">
        <f>INT((C3488-Нед_Начало)/7)+1</f>
        <v/>
      </c>
      <c r="G3488">
        <f>IF(E3488=0,0,INDEX('Планы менеджеров'!$B$5:$M$16,B3488,D3488)/INDEX(Мес_Раб,D3488))</f>
        <v/>
      </c>
    </row>
    <row r="3489">
      <c r="A3489" t="inlineStr">
        <is>
          <t>Семенова</t>
        </is>
      </c>
      <c r="B3489" t="n">
        <v>14</v>
      </c>
      <c r="C3489" s="18">
        <f>'Календарь'!A147</f>
        <v/>
      </c>
      <c r="D3489">
        <f>MONTH(C3489)</f>
        <v/>
      </c>
      <c r="E3489">
        <f>'Календарь'!D147</f>
        <v/>
      </c>
      <c r="F3489">
        <f>INT((C3489-Нед_Начало)/7)+1</f>
        <v/>
      </c>
      <c r="G3489">
        <f>IF(E3489=0,0,INDEX('Планы менеджеров'!$B$5:$M$16,B3489,D3489)/INDEX(Мес_Раб,D3489))</f>
        <v/>
      </c>
    </row>
    <row r="3490">
      <c r="A3490" t="inlineStr">
        <is>
          <t>Семенова</t>
        </is>
      </c>
      <c r="B3490" t="n">
        <v>14</v>
      </c>
      <c r="C3490" s="18">
        <f>'Календарь'!A148</f>
        <v/>
      </c>
      <c r="D3490">
        <f>MONTH(C3490)</f>
        <v/>
      </c>
      <c r="E3490">
        <f>'Календарь'!D148</f>
        <v/>
      </c>
      <c r="F3490">
        <f>INT((C3490-Нед_Начало)/7)+1</f>
        <v/>
      </c>
      <c r="G3490">
        <f>IF(E3490=0,0,INDEX('Планы менеджеров'!$B$5:$M$16,B3490,D3490)/INDEX(Мес_Раб,D3490))</f>
        <v/>
      </c>
    </row>
    <row r="3491">
      <c r="A3491" t="inlineStr">
        <is>
          <t>Семенова</t>
        </is>
      </c>
      <c r="B3491" t="n">
        <v>14</v>
      </c>
      <c r="C3491" s="18">
        <f>'Календарь'!A149</f>
        <v/>
      </c>
      <c r="D3491">
        <f>MONTH(C3491)</f>
        <v/>
      </c>
      <c r="E3491">
        <f>'Календарь'!D149</f>
        <v/>
      </c>
      <c r="F3491">
        <f>INT((C3491-Нед_Начало)/7)+1</f>
        <v/>
      </c>
      <c r="G3491">
        <f>IF(E3491=0,0,INDEX('Планы менеджеров'!$B$5:$M$16,B3491,D3491)/INDEX(Мес_Раб,D3491))</f>
        <v/>
      </c>
    </row>
    <row r="3492">
      <c r="A3492" t="inlineStr">
        <is>
          <t>Семенова</t>
        </is>
      </c>
      <c r="B3492" t="n">
        <v>14</v>
      </c>
      <c r="C3492" s="18">
        <f>'Календарь'!A150</f>
        <v/>
      </c>
      <c r="D3492">
        <f>MONTH(C3492)</f>
        <v/>
      </c>
      <c r="E3492">
        <f>'Календарь'!D150</f>
        <v/>
      </c>
      <c r="F3492">
        <f>INT((C3492-Нед_Начало)/7)+1</f>
        <v/>
      </c>
      <c r="G3492">
        <f>IF(E3492=0,0,INDEX('Планы менеджеров'!$B$5:$M$16,B3492,D3492)/INDEX(Мес_Раб,D3492))</f>
        <v/>
      </c>
    </row>
    <row r="3493">
      <c r="A3493" t="inlineStr">
        <is>
          <t>Семенова</t>
        </is>
      </c>
      <c r="B3493" t="n">
        <v>14</v>
      </c>
      <c r="C3493" s="18">
        <f>'Календарь'!A151</f>
        <v/>
      </c>
      <c r="D3493">
        <f>MONTH(C3493)</f>
        <v/>
      </c>
      <c r="E3493">
        <f>'Календарь'!D151</f>
        <v/>
      </c>
      <c r="F3493">
        <f>INT((C3493-Нед_Начало)/7)+1</f>
        <v/>
      </c>
      <c r="G3493">
        <f>IF(E3493=0,0,INDEX('Планы менеджеров'!$B$5:$M$16,B3493,D3493)/INDEX(Мес_Раб,D3493))</f>
        <v/>
      </c>
    </row>
    <row r="3494">
      <c r="A3494" t="inlineStr">
        <is>
          <t>Семенова</t>
        </is>
      </c>
      <c r="B3494" t="n">
        <v>14</v>
      </c>
      <c r="C3494" s="18">
        <f>'Календарь'!A152</f>
        <v/>
      </c>
      <c r="D3494">
        <f>MONTH(C3494)</f>
        <v/>
      </c>
      <c r="E3494">
        <f>'Календарь'!D152</f>
        <v/>
      </c>
      <c r="F3494">
        <f>INT((C3494-Нед_Начало)/7)+1</f>
        <v/>
      </c>
      <c r="G3494">
        <f>IF(E3494=0,0,INDEX('Планы менеджеров'!$B$5:$M$16,B3494,D3494)/INDEX(Мес_Раб,D3494))</f>
        <v/>
      </c>
    </row>
    <row r="3495">
      <c r="A3495" t="inlineStr">
        <is>
          <t>Семенова</t>
        </is>
      </c>
      <c r="B3495" t="n">
        <v>14</v>
      </c>
      <c r="C3495" s="18">
        <f>'Календарь'!A153</f>
        <v/>
      </c>
      <c r="D3495">
        <f>MONTH(C3495)</f>
        <v/>
      </c>
      <c r="E3495">
        <f>'Календарь'!D153</f>
        <v/>
      </c>
      <c r="F3495">
        <f>INT((C3495-Нед_Начало)/7)+1</f>
        <v/>
      </c>
      <c r="G3495">
        <f>IF(E3495=0,0,INDEX('Планы менеджеров'!$B$5:$M$16,B3495,D3495)/INDEX(Мес_Раб,D3495))</f>
        <v/>
      </c>
    </row>
    <row r="3496">
      <c r="A3496" t="inlineStr">
        <is>
          <t>Семенова</t>
        </is>
      </c>
      <c r="B3496" t="n">
        <v>14</v>
      </c>
      <c r="C3496" s="18">
        <f>'Календарь'!A154</f>
        <v/>
      </c>
      <c r="D3496">
        <f>MONTH(C3496)</f>
        <v/>
      </c>
      <c r="E3496">
        <f>'Календарь'!D154</f>
        <v/>
      </c>
      <c r="F3496">
        <f>INT((C3496-Нед_Начало)/7)+1</f>
        <v/>
      </c>
      <c r="G3496">
        <f>IF(E3496=0,0,INDEX('Планы менеджеров'!$B$5:$M$16,B3496,D3496)/INDEX(Мес_Раб,D3496))</f>
        <v/>
      </c>
    </row>
    <row r="3497">
      <c r="A3497" t="inlineStr">
        <is>
          <t>Семенова</t>
        </is>
      </c>
      <c r="B3497" t="n">
        <v>14</v>
      </c>
      <c r="C3497" s="18">
        <f>'Календарь'!A155</f>
        <v/>
      </c>
      <c r="D3497">
        <f>MONTH(C3497)</f>
        <v/>
      </c>
      <c r="E3497">
        <f>'Календарь'!D155</f>
        <v/>
      </c>
      <c r="F3497">
        <f>INT((C3497-Нед_Начало)/7)+1</f>
        <v/>
      </c>
      <c r="G3497">
        <f>IF(E3497=0,0,INDEX('Планы менеджеров'!$B$5:$M$16,B3497,D3497)/INDEX(Мес_Раб,D3497))</f>
        <v/>
      </c>
    </row>
    <row r="3498">
      <c r="A3498" t="inlineStr">
        <is>
          <t>Семенова</t>
        </is>
      </c>
      <c r="B3498" t="n">
        <v>14</v>
      </c>
      <c r="C3498" s="18">
        <f>'Календарь'!A156</f>
        <v/>
      </c>
      <c r="D3498">
        <f>MONTH(C3498)</f>
        <v/>
      </c>
      <c r="E3498">
        <f>'Календарь'!D156</f>
        <v/>
      </c>
      <c r="F3498">
        <f>INT((C3498-Нед_Начало)/7)+1</f>
        <v/>
      </c>
      <c r="G3498">
        <f>IF(E3498=0,0,INDEX('Планы менеджеров'!$B$5:$M$16,B3498,D3498)/INDEX(Мес_Раб,D3498))</f>
        <v/>
      </c>
    </row>
    <row r="3499">
      <c r="A3499" t="inlineStr">
        <is>
          <t>Семенова</t>
        </is>
      </c>
      <c r="B3499" t="n">
        <v>14</v>
      </c>
      <c r="C3499" s="18">
        <f>'Календарь'!A157</f>
        <v/>
      </c>
      <c r="D3499">
        <f>MONTH(C3499)</f>
        <v/>
      </c>
      <c r="E3499">
        <f>'Календарь'!D157</f>
        <v/>
      </c>
      <c r="F3499">
        <f>INT((C3499-Нед_Начало)/7)+1</f>
        <v/>
      </c>
      <c r="G3499">
        <f>IF(E3499=0,0,INDEX('Планы менеджеров'!$B$5:$M$16,B3499,D3499)/INDEX(Мес_Раб,D3499))</f>
        <v/>
      </c>
    </row>
    <row r="3500">
      <c r="A3500" t="inlineStr">
        <is>
          <t>Семенова</t>
        </is>
      </c>
      <c r="B3500" t="n">
        <v>14</v>
      </c>
      <c r="C3500" s="18">
        <f>'Календарь'!A158</f>
        <v/>
      </c>
      <c r="D3500">
        <f>MONTH(C3500)</f>
        <v/>
      </c>
      <c r="E3500">
        <f>'Календарь'!D158</f>
        <v/>
      </c>
      <c r="F3500">
        <f>INT((C3500-Нед_Начало)/7)+1</f>
        <v/>
      </c>
      <c r="G3500">
        <f>IF(E3500=0,0,INDEX('Планы менеджеров'!$B$5:$M$16,B3500,D3500)/INDEX(Мес_Раб,D3500))</f>
        <v/>
      </c>
    </row>
    <row r="3501">
      <c r="A3501" t="inlineStr">
        <is>
          <t>Семенова</t>
        </is>
      </c>
      <c r="B3501" t="n">
        <v>14</v>
      </c>
      <c r="C3501" s="18">
        <f>'Календарь'!A159</f>
        <v/>
      </c>
      <c r="D3501">
        <f>MONTH(C3501)</f>
        <v/>
      </c>
      <c r="E3501">
        <f>'Календарь'!D159</f>
        <v/>
      </c>
      <c r="F3501">
        <f>INT((C3501-Нед_Начало)/7)+1</f>
        <v/>
      </c>
      <c r="G3501">
        <f>IF(E3501=0,0,INDEX('Планы менеджеров'!$B$5:$M$16,B3501,D3501)/INDEX(Мес_Раб,D3501))</f>
        <v/>
      </c>
    </row>
    <row r="3502">
      <c r="A3502" t="inlineStr">
        <is>
          <t>Семенова</t>
        </is>
      </c>
      <c r="B3502" t="n">
        <v>14</v>
      </c>
      <c r="C3502" s="18">
        <f>'Календарь'!A160</f>
        <v/>
      </c>
      <c r="D3502">
        <f>MONTH(C3502)</f>
        <v/>
      </c>
      <c r="E3502">
        <f>'Календарь'!D160</f>
        <v/>
      </c>
      <c r="F3502">
        <f>INT((C3502-Нед_Начало)/7)+1</f>
        <v/>
      </c>
      <c r="G3502">
        <f>IF(E3502=0,0,INDEX('Планы менеджеров'!$B$5:$M$16,B3502,D3502)/INDEX(Мес_Раб,D3502))</f>
        <v/>
      </c>
    </row>
    <row r="3503">
      <c r="A3503" t="inlineStr">
        <is>
          <t>Семенова</t>
        </is>
      </c>
      <c r="B3503" t="n">
        <v>14</v>
      </c>
      <c r="C3503" s="18">
        <f>'Календарь'!A161</f>
        <v/>
      </c>
      <c r="D3503">
        <f>MONTH(C3503)</f>
        <v/>
      </c>
      <c r="E3503">
        <f>'Календарь'!D161</f>
        <v/>
      </c>
      <c r="F3503">
        <f>INT((C3503-Нед_Начало)/7)+1</f>
        <v/>
      </c>
      <c r="G3503">
        <f>IF(E3503=0,0,INDEX('Планы менеджеров'!$B$5:$M$16,B3503,D3503)/INDEX(Мес_Раб,D3503))</f>
        <v/>
      </c>
    </row>
    <row r="3504">
      <c r="A3504" t="inlineStr">
        <is>
          <t>Семенова</t>
        </is>
      </c>
      <c r="B3504" t="n">
        <v>14</v>
      </c>
      <c r="C3504" s="18">
        <f>'Календарь'!A162</f>
        <v/>
      </c>
      <c r="D3504">
        <f>MONTH(C3504)</f>
        <v/>
      </c>
      <c r="E3504">
        <f>'Календарь'!D162</f>
        <v/>
      </c>
      <c r="F3504">
        <f>INT((C3504-Нед_Начало)/7)+1</f>
        <v/>
      </c>
      <c r="G3504">
        <f>IF(E3504=0,0,INDEX('Планы менеджеров'!$B$5:$M$16,B3504,D3504)/INDEX(Мес_Раб,D3504))</f>
        <v/>
      </c>
    </row>
    <row r="3505">
      <c r="A3505" t="inlineStr">
        <is>
          <t>Семенова</t>
        </is>
      </c>
      <c r="B3505" t="n">
        <v>14</v>
      </c>
      <c r="C3505" s="18">
        <f>'Календарь'!A163</f>
        <v/>
      </c>
      <c r="D3505">
        <f>MONTH(C3505)</f>
        <v/>
      </c>
      <c r="E3505">
        <f>'Календарь'!D163</f>
        <v/>
      </c>
      <c r="F3505">
        <f>INT((C3505-Нед_Начало)/7)+1</f>
        <v/>
      </c>
      <c r="G3505">
        <f>IF(E3505=0,0,INDEX('Планы менеджеров'!$B$5:$M$16,B3505,D3505)/INDEX(Мес_Раб,D3505))</f>
        <v/>
      </c>
    </row>
    <row r="3506">
      <c r="A3506" t="inlineStr">
        <is>
          <t>Семенова</t>
        </is>
      </c>
      <c r="B3506" t="n">
        <v>14</v>
      </c>
      <c r="C3506" s="18">
        <f>'Календарь'!A164</f>
        <v/>
      </c>
      <c r="D3506">
        <f>MONTH(C3506)</f>
        <v/>
      </c>
      <c r="E3506">
        <f>'Календарь'!D164</f>
        <v/>
      </c>
      <c r="F3506">
        <f>INT((C3506-Нед_Начало)/7)+1</f>
        <v/>
      </c>
      <c r="G3506">
        <f>IF(E3506=0,0,INDEX('Планы менеджеров'!$B$5:$M$16,B3506,D3506)/INDEX(Мес_Раб,D3506))</f>
        <v/>
      </c>
    </row>
    <row r="3507">
      <c r="A3507" t="inlineStr">
        <is>
          <t>Семенова</t>
        </is>
      </c>
      <c r="B3507" t="n">
        <v>14</v>
      </c>
      <c r="C3507" s="18">
        <f>'Календарь'!A165</f>
        <v/>
      </c>
      <c r="D3507">
        <f>MONTH(C3507)</f>
        <v/>
      </c>
      <c r="E3507">
        <f>'Календарь'!D165</f>
        <v/>
      </c>
      <c r="F3507">
        <f>INT((C3507-Нед_Начало)/7)+1</f>
        <v/>
      </c>
      <c r="G3507">
        <f>IF(E3507=0,0,INDEX('Планы менеджеров'!$B$5:$M$16,B3507,D3507)/INDEX(Мес_Раб,D3507))</f>
        <v/>
      </c>
    </row>
    <row r="3508">
      <c r="A3508" t="inlineStr">
        <is>
          <t>Семенова</t>
        </is>
      </c>
      <c r="B3508" t="n">
        <v>14</v>
      </c>
      <c r="C3508" s="18">
        <f>'Календарь'!A166</f>
        <v/>
      </c>
      <c r="D3508">
        <f>MONTH(C3508)</f>
        <v/>
      </c>
      <c r="E3508">
        <f>'Календарь'!D166</f>
        <v/>
      </c>
      <c r="F3508">
        <f>INT((C3508-Нед_Начало)/7)+1</f>
        <v/>
      </c>
      <c r="G3508">
        <f>IF(E3508=0,0,INDEX('Планы менеджеров'!$B$5:$M$16,B3508,D3508)/INDEX(Мес_Раб,D3508))</f>
        <v/>
      </c>
    </row>
    <row r="3509">
      <c r="A3509" t="inlineStr">
        <is>
          <t>Семенова</t>
        </is>
      </c>
      <c r="B3509" t="n">
        <v>14</v>
      </c>
      <c r="C3509" s="18">
        <f>'Календарь'!A167</f>
        <v/>
      </c>
      <c r="D3509">
        <f>MONTH(C3509)</f>
        <v/>
      </c>
      <c r="E3509">
        <f>'Календарь'!D167</f>
        <v/>
      </c>
      <c r="F3509">
        <f>INT((C3509-Нед_Начало)/7)+1</f>
        <v/>
      </c>
      <c r="G3509">
        <f>IF(E3509=0,0,INDEX('Планы менеджеров'!$B$5:$M$16,B3509,D3509)/INDEX(Мес_Раб,D3509))</f>
        <v/>
      </c>
    </row>
    <row r="3510">
      <c r="A3510" t="inlineStr">
        <is>
          <t>Семенова</t>
        </is>
      </c>
      <c r="B3510" t="n">
        <v>14</v>
      </c>
      <c r="C3510" s="18">
        <f>'Календарь'!A168</f>
        <v/>
      </c>
      <c r="D3510">
        <f>MONTH(C3510)</f>
        <v/>
      </c>
      <c r="E3510">
        <f>'Календарь'!D168</f>
        <v/>
      </c>
      <c r="F3510">
        <f>INT((C3510-Нед_Начало)/7)+1</f>
        <v/>
      </c>
      <c r="G3510">
        <f>IF(E3510=0,0,INDEX('Планы менеджеров'!$B$5:$M$16,B3510,D3510)/INDEX(Мес_Раб,D3510))</f>
        <v/>
      </c>
    </row>
    <row r="3511">
      <c r="A3511" t="inlineStr">
        <is>
          <t>Семенова</t>
        </is>
      </c>
      <c r="B3511" t="n">
        <v>14</v>
      </c>
      <c r="C3511" s="18">
        <f>'Календарь'!A169</f>
        <v/>
      </c>
      <c r="D3511">
        <f>MONTH(C3511)</f>
        <v/>
      </c>
      <c r="E3511">
        <f>'Календарь'!D169</f>
        <v/>
      </c>
      <c r="F3511">
        <f>INT((C3511-Нед_Начало)/7)+1</f>
        <v/>
      </c>
      <c r="G3511">
        <f>IF(E3511=0,0,INDEX('Планы менеджеров'!$B$5:$M$16,B3511,D3511)/INDEX(Мес_Раб,D3511))</f>
        <v/>
      </c>
    </row>
    <row r="3512">
      <c r="A3512" t="inlineStr">
        <is>
          <t>Семенова</t>
        </is>
      </c>
      <c r="B3512" t="n">
        <v>14</v>
      </c>
      <c r="C3512" s="18">
        <f>'Календарь'!A170</f>
        <v/>
      </c>
      <c r="D3512">
        <f>MONTH(C3512)</f>
        <v/>
      </c>
      <c r="E3512">
        <f>'Календарь'!D170</f>
        <v/>
      </c>
      <c r="F3512">
        <f>INT((C3512-Нед_Начало)/7)+1</f>
        <v/>
      </c>
      <c r="G3512">
        <f>IF(E3512=0,0,INDEX('Планы менеджеров'!$B$5:$M$16,B3512,D3512)/INDEX(Мес_Раб,D3512))</f>
        <v/>
      </c>
    </row>
    <row r="3513">
      <c r="A3513" t="inlineStr">
        <is>
          <t>Семенова</t>
        </is>
      </c>
      <c r="B3513" t="n">
        <v>14</v>
      </c>
      <c r="C3513" s="18">
        <f>'Календарь'!A171</f>
        <v/>
      </c>
      <c r="D3513">
        <f>MONTH(C3513)</f>
        <v/>
      </c>
      <c r="E3513">
        <f>'Календарь'!D171</f>
        <v/>
      </c>
      <c r="F3513">
        <f>INT((C3513-Нед_Начало)/7)+1</f>
        <v/>
      </c>
      <c r="G3513">
        <f>IF(E3513=0,0,INDEX('Планы менеджеров'!$B$5:$M$16,B3513,D3513)/INDEX(Мес_Раб,D3513))</f>
        <v/>
      </c>
    </row>
    <row r="3514">
      <c r="A3514" t="inlineStr">
        <is>
          <t>Семенова</t>
        </is>
      </c>
      <c r="B3514" t="n">
        <v>14</v>
      </c>
      <c r="C3514" s="18">
        <f>'Календарь'!A172</f>
        <v/>
      </c>
      <c r="D3514">
        <f>MONTH(C3514)</f>
        <v/>
      </c>
      <c r="E3514">
        <f>'Календарь'!D172</f>
        <v/>
      </c>
      <c r="F3514">
        <f>INT((C3514-Нед_Начало)/7)+1</f>
        <v/>
      </c>
      <c r="G3514">
        <f>IF(E3514=0,0,INDEX('Планы менеджеров'!$B$5:$M$16,B3514,D3514)/INDEX(Мес_Раб,D3514))</f>
        <v/>
      </c>
    </row>
    <row r="3515">
      <c r="A3515" t="inlineStr">
        <is>
          <t>Семенова</t>
        </is>
      </c>
      <c r="B3515" t="n">
        <v>14</v>
      </c>
      <c r="C3515" s="18">
        <f>'Календарь'!A173</f>
        <v/>
      </c>
      <c r="D3515">
        <f>MONTH(C3515)</f>
        <v/>
      </c>
      <c r="E3515">
        <f>'Календарь'!D173</f>
        <v/>
      </c>
      <c r="F3515">
        <f>INT((C3515-Нед_Начало)/7)+1</f>
        <v/>
      </c>
      <c r="G3515">
        <f>IF(E3515=0,0,INDEX('Планы менеджеров'!$B$5:$M$16,B3515,D3515)/INDEX(Мес_Раб,D3515))</f>
        <v/>
      </c>
    </row>
    <row r="3516">
      <c r="A3516" t="inlineStr">
        <is>
          <t>Семенова</t>
        </is>
      </c>
      <c r="B3516" t="n">
        <v>14</v>
      </c>
      <c r="C3516" s="18">
        <f>'Календарь'!A174</f>
        <v/>
      </c>
      <c r="D3516">
        <f>MONTH(C3516)</f>
        <v/>
      </c>
      <c r="E3516">
        <f>'Календарь'!D174</f>
        <v/>
      </c>
      <c r="F3516">
        <f>INT((C3516-Нед_Начало)/7)+1</f>
        <v/>
      </c>
      <c r="G3516">
        <f>IF(E3516=0,0,INDEX('Планы менеджеров'!$B$5:$M$16,B3516,D3516)/INDEX(Мес_Раб,D3516))</f>
        <v/>
      </c>
    </row>
    <row r="3517">
      <c r="A3517" t="inlineStr">
        <is>
          <t>Семенова</t>
        </is>
      </c>
      <c r="B3517" t="n">
        <v>14</v>
      </c>
      <c r="C3517" s="18">
        <f>'Календарь'!A175</f>
        <v/>
      </c>
      <c r="D3517">
        <f>MONTH(C3517)</f>
        <v/>
      </c>
      <c r="E3517">
        <f>'Календарь'!D175</f>
        <v/>
      </c>
      <c r="F3517">
        <f>INT((C3517-Нед_Начало)/7)+1</f>
        <v/>
      </c>
      <c r="G3517">
        <f>IF(E3517=0,0,INDEX('Планы менеджеров'!$B$5:$M$16,B3517,D3517)/INDEX(Мес_Раб,D3517))</f>
        <v/>
      </c>
    </row>
    <row r="3518">
      <c r="A3518" t="inlineStr">
        <is>
          <t>Семенова</t>
        </is>
      </c>
      <c r="B3518" t="n">
        <v>14</v>
      </c>
      <c r="C3518" s="18">
        <f>'Календарь'!A176</f>
        <v/>
      </c>
      <c r="D3518">
        <f>MONTH(C3518)</f>
        <v/>
      </c>
      <c r="E3518">
        <f>'Календарь'!D176</f>
        <v/>
      </c>
      <c r="F3518">
        <f>INT((C3518-Нед_Начало)/7)+1</f>
        <v/>
      </c>
      <c r="G3518">
        <f>IF(E3518=0,0,INDEX('Планы менеджеров'!$B$5:$M$16,B3518,D3518)/INDEX(Мес_Раб,D3518))</f>
        <v/>
      </c>
    </row>
    <row r="3519">
      <c r="A3519" t="inlineStr">
        <is>
          <t>Семенова</t>
        </is>
      </c>
      <c r="B3519" t="n">
        <v>14</v>
      </c>
      <c r="C3519" s="18">
        <f>'Календарь'!A177</f>
        <v/>
      </c>
      <c r="D3519">
        <f>MONTH(C3519)</f>
        <v/>
      </c>
      <c r="E3519">
        <f>'Календарь'!D177</f>
        <v/>
      </c>
      <c r="F3519">
        <f>INT((C3519-Нед_Начало)/7)+1</f>
        <v/>
      </c>
      <c r="G3519">
        <f>IF(E3519=0,0,INDEX('Планы менеджеров'!$B$5:$M$16,B3519,D3519)/INDEX(Мес_Раб,D3519))</f>
        <v/>
      </c>
    </row>
    <row r="3520">
      <c r="A3520" t="inlineStr">
        <is>
          <t>Семенова</t>
        </is>
      </c>
      <c r="B3520" t="n">
        <v>14</v>
      </c>
      <c r="C3520" s="18">
        <f>'Календарь'!A178</f>
        <v/>
      </c>
      <c r="D3520">
        <f>MONTH(C3520)</f>
        <v/>
      </c>
      <c r="E3520">
        <f>'Календарь'!D178</f>
        <v/>
      </c>
      <c r="F3520">
        <f>INT((C3520-Нед_Начало)/7)+1</f>
        <v/>
      </c>
      <c r="G3520">
        <f>IF(E3520=0,0,INDEX('Планы менеджеров'!$B$5:$M$16,B3520,D3520)/INDEX(Мес_Раб,D3520))</f>
        <v/>
      </c>
    </row>
    <row r="3521">
      <c r="A3521" t="inlineStr">
        <is>
          <t>Семенова</t>
        </is>
      </c>
      <c r="B3521" t="n">
        <v>14</v>
      </c>
      <c r="C3521" s="18">
        <f>'Календарь'!A179</f>
        <v/>
      </c>
      <c r="D3521">
        <f>MONTH(C3521)</f>
        <v/>
      </c>
      <c r="E3521">
        <f>'Календарь'!D179</f>
        <v/>
      </c>
      <c r="F3521">
        <f>INT((C3521-Нед_Начало)/7)+1</f>
        <v/>
      </c>
      <c r="G3521">
        <f>IF(E3521=0,0,INDEX('Планы менеджеров'!$B$5:$M$16,B3521,D3521)/INDEX(Мес_Раб,D3521))</f>
        <v/>
      </c>
    </row>
    <row r="3522">
      <c r="A3522" t="inlineStr">
        <is>
          <t>Семенова</t>
        </is>
      </c>
      <c r="B3522" t="n">
        <v>14</v>
      </c>
      <c r="C3522" s="18">
        <f>'Календарь'!A180</f>
        <v/>
      </c>
      <c r="D3522">
        <f>MONTH(C3522)</f>
        <v/>
      </c>
      <c r="E3522">
        <f>'Календарь'!D180</f>
        <v/>
      </c>
      <c r="F3522">
        <f>INT((C3522-Нед_Начало)/7)+1</f>
        <v/>
      </c>
      <c r="G3522">
        <f>IF(E3522=0,0,INDEX('Планы менеджеров'!$B$5:$M$16,B3522,D3522)/INDEX(Мес_Раб,D3522))</f>
        <v/>
      </c>
    </row>
    <row r="3523">
      <c r="A3523" t="inlineStr">
        <is>
          <t>Семенова</t>
        </is>
      </c>
      <c r="B3523" t="n">
        <v>14</v>
      </c>
      <c r="C3523" s="18">
        <f>'Календарь'!A181</f>
        <v/>
      </c>
      <c r="D3523">
        <f>MONTH(C3523)</f>
        <v/>
      </c>
      <c r="E3523">
        <f>'Календарь'!D181</f>
        <v/>
      </c>
      <c r="F3523">
        <f>INT((C3523-Нед_Начало)/7)+1</f>
        <v/>
      </c>
      <c r="G3523">
        <f>IF(E3523=0,0,INDEX('Планы менеджеров'!$B$5:$M$16,B3523,D3523)/INDEX(Мес_Раб,D3523))</f>
        <v/>
      </c>
    </row>
    <row r="3524">
      <c r="A3524" t="inlineStr">
        <is>
          <t>Семенова</t>
        </is>
      </c>
      <c r="B3524" t="n">
        <v>14</v>
      </c>
      <c r="C3524" s="18">
        <f>'Календарь'!A182</f>
        <v/>
      </c>
      <c r="D3524">
        <f>MONTH(C3524)</f>
        <v/>
      </c>
      <c r="E3524">
        <f>'Календарь'!D182</f>
        <v/>
      </c>
      <c r="F3524">
        <f>INT((C3524-Нед_Начало)/7)+1</f>
        <v/>
      </c>
      <c r="G3524">
        <f>IF(E3524=0,0,INDEX('Планы менеджеров'!$B$5:$M$16,B3524,D3524)/INDEX(Мес_Раб,D3524))</f>
        <v/>
      </c>
    </row>
    <row r="3525">
      <c r="A3525" t="inlineStr">
        <is>
          <t>Семенова</t>
        </is>
      </c>
      <c r="B3525" t="n">
        <v>14</v>
      </c>
      <c r="C3525" s="18">
        <f>'Календарь'!A183</f>
        <v/>
      </c>
      <c r="D3525">
        <f>MONTH(C3525)</f>
        <v/>
      </c>
      <c r="E3525">
        <f>'Календарь'!D183</f>
        <v/>
      </c>
      <c r="F3525">
        <f>INT((C3525-Нед_Начало)/7)+1</f>
        <v/>
      </c>
      <c r="G3525">
        <f>IF(E3525=0,0,INDEX('Планы менеджеров'!$B$5:$M$16,B3525,D3525)/INDEX(Мес_Раб,D3525))</f>
        <v/>
      </c>
    </row>
    <row r="3526">
      <c r="A3526" t="inlineStr">
        <is>
          <t>Семенова</t>
        </is>
      </c>
      <c r="B3526" t="n">
        <v>14</v>
      </c>
      <c r="C3526" s="18">
        <f>'Календарь'!A184</f>
        <v/>
      </c>
      <c r="D3526">
        <f>MONTH(C3526)</f>
        <v/>
      </c>
      <c r="E3526">
        <f>'Календарь'!D184</f>
        <v/>
      </c>
      <c r="F3526">
        <f>INT((C3526-Нед_Начало)/7)+1</f>
        <v/>
      </c>
      <c r="G3526">
        <f>IF(E3526=0,0,INDEX('Планы менеджеров'!$B$5:$M$16,B3526,D3526)/INDEX(Мес_Раб,D3526))</f>
        <v/>
      </c>
    </row>
    <row r="3527">
      <c r="A3527" t="inlineStr">
        <is>
          <t>Семенова</t>
        </is>
      </c>
      <c r="B3527" t="n">
        <v>14</v>
      </c>
      <c r="C3527" s="18">
        <f>'Календарь'!A185</f>
        <v/>
      </c>
      <c r="D3527">
        <f>MONTH(C3527)</f>
        <v/>
      </c>
      <c r="E3527">
        <f>'Календарь'!D185</f>
        <v/>
      </c>
      <c r="F3527">
        <f>INT((C3527-Нед_Начало)/7)+1</f>
        <v/>
      </c>
      <c r="G3527">
        <f>IF(E3527=0,0,INDEX('Планы менеджеров'!$B$5:$M$16,B3527,D3527)/INDEX(Мес_Раб,D3527))</f>
        <v/>
      </c>
    </row>
    <row r="3528">
      <c r="A3528" t="inlineStr">
        <is>
          <t>Семенова</t>
        </is>
      </c>
      <c r="B3528" t="n">
        <v>14</v>
      </c>
      <c r="C3528" s="18">
        <f>'Календарь'!A186</f>
        <v/>
      </c>
      <c r="D3528">
        <f>MONTH(C3528)</f>
        <v/>
      </c>
      <c r="E3528">
        <f>'Календарь'!D186</f>
        <v/>
      </c>
      <c r="F3528">
        <f>INT((C3528-Нед_Начало)/7)+1</f>
        <v/>
      </c>
      <c r="G3528">
        <f>IF(E3528=0,0,INDEX('Планы менеджеров'!$B$5:$M$16,B3528,D3528)/INDEX(Мес_Раб,D3528))</f>
        <v/>
      </c>
    </row>
    <row r="3529">
      <c r="A3529" t="inlineStr">
        <is>
          <t>Семенова</t>
        </is>
      </c>
      <c r="B3529" t="n">
        <v>14</v>
      </c>
      <c r="C3529" s="18">
        <f>'Календарь'!A187</f>
        <v/>
      </c>
      <c r="D3529">
        <f>MONTH(C3529)</f>
        <v/>
      </c>
      <c r="E3529">
        <f>'Календарь'!D187</f>
        <v/>
      </c>
      <c r="F3529">
        <f>INT((C3529-Нед_Начало)/7)+1</f>
        <v/>
      </c>
      <c r="G3529">
        <f>IF(E3529=0,0,INDEX('Планы менеджеров'!$B$5:$M$16,B3529,D3529)/INDEX(Мес_Раб,D3529))</f>
        <v/>
      </c>
    </row>
    <row r="3530">
      <c r="A3530" t="inlineStr">
        <is>
          <t>Семенова</t>
        </is>
      </c>
      <c r="B3530" t="n">
        <v>14</v>
      </c>
      <c r="C3530" s="18">
        <f>'Календарь'!A188</f>
        <v/>
      </c>
      <c r="D3530">
        <f>MONTH(C3530)</f>
        <v/>
      </c>
      <c r="E3530">
        <f>'Календарь'!D188</f>
        <v/>
      </c>
      <c r="F3530">
        <f>INT((C3530-Нед_Начало)/7)+1</f>
        <v/>
      </c>
      <c r="G3530">
        <f>IF(E3530=0,0,INDEX('Планы менеджеров'!$B$5:$M$16,B3530,D3530)/INDEX(Мес_Раб,D3530))</f>
        <v/>
      </c>
    </row>
    <row r="3531">
      <c r="A3531" t="inlineStr">
        <is>
          <t>Семенова</t>
        </is>
      </c>
      <c r="B3531" t="n">
        <v>14</v>
      </c>
      <c r="C3531" s="18">
        <f>'Календарь'!A189</f>
        <v/>
      </c>
      <c r="D3531">
        <f>MONTH(C3531)</f>
        <v/>
      </c>
      <c r="E3531">
        <f>'Календарь'!D189</f>
        <v/>
      </c>
      <c r="F3531">
        <f>INT((C3531-Нед_Начало)/7)+1</f>
        <v/>
      </c>
      <c r="G3531">
        <f>IF(E3531=0,0,INDEX('Планы менеджеров'!$B$5:$M$16,B3531,D3531)/INDEX(Мес_Раб,D3531))</f>
        <v/>
      </c>
    </row>
    <row r="3532">
      <c r="A3532" t="inlineStr">
        <is>
          <t>Семенова</t>
        </is>
      </c>
      <c r="B3532" t="n">
        <v>14</v>
      </c>
      <c r="C3532" s="18">
        <f>'Календарь'!A190</f>
        <v/>
      </c>
      <c r="D3532">
        <f>MONTH(C3532)</f>
        <v/>
      </c>
      <c r="E3532">
        <f>'Календарь'!D190</f>
        <v/>
      </c>
      <c r="F3532">
        <f>INT((C3532-Нед_Начало)/7)+1</f>
        <v/>
      </c>
      <c r="G3532">
        <f>IF(E3532=0,0,INDEX('Планы менеджеров'!$B$5:$M$16,B3532,D3532)/INDEX(Мес_Раб,D3532))</f>
        <v/>
      </c>
    </row>
    <row r="3533">
      <c r="A3533" t="inlineStr">
        <is>
          <t>Семенова</t>
        </is>
      </c>
      <c r="B3533" t="n">
        <v>14</v>
      </c>
      <c r="C3533" s="18">
        <f>'Календарь'!A191</f>
        <v/>
      </c>
      <c r="D3533">
        <f>MONTH(C3533)</f>
        <v/>
      </c>
      <c r="E3533">
        <f>'Календарь'!D191</f>
        <v/>
      </c>
      <c r="F3533">
        <f>INT((C3533-Нед_Начало)/7)+1</f>
        <v/>
      </c>
      <c r="G3533">
        <f>IF(E3533=0,0,INDEX('Планы менеджеров'!$B$5:$M$16,B3533,D3533)/INDEX(Мес_Раб,D3533))</f>
        <v/>
      </c>
    </row>
    <row r="3534">
      <c r="A3534" t="inlineStr">
        <is>
          <t>Семенова</t>
        </is>
      </c>
      <c r="B3534" t="n">
        <v>14</v>
      </c>
      <c r="C3534" s="18">
        <f>'Календарь'!A192</f>
        <v/>
      </c>
      <c r="D3534">
        <f>MONTH(C3534)</f>
        <v/>
      </c>
      <c r="E3534">
        <f>'Календарь'!D192</f>
        <v/>
      </c>
      <c r="F3534">
        <f>INT((C3534-Нед_Начало)/7)+1</f>
        <v/>
      </c>
      <c r="G3534">
        <f>IF(E3534=0,0,INDEX('Планы менеджеров'!$B$5:$M$16,B3534,D3534)/INDEX(Мес_Раб,D3534))</f>
        <v/>
      </c>
    </row>
    <row r="3535">
      <c r="A3535" t="inlineStr">
        <is>
          <t>Семенова</t>
        </is>
      </c>
      <c r="B3535" t="n">
        <v>14</v>
      </c>
      <c r="C3535" s="18">
        <f>'Календарь'!A193</f>
        <v/>
      </c>
      <c r="D3535">
        <f>MONTH(C3535)</f>
        <v/>
      </c>
      <c r="E3535">
        <f>'Календарь'!D193</f>
        <v/>
      </c>
      <c r="F3535">
        <f>INT((C3535-Нед_Начало)/7)+1</f>
        <v/>
      </c>
      <c r="G3535">
        <f>IF(E3535=0,0,INDEX('Планы менеджеров'!$B$5:$M$16,B3535,D3535)/INDEX(Мес_Раб,D3535))</f>
        <v/>
      </c>
    </row>
    <row r="3536">
      <c r="A3536" t="inlineStr">
        <is>
          <t>Семенова</t>
        </is>
      </c>
      <c r="B3536" t="n">
        <v>14</v>
      </c>
      <c r="C3536" s="18">
        <f>'Календарь'!A194</f>
        <v/>
      </c>
      <c r="D3536">
        <f>MONTH(C3536)</f>
        <v/>
      </c>
      <c r="E3536">
        <f>'Календарь'!D194</f>
        <v/>
      </c>
      <c r="F3536">
        <f>INT((C3536-Нед_Начало)/7)+1</f>
        <v/>
      </c>
      <c r="G3536">
        <f>IF(E3536=0,0,INDEX('Планы менеджеров'!$B$5:$M$16,B3536,D3536)/INDEX(Мес_Раб,D3536))</f>
        <v/>
      </c>
    </row>
    <row r="3537">
      <c r="A3537" t="inlineStr">
        <is>
          <t>Семенова</t>
        </is>
      </c>
      <c r="B3537" t="n">
        <v>14</v>
      </c>
      <c r="C3537" s="18">
        <f>'Календарь'!A195</f>
        <v/>
      </c>
      <c r="D3537">
        <f>MONTH(C3537)</f>
        <v/>
      </c>
      <c r="E3537">
        <f>'Календарь'!D195</f>
        <v/>
      </c>
      <c r="F3537">
        <f>INT((C3537-Нед_Начало)/7)+1</f>
        <v/>
      </c>
      <c r="G3537">
        <f>IF(E3537=0,0,INDEX('Планы менеджеров'!$B$5:$M$16,B3537,D3537)/INDEX(Мес_Раб,D3537))</f>
        <v/>
      </c>
    </row>
    <row r="3538">
      <c r="A3538" t="inlineStr">
        <is>
          <t>Семенова</t>
        </is>
      </c>
      <c r="B3538" t="n">
        <v>14</v>
      </c>
      <c r="C3538" s="18">
        <f>'Календарь'!A196</f>
        <v/>
      </c>
      <c r="D3538">
        <f>MONTH(C3538)</f>
        <v/>
      </c>
      <c r="E3538">
        <f>'Календарь'!D196</f>
        <v/>
      </c>
      <c r="F3538">
        <f>INT((C3538-Нед_Начало)/7)+1</f>
        <v/>
      </c>
      <c r="G3538">
        <f>IF(E3538=0,0,INDEX('Планы менеджеров'!$B$5:$M$16,B3538,D3538)/INDEX(Мес_Раб,D3538))</f>
        <v/>
      </c>
    </row>
    <row r="3539">
      <c r="A3539" t="inlineStr">
        <is>
          <t>Семенова</t>
        </is>
      </c>
      <c r="B3539" t="n">
        <v>14</v>
      </c>
      <c r="C3539" s="18">
        <f>'Календарь'!A197</f>
        <v/>
      </c>
      <c r="D3539">
        <f>MONTH(C3539)</f>
        <v/>
      </c>
      <c r="E3539">
        <f>'Календарь'!D197</f>
        <v/>
      </c>
      <c r="F3539">
        <f>INT((C3539-Нед_Начало)/7)+1</f>
        <v/>
      </c>
      <c r="G3539">
        <f>IF(E3539=0,0,INDEX('Планы менеджеров'!$B$5:$M$16,B3539,D3539)/INDEX(Мес_Раб,D3539))</f>
        <v/>
      </c>
    </row>
    <row r="3540">
      <c r="A3540" t="inlineStr">
        <is>
          <t>Семенова</t>
        </is>
      </c>
      <c r="B3540" t="n">
        <v>14</v>
      </c>
      <c r="C3540" s="18">
        <f>'Календарь'!A198</f>
        <v/>
      </c>
      <c r="D3540">
        <f>MONTH(C3540)</f>
        <v/>
      </c>
      <c r="E3540">
        <f>'Календарь'!D198</f>
        <v/>
      </c>
      <c r="F3540">
        <f>INT((C3540-Нед_Начало)/7)+1</f>
        <v/>
      </c>
      <c r="G3540">
        <f>IF(E3540=0,0,INDEX('Планы менеджеров'!$B$5:$M$16,B3540,D3540)/INDEX(Мес_Раб,D3540))</f>
        <v/>
      </c>
    </row>
    <row r="3541">
      <c r="A3541" t="inlineStr">
        <is>
          <t>Семенова</t>
        </is>
      </c>
      <c r="B3541" t="n">
        <v>14</v>
      </c>
      <c r="C3541" s="18">
        <f>'Календарь'!A199</f>
        <v/>
      </c>
      <c r="D3541">
        <f>MONTH(C3541)</f>
        <v/>
      </c>
      <c r="E3541">
        <f>'Календарь'!D199</f>
        <v/>
      </c>
      <c r="F3541">
        <f>INT((C3541-Нед_Начало)/7)+1</f>
        <v/>
      </c>
      <c r="G3541">
        <f>IF(E3541=0,0,INDEX('Планы менеджеров'!$B$5:$M$16,B3541,D3541)/INDEX(Мес_Раб,D3541))</f>
        <v/>
      </c>
    </row>
    <row r="3542">
      <c r="A3542" t="inlineStr">
        <is>
          <t>Семенова</t>
        </is>
      </c>
      <c r="B3542" t="n">
        <v>14</v>
      </c>
      <c r="C3542" s="18">
        <f>'Календарь'!A200</f>
        <v/>
      </c>
      <c r="D3542">
        <f>MONTH(C3542)</f>
        <v/>
      </c>
      <c r="E3542">
        <f>'Календарь'!D200</f>
        <v/>
      </c>
      <c r="F3542">
        <f>INT((C3542-Нед_Начало)/7)+1</f>
        <v/>
      </c>
      <c r="G3542">
        <f>IF(E3542=0,0,INDEX('Планы менеджеров'!$B$5:$M$16,B3542,D3542)/INDEX(Мес_Раб,D3542))</f>
        <v/>
      </c>
    </row>
    <row r="3543">
      <c r="A3543" t="inlineStr">
        <is>
          <t>Семенова</t>
        </is>
      </c>
      <c r="B3543" t="n">
        <v>14</v>
      </c>
      <c r="C3543" s="18">
        <f>'Календарь'!A201</f>
        <v/>
      </c>
      <c r="D3543">
        <f>MONTH(C3543)</f>
        <v/>
      </c>
      <c r="E3543">
        <f>'Календарь'!D201</f>
        <v/>
      </c>
      <c r="F3543">
        <f>INT((C3543-Нед_Начало)/7)+1</f>
        <v/>
      </c>
      <c r="G3543">
        <f>IF(E3543=0,0,INDEX('Планы менеджеров'!$B$5:$M$16,B3543,D3543)/INDEX(Мес_Раб,D3543))</f>
        <v/>
      </c>
    </row>
    <row r="3544">
      <c r="A3544" t="inlineStr">
        <is>
          <t>Семенова</t>
        </is>
      </c>
      <c r="B3544" t="n">
        <v>14</v>
      </c>
      <c r="C3544" s="18">
        <f>'Календарь'!A202</f>
        <v/>
      </c>
      <c r="D3544">
        <f>MONTH(C3544)</f>
        <v/>
      </c>
      <c r="E3544">
        <f>'Календарь'!D202</f>
        <v/>
      </c>
      <c r="F3544">
        <f>INT((C3544-Нед_Начало)/7)+1</f>
        <v/>
      </c>
      <c r="G3544">
        <f>IF(E3544=0,0,INDEX('Планы менеджеров'!$B$5:$M$16,B3544,D3544)/INDEX(Мес_Раб,D3544))</f>
        <v/>
      </c>
    </row>
    <row r="3545">
      <c r="A3545" t="inlineStr">
        <is>
          <t>Семенова</t>
        </is>
      </c>
      <c r="B3545" t="n">
        <v>14</v>
      </c>
      <c r="C3545" s="18">
        <f>'Календарь'!A203</f>
        <v/>
      </c>
      <c r="D3545">
        <f>MONTH(C3545)</f>
        <v/>
      </c>
      <c r="E3545">
        <f>'Календарь'!D203</f>
        <v/>
      </c>
      <c r="F3545">
        <f>INT((C3545-Нед_Начало)/7)+1</f>
        <v/>
      </c>
      <c r="G3545">
        <f>IF(E3545=0,0,INDEX('Планы менеджеров'!$B$5:$M$16,B3545,D3545)/INDEX(Мес_Раб,D3545))</f>
        <v/>
      </c>
    </row>
    <row r="3546">
      <c r="A3546" t="inlineStr">
        <is>
          <t>Семенова</t>
        </is>
      </c>
      <c r="B3546" t="n">
        <v>14</v>
      </c>
      <c r="C3546" s="18">
        <f>'Календарь'!A204</f>
        <v/>
      </c>
      <c r="D3546">
        <f>MONTH(C3546)</f>
        <v/>
      </c>
      <c r="E3546">
        <f>'Календарь'!D204</f>
        <v/>
      </c>
      <c r="F3546">
        <f>INT((C3546-Нед_Начало)/7)+1</f>
        <v/>
      </c>
      <c r="G3546">
        <f>IF(E3546=0,0,INDEX('Планы менеджеров'!$B$5:$M$16,B3546,D3546)/INDEX(Мес_Раб,D3546))</f>
        <v/>
      </c>
    </row>
    <row r="3547">
      <c r="A3547" t="inlineStr">
        <is>
          <t>Семенова</t>
        </is>
      </c>
      <c r="B3547" t="n">
        <v>14</v>
      </c>
      <c r="C3547" s="18">
        <f>'Календарь'!A205</f>
        <v/>
      </c>
      <c r="D3547">
        <f>MONTH(C3547)</f>
        <v/>
      </c>
      <c r="E3547">
        <f>'Календарь'!D205</f>
        <v/>
      </c>
      <c r="F3547">
        <f>INT((C3547-Нед_Начало)/7)+1</f>
        <v/>
      </c>
      <c r="G3547">
        <f>IF(E3547=0,0,INDEX('Планы менеджеров'!$B$5:$M$16,B3547,D3547)/INDEX(Мес_Раб,D3547))</f>
        <v/>
      </c>
    </row>
    <row r="3548">
      <c r="A3548" t="inlineStr">
        <is>
          <t>Семенова</t>
        </is>
      </c>
      <c r="B3548" t="n">
        <v>14</v>
      </c>
      <c r="C3548" s="18">
        <f>'Календарь'!A206</f>
        <v/>
      </c>
      <c r="D3548">
        <f>MONTH(C3548)</f>
        <v/>
      </c>
      <c r="E3548">
        <f>'Календарь'!D206</f>
        <v/>
      </c>
      <c r="F3548">
        <f>INT((C3548-Нед_Начало)/7)+1</f>
        <v/>
      </c>
      <c r="G3548">
        <f>IF(E3548=0,0,INDEX('Планы менеджеров'!$B$5:$M$16,B3548,D3548)/INDEX(Мес_Раб,D3548))</f>
        <v/>
      </c>
    </row>
    <row r="3549">
      <c r="A3549" t="inlineStr">
        <is>
          <t>Семенова</t>
        </is>
      </c>
      <c r="B3549" t="n">
        <v>14</v>
      </c>
      <c r="C3549" s="18">
        <f>'Календарь'!A207</f>
        <v/>
      </c>
      <c r="D3549">
        <f>MONTH(C3549)</f>
        <v/>
      </c>
      <c r="E3549">
        <f>'Календарь'!D207</f>
        <v/>
      </c>
      <c r="F3549">
        <f>INT((C3549-Нед_Начало)/7)+1</f>
        <v/>
      </c>
      <c r="G3549">
        <f>IF(E3549=0,0,INDEX('Планы менеджеров'!$B$5:$M$16,B3549,D3549)/INDEX(Мес_Раб,D3549))</f>
        <v/>
      </c>
    </row>
    <row r="3550">
      <c r="A3550" t="inlineStr">
        <is>
          <t>Семенова</t>
        </is>
      </c>
      <c r="B3550" t="n">
        <v>14</v>
      </c>
      <c r="C3550" s="18">
        <f>'Календарь'!A208</f>
        <v/>
      </c>
      <c r="D3550">
        <f>MONTH(C3550)</f>
        <v/>
      </c>
      <c r="E3550">
        <f>'Календарь'!D208</f>
        <v/>
      </c>
      <c r="F3550">
        <f>INT((C3550-Нед_Начало)/7)+1</f>
        <v/>
      </c>
      <c r="G3550">
        <f>IF(E3550=0,0,INDEX('Планы менеджеров'!$B$5:$M$16,B3550,D3550)/INDEX(Мес_Раб,D3550))</f>
        <v/>
      </c>
    </row>
    <row r="3551">
      <c r="A3551" t="inlineStr">
        <is>
          <t>Семенова</t>
        </is>
      </c>
      <c r="B3551" t="n">
        <v>14</v>
      </c>
      <c r="C3551" s="18">
        <f>'Календарь'!A209</f>
        <v/>
      </c>
      <c r="D3551">
        <f>MONTH(C3551)</f>
        <v/>
      </c>
      <c r="E3551">
        <f>'Календарь'!D209</f>
        <v/>
      </c>
      <c r="F3551">
        <f>INT((C3551-Нед_Начало)/7)+1</f>
        <v/>
      </c>
      <c r="G3551">
        <f>IF(E3551=0,0,INDEX('Планы менеджеров'!$B$5:$M$16,B3551,D3551)/INDEX(Мес_Раб,D3551))</f>
        <v/>
      </c>
    </row>
    <row r="3552">
      <c r="A3552" t="inlineStr">
        <is>
          <t>Семенова</t>
        </is>
      </c>
      <c r="B3552" t="n">
        <v>14</v>
      </c>
      <c r="C3552" s="18">
        <f>'Календарь'!A210</f>
        <v/>
      </c>
      <c r="D3552">
        <f>MONTH(C3552)</f>
        <v/>
      </c>
      <c r="E3552">
        <f>'Календарь'!D210</f>
        <v/>
      </c>
      <c r="F3552">
        <f>INT((C3552-Нед_Начало)/7)+1</f>
        <v/>
      </c>
      <c r="G3552">
        <f>IF(E3552=0,0,INDEX('Планы менеджеров'!$B$5:$M$16,B3552,D3552)/INDEX(Мес_Раб,D3552))</f>
        <v/>
      </c>
    </row>
    <row r="3553">
      <c r="A3553" t="inlineStr">
        <is>
          <t>Семенова</t>
        </is>
      </c>
      <c r="B3553" t="n">
        <v>14</v>
      </c>
      <c r="C3553" s="18">
        <f>'Календарь'!A211</f>
        <v/>
      </c>
      <c r="D3553">
        <f>MONTH(C3553)</f>
        <v/>
      </c>
      <c r="E3553">
        <f>'Календарь'!D211</f>
        <v/>
      </c>
      <c r="F3553">
        <f>INT((C3553-Нед_Начало)/7)+1</f>
        <v/>
      </c>
      <c r="G3553">
        <f>IF(E3553=0,0,INDEX('Планы менеджеров'!$B$5:$M$16,B3553,D3553)/INDEX(Мес_Раб,D3553))</f>
        <v/>
      </c>
    </row>
    <row r="3554">
      <c r="A3554" t="inlineStr">
        <is>
          <t>Семенова</t>
        </is>
      </c>
      <c r="B3554" t="n">
        <v>14</v>
      </c>
      <c r="C3554" s="18">
        <f>'Календарь'!A212</f>
        <v/>
      </c>
      <c r="D3554">
        <f>MONTH(C3554)</f>
        <v/>
      </c>
      <c r="E3554">
        <f>'Календарь'!D212</f>
        <v/>
      </c>
      <c r="F3554">
        <f>INT((C3554-Нед_Начало)/7)+1</f>
        <v/>
      </c>
      <c r="G3554">
        <f>IF(E3554=0,0,INDEX('Планы менеджеров'!$B$5:$M$16,B3554,D3554)/INDEX(Мес_Раб,D3554))</f>
        <v/>
      </c>
    </row>
    <row r="3555">
      <c r="A3555" t="inlineStr">
        <is>
          <t>Семенова</t>
        </is>
      </c>
      <c r="B3555" t="n">
        <v>14</v>
      </c>
      <c r="C3555" s="18">
        <f>'Календарь'!A213</f>
        <v/>
      </c>
      <c r="D3555">
        <f>MONTH(C3555)</f>
        <v/>
      </c>
      <c r="E3555">
        <f>'Календарь'!D213</f>
        <v/>
      </c>
      <c r="F3555">
        <f>INT((C3555-Нед_Начало)/7)+1</f>
        <v/>
      </c>
      <c r="G3555">
        <f>IF(E3555=0,0,INDEX('Планы менеджеров'!$B$5:$M$16,B3555,D3555)/INDEX(Мес_Раб,D3555))</f>
        <v/>
      </c>
    </row>
    <row r="3556">
      <c r="A3556" t="inlineStr">
        <is>
          <t>Семенова</t>
        </is>
      </c>
      <c r="B3556" t="n">
        <v>14</v>
      </c>
      <c r="C3556" s="18">
        <f>'Календарь'!A214</f>
        <v/>
      </c>
      <c r="D3556">
        <f>MONTH(C3556)</f>
        <v/>
      </c>
      <c r="E3556">
        <f>'Календарь'!D214</f>
        <v/>
      </c>
      <c r="F3556">
        <f>INT((C3556-Нед_Начало)/7)+1</f>
        <v/>
      </c>
      <c r="G3556">
        <f>IF(E3556=0,0,INDEX('Планы менеджеров'!$B$5:$M$16,B3556,D3556)/INDEX(Мес_Раб,D3556))</f>
        <v/>
      </c>
    </row>
    <row r="3557">
      <c r="A3557" t="inlineStr">
        <is>
          <t>Семенова</t>
        </is>
      </c>
      <c r="B3557" t="n">
        <v>14</v>
      </c>
      <c r="C3557" s="18">
        <f>'Календарь'!A215</f>
        <v/>
      </c>
      <c r="D3557">
        <f>MONTH(C3557)</f>
        <v/>
      </c>
      <c r="E3557">
        <f>'Календарь'!D215</f>
        <v/>
      </c>
      <c r="F3557">
        <f>INT((C3557-Нед_Начало)/7)+1</f>
        <v/>
      </c>
      <c r="G3557">
        <f>IF(E3557=0,0,INDEX('Планы менеджеров'!$B$5:$M$16,B3557,D3557)/INDEX(Мес_Раб,D3557))</f>
        <v/>
      </c>
    </row>
    <row r="3558">
      <c r="A3558" t="inlineStr">
        <is>
          <t>Семенова</t>
        </is>
      </c>
      <c r="B3558" t="n">
        <v>14</v>
      </c>
      <c r="C3558" s="18">
        <f>'Календарь'!A216</f>
        <v/>
      </c>
      <c r="D3558">
        <f>MONTH(C3558)</f>
        <v/>
      </c>
      <c r="E3558">
        <f>'Календарь'!D216</f>
        <v/>
      </c>
      <c r="F3558">
        <f>INT((C3558-Нед_Начало)/7)+1</f>
        <v/>
      </c>
      <c r="G3558">
        <f>IF(E3558=0,0,INDEX('Планы менеджеров'!$B$5:$M$16,B3558,D3558)/INDEX(Мес_Раб,D3558))</f>
        <v/>
      </c>
    </row>
    <row r="3559">
      <c r="A3559" t="inlineStr">
        <is>
          <t>Семенова</t>
        </is>
      </c>
      <c r="B3559" t="n">
        <v>14</v>
      </c>
      <c r="C3559" s="18">
        <f>'Календарь'!A217</f>
        <v/>
      </c>
      <c r="D3559">
        <f>MONTH(C3559)</f>
        <v/>
      </c>
      <c r="E3559">
        <f>'Календарь'!D217</f>
        <v/>
      </c>
      <c r="F3559">
        <f>INT((C3559-Нед_Начало)/7)+1</f>
        <v/>
      </c>
      <c r="G3559">
        <f>IF(E3559=0,0,INDEX('Планы менеджеров'!$B$5:$M$16,B3559,D3559)/INDEX(Мес_Раб,D3559))</f>
        <v/>
      </c>
    </row>
    <row r="3560">
      <c r="A3560" t="inlineStr">
        <is>
          <t>Семенова</t>
        </is>
      </c>
      <c r="B3560" t="n">
        <v>14</v>
      </c>
      <c r="C3560" s="18">
        <f>'Календарь'!A218</f>
        <v/>
      </c>
      <c r="D3560">
        <f>MONTH(C3560)</f>
        <v/>
      </c>
      <c r="E3560">
        <f>'Календарь'!D218</f>
        <v/>
      </c>
      <c r="F3560">
        <f>INT((C3560-Нед_Начало)/7)+1</f>
        <v/>
      </c>
      <c r="G3560">
        <f>IF(E3560=0,0,INDEX('Планы менеджеров'!$B$5:$M$16,B3560,D3560)/INDEX(Мес_Раб,D3560))</f>
        <v/>
      </c>
    </row>
    <row r="3561">
      <c r="A3561" t="inlineStr">
        <is>
          <t>Семенова</t>
        </is>
      </c>
      <c r="B3561" t="n">
        <v>14</v>
      </c>
      <c r="C3561" s="18">
        <f>'Календарь'!A219</f>
        <v/>
      </c>
      <c r="D3561">
        <f>MONTH(C3561)</f>
        <v/>
      </c>
      <c r="E3561">
        <f>'Календарь'!D219</f>
        <v/>
      </c>
      <c r="F3561">
        <f>INT((C3561-Нед_Начало)/7)+1</f>
        <v/>
      </c>
      <c r="G3561">
        <f>IF(E3561=0,0,INDEX('Планы менеджеров'!$B$5:$M$16,B3561,D3561)/INDEX(Мес_Раб,D3561))</f>
        <v/>
      </c>
    </row>
    <row r="3562">
      <c r="A3562" t="inlineStr">
        <is>
          <t>Семенова</t>
        </is>
      </c>
      <c r="B3562" t="n">
        <v>14</v>
      </c>
      <c r="C3562" s="18">
        <f>'Календарь'!A220</f>
        <v/>
      </c>
      <c r="D3562">
        <f>MONTH(C3562)</f>
        <v/>
      </c>
      <c r="E3562">
        <f>'Календарь'!D220</f>
        <v/>
      </c>
      <c r="F3562">
        <f>INT((C3562-Нед_Начало)/7)+1</f>
        <v/>
      </c>
      <c r="G3562">
        <f>IF(E3562=0,0,INDEX('Планы менеджеров'!$B$5:$M$16,B3562,D3562)/INDEX(Мес_Раб,D3562))</f>
        <v/>
      </c>
    </row>
    <row r="3563">
      <c r="A3563" t="inlineStr">
        <is>
          <t>Семенова</t>
        </is>
      </c>
      <c r="B3563" t="n">
        <v>14</v>
      </c>
      <c r="C3563" s="18">
        <f>'Календарь'!A221</f>
        <v/>
      </c>
      <c r="D3563">
        <f>MONTH(C3563)</f>
        <v/>
      </c>
      <c r="E3563">
        <f>'Календарь'!D221</f>
        <v/>
      </c>
      <c r="F3563">
        <f>INT((C3563-Нед_Начало)/7)+1</f>
        <v/>
      </c>
      <c r="G3563">
        <f>IF(E3563=0,0,INDEX('Планы менеджеров'!$B$5:$M$16,B3563,D3563)/INDEX(Мес_Раб,D3563))</f>
        <v/>
      </c>
    </row>
    <row r="3564">
      <c r="A3564" t="inlineStr">
        <is>
          <t>Семенова</t>
        </is>
      </c>
      <c r="B3564" t="n">
        <v>14</v>
      </c>
      <c r="C3564" s="18">
        <f>'Календарь'!A222</f>
        <v/>
      </c>
      <c r="D3564">
        <f>MONTH(C3564)</f>
        <v/>
      </c>
      <c r="E3564">
        <f>'Календарь'!D222</f>
        <v/>
      </c>
      <c r="F3564">
        <f>INT((C3564-Нед_Начало)/7)+1</f>
        <v/>
      </c>
      <c r="G3564">
        <f>IF(E3564=0,0,INDEX('Планы менеджеров'!$B$5:$M$16,B3564,D3564)/INDEX(Мес_Раб,D3564))</f>
        <v/>
      </c>
    </row>
    <row r="3565">
      <c r="A3565" t="inlineStr">
        <is>
          <t>Семенова</t>
        </is>
      </c>
      <c r="B3565" t="n">
        <v>14</v>
      </c>
      <c r="C3565" s="18">
        <f>'Календарь'!A223</f>
        <v/>
      </c>
      <c r="D3565">
        <f>MONTH(C3565)</f>
        <v/>
      </c>
      <c r="E3565">
        <f>'Календарь'!D223</f>
        <v/>
      </c>
      <c r="F3565">
        <f>INT((C3565-Нед_Начало)/7)+1</f>
        <v/>
      </c>
      <c r="G3565">
        <f>IF(E3565=0,0,INDEX('Планы менеджеров'!$B$5:$M$16,B3565,D3565)/INDEX(Мес_Раб,D3565))</f>
        <v/>
      </c>
    </row>
    <row r="3566">
      <c r="A3566" t="inlineStr">
        <is>
          <t>Семенова</t>
        </is>
      </c>
      <c r="B3566" t="n">
        <v>14</v>
      </c>
      <c r="C3566" s="18">
        <f>'Календарь'!A224</f>
        <v/>
      </c>
      <c r="D3566">
        <f>MONTH(C3566)</f>
        <v/>
      </c>
      <c r="E3566">
        <f>'Календарь'!D224</f>
        <v/>
      </c>
      <c r="F3566">
        <f>INT((C3566-Нед_Начало)/7)+1</f>
        <v/>
      </c>
      <c r="G3566">
        <f>IF(E3566=0,0,INDEX('Планы менеджеров'!$B$5:$M$16,B3566,D3566)/INDEX(Мес_Раб,D3566))</f>
        <v/>
      </c>
    </row>
    <row r="3567">
      <c r="A3567" t="inlineStr">
        <is>
          <t>Семенова</t>
        </is>
      </c>
      <c r="B3567" t="n">
        <v>14</v>
      </c>
      <c r="C3567" s="18">
        <f>'Календарь'!A225</f>
        <v/>
      </c>
      <c r="D3567">
        <f>MONTH(C3567)</f>
        <v/>
      </c>
      <c r="E3567">
        <f>'Календарь'!D225</f>
        <v/>
      </c>
      <c r="F3567">
        <f>INT((C3567-Нед_Начало)/7)+1</f>
        <v/>
      </c>
      <c r="G3567">
        <f>IF(E3567=0,0,INDEX('Планы менеджеров'!$B$5:$M$16,B3567,D3567)/INDEX(Мес_Раб,D3567))</f>
        <v/>
      </c>
    </row>
    <row r="3568">
      <c r="A3568" t="inlineStr">
        <is>
          <t>Семенова</t>
        </is>
      </c>
      <c r="B3568" t="n">
        <v>14</v>
      </c>
      <c r="C3568" s="18">
        <f>'Календарь'!A226</f>
        <v/>
      </c>
      <c r="D3568">
        <f>MONTH(C3568)</f>
        <v/>
      </c>
      <c r="E3568">
        <f>'Календарь'!D226</f>
        <v/>
      </c>
      <c r="F3568">
        <f>INT((C3568-Нед_Начало)/7)+1</f>
        <v/>
      </c>
      <c r="G3568">
        <f>IF(E3568=0,0,INDEX('Планы менеджеров'!$B$5:$M$16,B3568,D3568)/INDEX(Мес_Раб,D3568))</f>
        <v/>
      </c>
    </row>
    <row r="3569">
      <c r="A3569" t="inlineStr">
        <is>
          <t>Семенова</t>
        </is>
      </c>
      <c r="B3569" t="n">
        <v>14</v>
      </c>
      <c r="C3569" s="18">
        <f>'Календарь'!A227</f>
        <v/>
      </c>
      <c r="D3569">
        <f>MONTH(C3569)</f>
        <v/>
      </c>
      <c r="E3569">
        <f>'Календарь'!D227</f>
        <v/>
      </c>
      <c r="F3569">
        <f>INT((C3569-Нед_Начало)/7)+1</f>
        <v/>
      </c>
      <c r="G3569">
        <f>IF(E3569=0,0,INDEX('Планы менеджеров'!$B$5:$M$16,B3569,D3569)/INDEX(Мес_Раб,D3569))</f>
        <v/>
      </c>
    </row>
    <row r="3570">
      <c r="A3570" t="inlineStr">
        <is>
          <t>Семенова</t>
        </is>
      </c>
      <c r="B3570" t="n">
        <v>14</v>
      </c>
      <c r="C3570" s="18">
        <f>'Календарь'!A228</f>
        <v/>
      </c>
      <c r="D3570">
        <f>MONTH(C3570)</f>
        <v/>
      </c>
      <c r="E3570">
        <f>'Календарь'!D228</f>
        <v/>
      </c>
      <c r="F3570">
        <f>INT((C3570-Нед_Начало)/7)+1</f>
        <v/>
      </c>
      <c r="G3570">
        <f>IF(E3570=0,0,INDEX('Планы менеджеров'!$B$5:$M$16,B3570,D3570)/INDEX(Мес_Раб,D3570))</f>
        <v/>
      </c>
    </row>
    <row r="3571">
      <c r="A3571" t="inlineStr">
        <is>
          <t>Семенова</t>
        </is>
      </c>
      <c r="B3571" t="n">
        <v>14</v>
      </c>
      <c r="C3571" s="18">
        <f>'Календарь'!A229</f>
        <v/>
      </c>
      <c r="D3571">
        <f>MONTH(C3571)</f>
        <v/>
      </c>
      <c r="E3571">
        <f>'Календарь'!D229</f>
        <v/>
      </c>
      <c r="F3571">
        <f>INT((C3571-Нед_Начало)/7)+1</f>
        <v/>
      </c>
      <c r="G3571">
        <f>IF(E3571=0,0,INDEX('Планы менеджеров'!$B$5:$M$16,B3571,D3571)/INDEX(Мес_Раб,D3571))</f>
        <v/>
      </c>
    </row>
    <row r="3572">
      <c r="A3572" t="inlineStr">
        <is>
          <t>Семенова</t>
        </is>
      </c>
      <c r="B3572" t="n">
        <v>14</v>
      </c>
      <c r="C3572" s="18">
        <f>'Календарь'!A230</f>
        <v/>
      </c>
      <c r="D3572">
        <f>MONTH(C3572)</f>
        <v/>
      </c>
      <c r="E3572">
        <f>'Календарь'!D230</f>
        <v/>
      </c>
      <c r="F3572">
        <f>INT((C3572-Нед_Начало)/7)+1</f>
        <v/>
      </c>
      <c r="G3572">
        <f>IF(E3572=0,0,INDEX('Планы менеджеров'!$B$5:$M$16,B3572,D3572)/INDEX(Мес_Раб,D3572))</f>
        <v/>
      </c>
    </row>
    <row r="3573">
      <c r="A3573" t="inlineStr">
        <is>
          <t>Семенова</t>
        </is>
      </c>
      <c r="B3573" t="n">
        <v>14</v>
      </c>
      <c r="C3573" s="18">
        <f>'Календарь'!A231</f>
        <v/>
      </c>
      <c r="D3573">
        <f>MONTH(C3573)</f>
        <v/>
      </c>
      <c r="E3573">
        <f>'Календарь'!D231</f>
        <v/>
      </c>
      <c r="F3573">
        <f>INT((C3573-Нед_Начало)/7)+1</f>
        <v/>
      </c>
      <c r="G3573">
        <f>IF(E3573=0,0,INDEX('Планы менеджеров'!$B$5:$M$16,B3573,D3573)/INDEX(Мес_Раб,D3573))</f>
        <v/>
      </c>
    </row>
    <row r="3574">
      <c r="A3574" t="inlineStr">
        <is>
          <t>Семенова</t>
        </is>
      </c>
      <c r="B3574" t="n">
        <v>14</v>
      </c>
      <c r="C3574" s="18">
        <f>'Календарь'!A232</f>
        <v/>
      </c>
      <c r="D3574">
        <f>MONTH(C3574)</f>
        <v/>
      </c>
      <c r="E3574">
        <f>'Календарь'!D232</f>
        <v/>
      </c>
      <c r="F3574">
        <f>INT((C3574-Нед_Начало)/7)+1</f>
        <v/>
      </c>
      <c r="G3574">
        <f>IF(E3574=0,0,INDEX('Планы менеджеров'!$B$5:$M$16,B3574,D3574)/INDEX(Мес_Раб,D3574))</f>
        <v/>
      </c>
    </row>
    <row r="3575">
      <c r="A3575" t="inlineStr">
        <is>
          <t>Семенова</t>
        </is>
      </c>
      <c r="B3575" t="n">
        <v>14</v>
      </c>
      <c r="C3575" s="18">
        <f>'Календарь'!A233</f>
        <v/>
      </c>
      <c r="D3575">
        <f>MONTH(C3575)</f>
        <v/>
      </c>
      <c r="E3575">
        <f>'Календарь'!D233</f>
        <v/>
      </c>
      <c r="F3575">
        <f>INT((C3575-Нед_Начало)/7)+1</f>
        <v/>
      </c>
      <c r="G3575">
        <f>IF(E3575=0,0,INDEX('Планы менеджеров'!$B$5:$M$16,B3575,D3575)/INDEX(Мес_Раб,D3575))</f>
        <v/>
      </c>
    </row>
    <row r="3576">
      <c r="A3576" t="inlineStr">
        <is>
          <t>Семенова</t>
        </is>
      </c>
      <c r="B3576" t="n">
        <v>14</v>
      </c>
      <c r="C3576" s="18">
        <f>'Календарь'!A234</f>
        <v/>
      </c>
      <c r="D3576">
        <f>MONTH(C3576)</f>
        <v/>
      </c>
      <c r="E3576">
        <f>'Календарь'!D234</f>
        <v/>
      </c>
      <c r="F3576">
        <f>INT((C3576-Нед_Начало)/7)+1</f>
        <v/>
      </c>
      <c r="G3576">
        <f>IF(E3576=0,0,INDEX('Планы менеджеров'!$B$5:$M$16,B3576,D3576)/INDEX(Мес_Раб,D3576))</f>
        <v/>
      </c>
    </row>
    <row r="3577">
      <c r="A3577" t="inlineStr">
        <is>
          <t>Семенова</t>
        </is>
      </c>
      <c r="B3577" t="n">
        <v>14</v>
      </c>
      <c r="C3577" s="18">
        <f>'Календарь'!A235</f>
        <v/>
      </c>
      <c r="D3577">
        <f>MONTH(C3577)</f>
        <v/>
      </c>
      <c r="E3577">
        <f>'Календарь'!D235</f>
        <v/>
      </c>
      <c r="F3577">
        <f>INT((C3577-Нед_Начало)/7)+1</f>
        <v/>
      </c>
      <c r="G3577">
        <f>IF(E3577=0,0,INDEX('Планы менеджеров'!$B$5:$M$16,B3577,D3577)/INDEX(Мес_Раб,D3577))</f>
        <v/>
      </c>
    </row>
    <row r="3578">
      <c r="A3578" t="inlineStr">
        <is>
          <t>Семенова</t>
        </is>
      </c>
      <c r="B3578" t="n">
        <v>14</v>
      </c>
      <c r="C3578" s="18">
        <f>'Календарь'!A236</f>
        <v/>
      </c>
      <c r="D3578">
        <f>MONTH(C3578)</f>
        <v/>
      </c>
      <c r="E3578">
        <f>'Календарь'!D236</f>
        <v/>
      </c>
      <c r="F3578">
        <f>INT((C3578-Нед_Начало)/7)+1</f>
        <v/>
      </c>
      <c r="G3578">
        <f>IF(E3578=0,0,INDEX('Планы менеджеров'!$B$5:$M$16,B3578,D3578)/INDEX(Мес_Раб,D3578))</f>
        <v/>
      </c>
    </row>
    <row r="3579">
      <c r="A3579" t="inlineStr">
        <is>
          <t>Семенова</t>
        </is>
      </c>
      <c r="B3579" t="n">
        <v>14</v>
      </c>
      <c r="C3579" s="18">
        <f>'Календарь'!A237</f>
        <v/>
      </c>
      <c r="D3579">
        <f>MONTH(C3579)</f>
        <v/>
      </c>
      <c r="E3579">
        <f>'Календарь'!D237</f>
        <v/>
      </c>
      <c r="F3579">
        <f>INT((C3579-Нед_Начало)/7)+1</f>
        <v/>
      </c>
      <c r="G3579">
        <f>IF(E3579=0,0,INDEX('Планы менеджеров'!$B$5:$M$16,B3579,D3579)/INDEX(Мес_Раб,D3579))</f>
        <v/>
      </c>
    </row>
    <row r="3580">
      <c r="A3580" t="inlineStr">
        <is>
          <t>Семенова</t>
        </is>
      </c>
      <c r="B3580" t="n">
        <v>14</v>
      </c>
      <c r="C3580" s="18">
        <f>'Календарь'!A238</f>
        <v/>
      </c>
      <c r="D3580">
        <f>MONTH(C3580)</f>
        <v/>
      </c>
      <c r="E3580">
        <f>'Календарь'!D238</f>
        <v/>
      </c>
      <c r="F3580">
        <f>INT((C3580-Нед_Начало)/7)+1</f>
        <v/>
      </c>
      <c r="G3580">
        <f>IF(E3580=0,0,INDEX('Планы менеджеров'!$B$5:$M$16,B3580,D3580)/INDEX(Мес_Раб,D3580))</f>
        <v/>
      </c>
    </row>
    <row r="3581">
      <c r="A3581" t="inlineStr">
        <is>
          <t>Семенова</t>
        </is>
      </c>
      <c r="B3581" t="n">
        <v>14</v>
      </c>
      <c r="C3581" s="18">
        <f>'Календарь'!A239</f>
        <v/>
      </c>
      <c r="D3581">
        <f>MONTH(C3581)</f>
        <v/>
      </c>
      <c r="E3581">
        <f>'Календарь'!D239</f>
        <v/>
      </c>
      <c r="F3581">
        <f>INT((C3581-Нед_Начало)/7)+1</f>
        <v/>
      </c>
      <c r="G3581">
        <f>IF(E3581=0,0,INDEX('Планы менеджеров'!$B$5:$M$16,B3581,D3581)/INDEX(Мес_Раб,D3581))</f>
        <v/>
      </c>
    </row>
    <row r="3582">
      <c r="A3582" t="inlineStr">
        <is>
          <t>Семенова</t>
        </is>
      </c>
      <c r="B3582" t="n">
        <v>14</v>
      </c>
      <c r="C3582" s="18">
        <f>'Календарь'!A240</f>
        <v/>
      </c>
      <c r="D3582">
        <f>MONTH(C3582)</f>
        <v/>
      </c>
      <c r="E3582">
        <f>'Календарь'!D240</f>
        <v/>
      </c>
      <c r="F3582">
        <f>INT((C3582-Нед_Начало)/7)+1</f>
        <v/>
      </c>
      <c r="G3582">
        <f>IF(E3582=0,0,INDEX('Планы менеджеров'!$B$5:$M$16,B3582,D3582)/INDEX(Мес_Раб,D3582))</f>
        <v/>
      </c>
    </row>
    <row r="3583">
      <c r="A3583" t="inlineStr">
        <is>
          <t>Семенова</t>
        </is>
      </c>
      <c r="B3583" t="n">
        <v>14</v>
      </c>
      <c r="C3583" s="18">
        <f>'Календарь'!A241</f>
        <v/>
      </c>
      <c r="D3583">
        <f>MONTH(C3583)</f>
        <v/>
      </c>
      <c r="E3583">
        <f>'Календарь'!D241</f>
        <v/>
      </c>
      <c r="F3583">
        <f>INT((C3583-Нед_Начало)/7)+1</f>
        <v/>
      </c>
      <c r="G3583">
        <f>IF(E3583=0,0,INDEX('Планы менеджеров'!$B$5:$M$16,B3583,D3583)/INDEX(Мес_Раб,D3583))</f>
        <v/>
      </c>
    </row>
    <row r="3584">
      <c r="A3584" t="inlineStr">
        <is>
          <t>Семенова</t>
        </is>
      </c>
      <c r="B3584" t="n">
        <v>14</v>
      </c>
      <c r="C3584" s="18">
        <f>'Календарь'!A242</f>
        <v/>
      </c>
      <c r="D3584">
        <f>MONTH(C3584)</f>
        <v/>
      </c>
      <c r="E3584">
        <f>'Календарь'!D242</f>
        <v/>
      </c>
      <c r="F3584">
        <f>INT((C3584-Нед_Начало)/7)+1</f>
        <v/>
      </c>
      <c r="G3584">
        <f>IF(E3584=0,0,INDEX('Планы менеджеров'!$B$5:$M$16,B3584,D3584)/INDEX(Мес_Раб,D3584))</f>
        <v/>
      </c>
    </row>
    <row r="3585">
      <c r="A3585" t="inlineStr">
        <is>
          <t>Семенова</t>
        </is>
      </c>
      <c r="B3585" t="n">
        <v>14</v>
      </c>
      <c r="C3585" s="18">
        <f>'Календарь'!A243</f>
        <v/>
      </c>
      <c r="D3585">
        <f>MONTH(C3585)</f>
        <v/>
      </c>
      <c r="E3585">
        <f>'Календарь'!D243</f>
        <v/>
      </c>
      <c r="F3585">
        <f>INT((C3585-Нед_Начало)/7)+1</f>
        <v/>
      </c>
      <c r="G3585">
        <f>IF(E3585=0,0,INDEX('Планы менеджеров'!$B$5:$M$16,B3585,D3585)/INDEX(Мес_Раб,D3585))</f>
        <v/>
      </c>
    </row>
    <row r="3586">
      <c r="A3586" t="inlineStr">
        <is>
          <t>Семенова</t>
        </is>
      </c>
      <c r="B3586" t="n">
        <v>14</v>
      </c>
      <c r="C3586" s="18">
        <f>'Календарь'!A244</f>
        <v/>
      </c>
      <c r="D3586">
        <f>MONTH(C3586)</f>
        <v/>
      </c>
      <c r="E3586">
        <f>'Календарь'!D244</f>
        <v/>
      </c>
      <c r="F3586">
        <f>INT((C3586-Нед_Начало)/7)+1</f>
        <v/>
      </c>
      <c r="G3586">
        <f>IF(E3586=0,0,INDEX('Планы менеджеров'!$B$5:$M$16,B3586,D3586)/INDEX(Мес_Раб,D3586))</f>
        <v/>
      </c>
    </row>
    <row r="3587">
      <c r="A3587" t="inlineStr">
        <is>
          <t>Семенова</t>
        </is>
      </c>
      <c r="B3587" t="n">
        <v>14</v>
      </c>
      <c r="C3587" s="18">
        <f>'Календарь'!A245</f>
        <v/>
      </c>
      <c r="D3587">
        <f>MONTH(C3587)</f>
        <v/>
      </c>
      <c r="E3587">
        <f>'Календарь'!D245</f>
        <v/>
      </c>
      <c r="F3587">
        <f>INT((C3587-Нед_Начало)/7)+1</f>
        <v/>
      </c>
      <c r="G3587">
        <f>IF(E3587=0,0,INDEX('Планы менеджеров'!$B$5:$M$16,B3587,D3587)/INDEX(Мес_Раб,D3587))</f>
        <v/>
      </c>
    </row>
    <row r="3588">
      <c r="A3588" t="inlineStr">
        <is>
          <t>Семенова</t>
        </is>
      </c>
      <c r="B3588" t="n">
        <v>14</v>
      </c>
      <c r="C3588" s="18">
        <f>'Календарь'!A246</f>
        <v/>
      </c>
      <c r="D3588">
        <f>MONTH(C3588)</f>
        <v/>
      </c>
      <c r="E3588">
        <f>'Календарь'!D246</f>
        <v/>
      </c>
      <c r="F3588">
        <f>INT((C3588-Нед_Начало)/7)+1</f>
        <v/>
      </c>
      <c r="G3588">
        <f>IF(E3588=0,0,INDEX('Планы менеджеров'!$B$5:$M$16,B3588,D3588)/INDEX(Мес_Раб,D3588))</f>
        <v/>
      </c>
    </row>
    <row r="3589">
      <c r="A3589" t="inlineStr">
        <is>
          <t>Семенова</t>
        </is>
      </c>
      <c r="B3589" t="n">
        <v>14</v>
      </c>
      <c r="C3589" s="18">
        <f>'Календарь'!A247</f>
        <v/>
      </c>
      <c r="D3589">
        <f>MONTH(C3589)</f>
        <v/>
      </c>
      <c r="E3589">
        <f>'Календарь'!D247</f>
        <v/>
      </c>
      <c r="F3589">
        <f>INT((C3589-Нед_Начало)/7)+1</f>
        <v/>
      </c>
      <c r="G3589">
        <f>IF(E3589=0,0,INDEX('Планы менеджеров'!$B$5:$M$16,B3589,D3589)/INDEX(Мес_Раб,D3589))</f>
        <v/>
      </c>
    </row>
    <row r="3590">
      <c r="A3590" t="inlineStr">
        <is>
          <t>Семенова</t>
        </is>
      </c>
      <c r="B3590" t="n">
        <v>14</v>
      </c>
      <c r="C3590" s="18">
        <f>'Календарь'!A248</f>
        <v/>
      </c>
      <c r="D3590">
        <f>MONTH(C3590)</f>
        <v/>
      </c>
      <c r="E3590">
        <f>'Календарь'!D248</f>
        <v/>
      </c>
      <c r="F3590">
        <f>INT((C3590-Нед_Начало)/7)+1</f>
        <v/>
      </c>
      <c r="G3590">
        <f>IF(E3590=0,0,INDEX('Планы менеджеров'!$B$5:$M$16,B3590,D3590)/INDEX(Мес_Раб,D3590))</f>
        <v/>
      </c>
    </row>
    <row r="3591">
      <c r="A3591" t="inlineStr">
        <is>
          <t>Семенова</t>
        </is>
      </c>
      <c r="B3591" t="n">
        <v>14</v>
      </c>
      <c r="C3591" s="18">
        <f>'Календарь'!A249</f>
        <v/>
      </c>
      <c r="D3591">
        <f>MONTH(C3591)</f>
        <v/>
      </c>
      <c r="E3591">
        <f>'Календарь'!D249</f>
        <v/>
      </c>
      <c r="F3591">
        <f>INT((C3591-Нед_Начало)/7)+1</f>
        <v/>
      </c>
      <c r="G3591">
        <f>IF(E3591=0,0,INDEX('Планы менеджеров'!$B$5:$M$16,B3591,D3591)/INDEX(Мес_Раб,D3591))</f>
        <v/>
      </c>
    </row>
    <row r="3592">
      <c r="A3592" t="inlineStr">
        <is>
          <t>Семенова</t>
        </is>
      </c>
      <c r="B3592" t="n">
        <v>14</v>
      </c>
      <c r="C3592" s="18">
        <f>'Календарь'!A250</f>
        <v/>
      </c>
      <c r="D3592">
        <f>MONTH(C3592)</f>
        <v/>
      </c>
      <c r="E3592">
        <f>'Календарь'!D250</f>
        <v/>
      </c>
      <c r="F3592">
        <f>INT((C3592-Нед_Начало)/7)+1</f>
        <v/>
      </c>
      <c r="G3592">
        <f>IF(E3592=0,0,INDEX('Планы менеджеров'!$B$5:$M$16,B3592,D3592)/INDEX(Мес_Раб,D3592))</f>
        <v/>
      </c>
    </row>
    <row r="3593">
      <c r="A3593" t="inlineStr">
        <is>
          <t>Семенова</t>
        </is>
      </c>
      <c r="B3593" t="n">
        <v>14</v>
      </c>
      <c r="C3593" s="18">
        <f>'Календарь'!A251</f>
        <v/>
      </c>
      <c r="D3593">
        <f>MONTH(C3593)</f>
        <v/>
      </c>
      <c r="E3593">
        <f>'Календарь'!D251</f>
        <v/>
      </c>
      <c r="F3593">
        <f>INT((C3593-Нед_Начало)/7)+1</f>
        <v/>
      </c>
      <c r="G3593">
        <f>IF(E3593=0,0,INDEX('Планы менеджеров'!$B$5:$M$16,B3593,D3593)/INDEX(Мес_Раб,D3593))</f>
        <v/>
      </c>
    </row>
    <row r="3594">
      <c r="A3594" t="inlineStr">
        <is>
          <t>Семенова</t>
        </is>
      </c>
      <c r="B3594" t="n">
        <v>14</v>
      </c>
      <c r="C3594" s="18">
        <f>'Календарь'!A252</f>
        <v/>
      </c>
      <c r="D3594">
        <f>MONTH(C3594)</f>
        <v/>
      </c>
      <c r="E3594">
        <f>'Календарь'!D252</f>
        <v/>
      </c>
      <c r="F3594">
        <f>INT((C3594-Нед_Начало)/7)+1</f>
        <v/>
      </c>
      <c r="G3594">
        <f>IF(E3594=0,0,INDEX('Планы менеджеров'!$B$5:$M$16,B3594,D3594)/INDEX(Мес_Раб,D3594))</f>
        <v/>
      </c>
    </row>
    <row r="3595">
      <c r="A3595" t="inlineStr">
        <is>
          <t>Семенова</t>
        </is>
      </c>
      <c r="B3595" t="n">
        <v>14</v>
      </c>
      <c r="C3595" s="18">
        <f>'Календарь'!A253</f>
        <v/>
      </c>
      <c r="D3595">
        <f>MONTH(C3595)</f>
        <v/>
      </c>
      <c r="E3595">
        <f>'Календарь'!D253</f>
        <v/>
      </c>
      <c r="F3595">
        <f>INT((C3595-Нед_Начало)/7)+1</f>
        <v/>
      </c>
      <c r="G3595">
        <f>IF(E3595=0,0,INDEX('Планы менеджеров'!$B$5:$M$16,B3595,D3595)/INDEX(Мес_Раб,D3595))</f>
        <v/>
      </c>
    </row>
    <row r="3596">
      <c r="A3596" t="inlineStr">
        <is>
          <t>Семенова</t>
        </is>
      </c>
      <c r="B3596" t="n">
        <v>14</v>
      </c>
      <c r="C3596" s="18">
        <f>'Календарь'!A254</f>
        <v/>
      </c>
      <c r="D3596">
        <f>MONTH(C3596)</f>
        <v/>
      </c>
      <c r="E3596">
        <f>'Календарь'!D254</f>
        <v/>
      </c>
      <c r="F3596">
        <f>INT((C3596-Нед_Начало)/7)+1</f>
        <v/>
      </c>
      <c r="G3596">
        <f>IF(E3596=0,0,INDEX('Планы менеджеров'!$B$5:$M$16,B3596,D3596)/INDEX(Мес_Раб,D3596))</f>
        <v/>
      </c>
    </row>
    <row r="3597">
      <c r="A3597" t="inlineStr">
        <is>
          <t>Семенова</t>
        </is>
      </c>
      <c r="B3597" t="n">
        <v>14</v>
      </c>
      <c r="C3597" s="18">
        <f>'Календарь'!A255</f>
        <v/>
      </c>
      <c r="D3597">
        <f>MONTH(C3597)</f>
        <v/>
      </c>
      <c r="E3597">
        <f>'Календарь'!D255</f>
        <v/>
      </c>
      <c r="F3597">
        <f>INT((C3597-Нед_Начало)/7)+1</f>
        <v/>
      </c>
      <c r="G3597">
        <f>IF(E3597=0,0,INDEX('Планы менеджеров'!$B$5:$M$16,B3597,D3597)/INDEX(Мес_Раб,D3597))</f>
        <v/>
      </c>
    </row>
    <row r="3598">
      <c r="A3598" t="inlineStr">
        <is>
          <t>Семенова</t>
        </is>
      </c>
      <c r="B3598" t="n">
        <v>14</v>
      </c>
      <c r="C3598" s="18">
        <f>'Календарь'!A256</f>
        <v/>
      </c>
      <c r="D3598">
        <f>MONTH(C3598)</f>
        <v/>
      </c>
      <c r="E3598">
        <f>'Календарь'!D256</f>
        <v/>
      </c>
      <c r="F3598">
        <f>INT((C3598-Нед_Начало)/7)+1</f>
        <v/>
      </c>
      <c r="G3598">
        <f>IF(E3598=0,0,INDEX('Планы менеджеров'!$B$5:$M$16,B3598,D3598)/INDEX(Мес_Раб,D3598))</f>
        <v/>
      </c>
    </row>
    <row r="3599">
      <c r="A3599" t="inlineStr">
        <is>
          <t>Семенова</t>
        </is>
      </c>
      <c r="B3599" t="n">
        <v>14</v>
      </c>
      <c r="C3599" s="18">
        <f>'Календарь'!A257</f>
        <v/>
      </c>
      <c r="D3599">
        <f>MONTH(C3599)</f>
        <v/>
      </c>
      <c r="E3599">
        <f>'Календарь'!D257</f>
        <v/>
      </c>
      <c r="F3599">
        <f>INT((C3599-Нед_Начало)/7)+1</f>
        <v/>
      </c>
      <c r="G3599">
        <f>IF(E3599=0,0,INDEX('Планы менеджеров'!$B$5:$M$16,B3599,D3599)/INDEX(Мес_Раб,D3599))</f>
        <v/>
      </c>
    </row>
    <row r="3600">
      <c r="A3600" t="inlineStr">
        <is>
          <t>Семенова</t>
        </is>
      </c>
      <c r="B3600" t="n">
        <v>14</v>
      </c>
      <c r="C3600" s="18">
        <f>'Календарь'!A258</f>
        <v/>
      </c>
      <c r="D3600">
        <f>MONTH(C3600)</f>
        <v/>
      </c>
      <c r="E3600">
        <f>'Календарь'!D258</f>
        <v/>
      </c>
      <c r="F3600">
        <f>INT((C3600-Нед_Начало)/7)+1</f>
        <v/>
      </c>
      <c r="G3600">
        <f>IF(E3600=0,0,INDEX('Планы менеджеров'!$B$5:$M$16,B3600,D3600)/INDEX(Мес_Раб,D3600))</f>
        <v/>
      </c>
    </row>
    <row r="3601">
      <c r="A3601" t="inlineStr">
        <is>
          <t>Семенова</t>
        </is>
      </c>
      <c r="B3601" t="n">
        <v>14</v>
      </c>
      <c r="C3601" s="18">
        <f>'Календарь'!A259</f>
        <v/>
      </c>
      <c r="D3601">
        <f>MONTH(C3601)</f>
        <v/>
      </c>
      <c r="E3601">
        <f>'Календарь'!D259</f>
        <v/>
      </c>
      <c r="F3601">
        <f>INT((C3601-Нед_Начало)/7)+1</f>
        <v/>
      </c>
      <c r="G3601">
        <f>IF(E3601=0,0,INDEX('Планы менеджеров'!$B$5:$M$16,B3601,D3601)/INDEX(Мес_Раб,D3601))</f>
        <v/>
      </c>
    </row>
    <row r="3602">
      <c r="A3602" t="inlineStr">
        <is>
          <t>Семенова</t>
        </is>
      </c>
      <c r="B3602" t="n">
        <v>14</v>
      </c>
      <c r="C3602" s="18">
        <f>'Календарь'!A260</f>
        <v/>
      </c>
      <c r="D3602">
        <f>MONTH(C3602)</f>
        <v/>
      </c>
      <c r="E3602">
        <f>'Календарь'!D260</f>
        <v/>
      </c>
      <c r="F3602">
        <f>INT((C3602-Нед_Начало)/7)+1</f>
        <v/>
      </c>
      <c r="G3602">
        <f>IF(E3602=0,0,INDEX('Планы менеджеров'!$B$5:$M$16,B3602,D3602)/INDEX(Мес_Раб,D3602))</f>
        <v/>
      </c>
    </row>
    <row r="3603">
      <c r="A3603" t="inlineStr">
        <is>
          <t>Семенова</t>
        </is>
      </c>
      <c r="B3603" t="n">
        <v>14</v>
      </c>
      <c r="C3603" s="18">
        <f>'Календарь'!A261</f>
        <v/>
      </c>
      <c r="D3603">
        <f>MONTH(C3603)</f>
        <v/>
      </c>
      <c r="E3603">
        <f>'Календарь'!D261</f>
        <v/>
      </c>
      <c r="F3603">
        <f>INT((C3603-Нед_Начало)/7)+1</f>
        <v/>
      </c>
      <c r="G3603">
        <f>IF(E3603=0,0,INDEX('Планы менеджеров'!$B$5:$M$16,B3603,D3603)/INDEX(Мес_Раб,D3603))</f>
        <v/>
      </c>
    </row>
    <row r="3604">
      <c r="A3604" t="inlineStr">
        <is>
          <t>Семенова</t>
        </is>
      </c>
      <c r="B3604" t="n">
        <v>14</v>
      </c>
      <c r="C3604" s="18">
        <f>'Календарь'!A262</f>
        <v/>
      </c>
      <c r="D3604">
        <f>MONTH(C3604)</f>
        <v/>
      </c>
      <c r="E3604">
        <f>'Календарь'!D262</f>
        <v/>
      </c>
      <c r="F3604">
        <f>INT((C3604-Нед_Начало)/7)+1</f>
        <v/>
      </c>
      <c r="G3604">
        <f>IF(E3604=0,0,INDEX('Планы менеджеров'!$B$5:$M$16,B3604,D3604)/INDEX(Мес_Раб,D3604))</f>
        <v/>
      </c>
    </row>
    <row r="3605">
      <c r="A3605" t="inlineStr">
        <is>
          <t>Семенова</t>
        </is>
      </c>
      <c r="B3605" t="n">
        <v>14</v>
      </c>
      <c r="C3605" s="18">
        <f>'Календарь'!A263</f>
        <v/>
      </c>
      <c r="D3605">
        <f>MONTH(C3605)</f>
        <v/>
      </c>
      <c r="E3605">
        <f>'Календарь'!D263</f>
        <v/>
      </c>
      <c r="F3605">
        <f>INT((C3605-Нед_Начало)/7)+1</f>
        <v/>
      </c>
      <c r="G3605">
        <f>IF(E3605=0,0,INDEX('Планы менеджеров'!$B$5:$M$16,B3605,D3605)/INDEX(Мес_Раб,D3605))</f>
        <v/>
      </c>
    </row>
    <row r="3606">
      <c r="A3606" t="inlineStr">
        <is>
          <t>Семенова</t>
        </is>
      </c>
      <c r="B3606" t="n">
        <v>14</v>
      </c>
      <c r="C3606" s="18">
        <f>'Календарь'!A264</f>
        <v/>
      </c>
      <c r="D3606">
        <f>MONTH(C3606)</f>
        <v/>
      </c>
      <c r="E3606">
        <f>'Календарь'!D264</f>
        <v/>
      </c>
      <c r="F3606">
        <f>INT((C3606-Нед_Начало)/7)+1</f>
        <v/>
      </c>
      <c r="G3606">
        <f>IF(E3606=0,0,INDEX('Планы менеджеров'!$B$5:$M$16,B3606,D3606)/INDEX(Мес_Раб,D3606))</f>
        <v/>
      </c>
    </row>
    <row r="3607">
      <c r="A3607" t="inlineStr">
        <is>
          <t>Семенова</t>
        </is>
      </c>
      <c r="B3607" t="n">
        <v>14</v>
      </c>
      <c r="C3607" s="18">
        <f>'Календарь'!A265</f>
        <v/>
      </c>
      <c r="D3607">
        <f>MONTH(C3607)</f>
        <v/>
      </c>
      <c r="E3607">
        <f>'Календарь'!D265</f>
        <v/>
      </c>
      <c r="F3607">
        <f>INT((C3607-Нед_Начало)/7)+1</f>
        <v/>
      </c>
      <c r="G3607">
        <f>IF(E3607=0,0,INDEX('Планы менеджеров'!$B$5:$M$16,B3607,D3607)/INDEX(Мес_Раб,D3607))</f>
        <v/>
      </c>
    </row>
    <row r="3608">
      <c r="A3608" t="inlineStr">
        <is>
          <t>Семенова</t>
        </is>
      </c>
      <c r="B3608" t="n">
        <v>14</v>
      </c>
      <c r="C3608" s="18">
        <f>'Календарь'!A266</f>
        <v/>
      </c>
      <c r="D3608">
        <f>MONTH(C3608)</f>
        <v/>
      </c>
      <c r="E3608">
        <f>'Календарь'!D266</f>
        <v/>
      </c>
      <c r="F3608">
        <f>INT((C3608-Нед_Начало)/7)+1</f>
        <v/>
      </c>
      <c r="G3608">
        <f>IF(E3608=0,0,INDEX('Планы менеджеров'!$B$5:$M$16,B3608,D3608)/INDEX(Мес_Раб,D3608))</f>
        <v/>
      </c>
    </row>
    <row r="3609">
      <c r="A3609" t="inlineStr">
        <is>
          <t>Семенова</t>
        </is>
      </c>
      <c r="B3609" t="n">
        <v>14</v>
      </c>
      <c r="C3609" s="18">
        <f>'Календарь'!A267</f>
        <v/>
      </c>
      <c r="D3609">
        <f>MONTH(C3609)</f>
        <v/>
      </c>
      <c r="E3609">
        <f>'Календарь'!D267</f>
        <v/>
      </c>
      <c r="F3609">
        <f>INT((C3609-Нед_Начало)/7)+1</f>
        <v/>
      </c>
      <c r="G3609">
        <f>IF(E3609=0,0,INDEX('Планы менеджеров'!$B$5:$M$16,B3609,D3609)/INDEX(Мес_Раб,D3609))</f>
        <v/>
      </c>
    </row>
    <row r="3610">
      <c r="A3610" t="inlineStr">
        <is>
          <t>Семенова</t>
        </is>
      </c>
      <c r="B3610" t="n">
        <v>14</v>
      </c>
      <c r="C3610" s="18">
        <f>'Календарь'!A268</f>
        <v/>
      </c>
      <c r="D3610">
        <f>MONTH(C3610)</f>
        <v/>
      </c>
      <c r="E3610">
        <f>'Календарь'!D268</f>
        <v/>
      </c>
      <c r="F3610">
        <f>INT((C3610-Нед_Начало)/7)+1</f>
        <v/>
      </c>
      <c r="G3610">
        <f>IF(E3610=0,0,INDEX('Планы менеджеров'!$B$5:$M$16,B3610,D3610)/INDEX(Мес_Раб,D3610))</f>
        <v/>
      </c>
    </row>
    <row r="3611">
      <c r="A3611" t="inlineStr">
        <is>
          <t>Семенова</t>
        </is>
      </c>
      <c r="B3611" t="n">
        <v>14</v>
      </c>
      <c r="C3611" s="18">
        <f>'Календарь'!A269</f>
        <v/>
      </c>
      <c r="D3611">
        <f>MONTH(C3611)</f>
        <v/>
      </c>
      <c r="E3611">
        <f>'Календарь'!D269</f>
        <v/>
      </c>
      <c r="F3611">
        <f>INT((C3611-Нед_Начало)/7)+1</f>
        <v/>
      </c>
      <c r="G3611">
        <f>IF(E3611=0,0,INDEX('Планы менеджеров'!$B$5:$M$16,B3611,D3611)/INDEX(Мес_Раб,D3611))</f>
        <v/>
      </c>
    </row>
    <row r="3612">
      <c r="A3612" t="inlineStr">
        <is>
          <t>Семенова</t>
        </is>
      </c>
      <c r="B3612" t="n">
        <v>14</v>
      </c>
      <c r="C3612" s="18">
        <f>'Календарь'!A270</f>
        <v/>
      </c>
      <c r="D3612">
        <f>MONTH(C3612)</f>
        <v/>
      </c>
      <c r="E3612">
        <f>'Календарь'!D270</f>
        <v/>
      </c>
      <c r="F3612">
        <f>INT((C3612-Нед_Начало)/7)+1</f>
        <v/>
      </c>
      <c r="G3612">
        <f>IF(E3612=0,0,INDEX('Планы менеджеров'!$B$5:$M$16,B3612,D3612)/INDEX(Мес_Раб,D3612))</f>
        <v/>
      </c>
    </row>
    <row r="3613">
      <c r="A3613" t="inlineStr">
        <is>
          <t>Семенова</t>
        </is>
      </c>
      <c r="B3613" t="n">
        <v>14</v>
      </c>
      <c r="C3613" s="18">
        <f>'Календарь'!A271</f>
        <v/>
      </c>
      <c r="D3613">
        <f>MONTH(C3613)</f>
        <v/>
      </c>
      <c r="E3613">
        <f>'Календарь'!D271</f>
        <v/>
      </c>
      <c r="F3613">
        <f>INT((C3613-Нед_Начало)/7)+1</f>
        <v/>
      </c>
      <c r="G3613">
        <f>IF(E3613=0,0,INDEX('Планы менеджеров'!$B$5:$M$16,B3613,D3613)/INDEX(Мес_Раб,D3613))</f>
        <v/>
      </c>
    </row>
    <row r="3614">
      <c r="A3614" t="inlineStr">
        <is>
          <t>Семенова</t>
        </is>
      </c>
      <c r="B3614" t="n">
        <v>14</v>
      </c>
      <c r="C3614" s="18">
        <f>'Календарь'!A272</f>
        <v/>
      </c>
      <c r="D3614">
        <f>MONTH(C3614)</f>
        <v/>
      </c>
      <c r="E3614">
        <f>'Календарь'!D272</f>
        <v/>
      </c>
      <c r="F3614">
        <f>INT((C3614-Нед_Начало)/7)+1</f>
        <v/>
      </c>
      <c r="G3614">
        <f>IF(E3614=0,0,INDEX('Планы менеджеров'!$B$5:$M$16,B3614,D3614)/INDEX(Мес_Раб,D3614))</f>
        <v/>
      </c>
    </row>
    <row r="3615">
      <c r="A3615" t="inlineStr">
        <is>
          <t>Семенова</t>
        </is>
      </c>
      <c r="B3615" t="n">
        <v>14</v>
      </c>
      <c r="C3615" s="18">
        <f>'Календарь'!A273</f>
        <v/>
      </c>
      <c r="D3615">
        <f>MONTH(C3615)</f>
        <v/>
      </c>
      <c r="E3615">
        <f>'Календарь'!D273</f>
        <v/>
      </c>
      <c r="F3615">
        <f>INT((C3615-Нед_Начало)/7)+1</f>
        <v/>
      </c>
      <c r="G3615">
        <f>IF(E3615=0,0,INDEX('Планы менеджеров'!$B$5:$M$16,B3615,D3615)/INDEX(Мес_Раб,D3615))</f>
        <v/>
      </c>
    </row>
    <row r="3616">
      <c r="A3616" t="inlineStr">
        <is>
          <t>Семенова</t>
        </is>
      </c>
      <c r="B3616" t="n">
        <v>14</v>
      </c>
      <c r="C3616" s="18">
        <f>'Календарь'!A274</f>
        <v/>
      </c>
      <c r="D3616">
        <f>MONTH(C3616)</f>
        <v/>
      </c>
      <c r="E3616">
        <f>'Календарь'!D274</f>
        <v/>
      </c>
      <c r="F3616">
        <f>INT((C3616-Нед_Начало)/7)+1</f>
        <v/>
      </c>
      <c r="G3616">
        <f>IF(E3616=0,0,INDEX('Планы менеджеров'!$B$5:$M$16,B3616,D3616)/INDEX(Мес_Раб,D3616))</f>
        <v/>
      </c>
    </row>
    <row r="3617">
      <c r="A3617" t="inlineStr">
        <is>
          <t>Семенова</t>
        </is>
      </c>
      <c r="B3617" t="n">
        <v>14</v>
      </c>
      <c r="C3617" s="18">
        <f>'Календарь'!A275</f>
        <v/>
      </c>
      <c r="D3617">
        <f>MONTH(C3617)</f>
        <v/>
      </c>
      <c r="E3617">
        <f>'Календарь'!D275</f>
        <v/>
      </c>
      <c r="F3617">
        <f>INT((C3617-Нед_Начало)/7)+1</f>
        <v/>
      </c>
      <c r="G3617">
        <f>IF(E3617=0,0,INDEX('Планы менеджеров'!$B$5:$M$16,B3617,D3617)/INDEX(Мес_Раб,D3617))</f>
        <v/>
      </c>
    </row>
    <row r="3618">
      <c r="A3618" t="inlineStr">
        <is>
          <t>Семенова</t>
        </is>
      </c>
      <c r="B3618" t="n">
        <v>14</v>
      </c>
      <c r="C3618" s="18">
        <f>'Календарь'!A276</f>
        <v/>
      </c>
      <c r="D3618">
        <f>MONTH(C3618)</f>
        <v/>
      </c>
      <c r="E3618">
        <f>'Календарь'!D276</f>
        <v/>
      </c>
      <c r="F3618">
        <f>INT((C3618-Нед_Начало)/7)+1</f>
        <v/>
      </c>
      <c r="G3618">
        <f>IF(E3618=0,0,INDEX('Планы менеджеров'!$B$5:$M$16,B3618,D3618)/INDEX(Мес_Раб,D3618))</f>
        <v/>
      </c>
    </row>
    <row r="3619">
      <c r="A3619" t="inlineStr">
        <is>
          <t>Семенова</t>
        </is>
      </c>
      <c r="B3619" t="n">
        <v>14</v>
      </c>
      <c r="C3619" s="18">
        <f>'Календарь'!A277</f>
        <v/>
      </c>
      <c r="D3619">
        <f>MONTH(C3619)</f>
        <v/>
      </c>
      <c r="E3619">
        <f>'Календарь'!D277</f>
        <v/>
      </c>
      <c r="F3619">
        <f>INT((C3619-Нед_Начало)/7)+1</f>
        <v/>
      </c>
      <c r="G3619">
        <f>IF(E3619=0,0,INDEX('Планы менеджеров'!$B$5:$M$16,B3619,D3619)/INDEX(Мес_Раб,D3619))</f>
        <v/>
      </c>
    </row>
    <row r="3620">
      <c r="A3620" t="inlineStr">
        <is>
          <t>Семенова</t>
        </is>
      </c>
      <c r="B3620" t="n">
        <v>14</v>
      </c>
      <c r="C3620" s="18">
        <f>'Календарь'!A278</f>
        <v/>
      </c>
      <c r="D3620">
        <f>MONTH(C3620)</f>
        <v/>
      </c>
      <c r="E3620">
        <f>'Календарь'!D278</f>
        <v/>
      </c>
      <c r="F3620">
        <f>INT((C3620-Нед_Начало)/7)+1</f>
        <v/>
      </c>
      <c r="G3620">
        <f>IF(E3620=0,0,INDEX('Планы менеджеров'!$B$5:$M$16,B3620,D3620)/INDEX(Мес_Раб,D3620))</f>
        <v/>
      </c>
    </row>
    <row r="3621">
      <c r="A3621" t="inlineStr">
        <is>
          <t>Семенова</t>
        </is>
      </c>
      <c r="B3621" t="n">
        <v>14</v>
      </c>
      <c r="C3621" s="18">
        <f>'Календарь'!A279</f>
        <v/>
      </c>
      <c r="D3621">
        <f>MONTH(C3621)</f>
        <v/>
      </c>
      <c r="E3621">
        <f>'Календарь'!D279</f>
        <v/>
      </c>
      <c r="F3621">
        <f>INT((C3621-Нед_Начало)/7)+1</f>
        <v/>
      </c>
      <c r="G3621">
        <f>IF(E3621=0,0,INDEX('Планы менеджеров'!$B$5:$M$16,B3621,D3621)/INDEX(Мес_Раб,D3621))</f>
        <v/>
      </c>
    </row>
    <row r="3622">
      <c r="A3622" t="inlineStr">
        <is>
          <t>Семенова</t>
        </is>
      </c>
      <c r="B3622" t="n">
        <v>14</v>
      </c>
      <c r="C3622" s="18">
        <f>'Календарь'!A280</f>
        <v/>
      </c>
      <c r="D3622">
        <f>MONTH(C3622)</f>
        <v/>
      </c>
      <c r="E3622">
        <f>'Календарь'!D280</f>
        <v/>
      </c>
      <c r="F3622">
        <f>INT((C3622-Нед_Начало)/7)+1</f>
        <v/>
      </c>
      <c r="G3622">
        <f>IF(E3622=0,0,INDEX('Планы менеджеров'!$B$5:$M$16,B3622,D3622)/INDEX(Мес_Раб,D3622))</f>
        <v/>
      </c>
    </row>
    <row r="3623">
      <c r="A3623" t="inlineStr">
        <is>
          <t>Семенова</t>
        </is>
      </c>
      <c r="B3623" t="n">
        <v>14</v>
      </c>
      <c r="C3623" s="18">
        <f>'Календарь'!A281</f>
        <v/>
      </c>
      <c r="D3623">
        <f>MONTH(C3623)</f>
        <v/>
      </c>
      <c r="E3623">
        <f>'Календарь'!D281</f>
        <v/>
      </c>
      <c r="F3623">
        <f>INT((C3623-Нед_Начало)/7)+1</f>
        <v/>
      </c>
      <c r="G3623">
        <f>IF(E3623=0,0,INDEX('Планы менеджеров'!$B$5:$M$16,B3623,D3623)/INDEX(Мес_Раб,D3623))</f>
        <v/>
      </c>
    </row>
    <row r="3624">
      <c r="A3624" t="inlineStr">
        <is>
          <t>Семенова</t>
        </is>
      </c>
      <c r="B3624" t="n">
        <v>14</v>
      </c>
      <c r="C3624" s="18">
        <f>'Календарь'!A282</f>
        <v/>
      </c>
      <c r="D3624">
        <f>MONTH(C3624)</f>
        <v/>
      </c>
      <c r="E3624">
        <f>'Календарь'!D282</f>
        <v/>
      </c>
      <c r="F3624">
        <f>INT((C3624-Нед_Начало)/7)+1</f>
        <v/>
      </c>
      <c r="G3624">
        <f>IF(E3624=0,0,INDEX('Планы менеджеров'!$B$5:$M$16,B3624,D3624)/INDEX(Мес_Раб,D3624))</f>
        <v/>
      </c>
    </row>
    <row r="3625">
      <c r="A3625" t="inlineStr">
        <is>
          <t>Семенова</t>
        </is>
      </c>
      <c r="B3625" t="n">
        <v>14</v>
      </c>
      <c r="C3625" s="18">
        <f>'Календарь'!A283</f>
        <v/>
      </c>
      <c r="D3625">
        <f>MONTH(C3625)</f>
        <v/>
      </c>
      <c r="E3625">
        <f>'Календарь'!D283</f>
        <v/>
      </c>
      <c r="F3625">
        <f>INT((C3625-Нед_Начало)/7)+1</f>
        <v/>
      </c>
      <c r="G3625">
        <f>IF(E3625=0,0,INDEX('Планы менеджеров'!$B$5:$M$16,B3625,D3625)/INDEX(Мес_Раб,D3625))</f>
        <v/>
      </c>
    </row>
    <row r="3626">
      <c r="A3626" t="inlineStr">
        <is>
          <t>Семенова</t>
        </is>
      </c>
      <c r="B3626" t="n">
        <v>14</v>
      </c>
      <c r="C3626" s="18">
        <f>'Календарь'!A284</f>
        <v/>
      </c>
      <c r="D3626">
        <f>MONTH(C3626)</f>
        <v/>
      </c>
      <c r="E3626">
        <f>'Календарь'!D284</f>
        <v/>
      </c>
      <c r="F3626">
        <f>INT((C3626-Нед_Начало)/7)+1</f>
        <v/>
      </c>
      <c r="G3626">
        <f>IF(E3626=0,0,INDEX('Планы менеджеров'!$B$5:$M$16,B3626,D3626)/INDEX(Мес_Раб,D3626))</f>
        <v/>
      </c>
    </row>
    <row r="3627">
      <c r="A3627" t="inlineStr">
        <is>
          <t>Семенова</t>
        </is>
      </c>
      <c r="B3627" t="n">
        <v>14</v>
      </c>
      <c r="C3627" s="18">
        <f>'Календарь'!A285</f>
        <v/>
      </c>
      <c r="D3627">
        <f>MONTH(C3627)</f>
        <v/>
      </c>
      <c r="E3627">
        <f>'Календарь'!D285</f>
        <v/>
      </c>
      <c r="F3627">
        <f>INT((C3627-Нед_Начало)/7)+1</f>
        <v/>
      </c>
      <c r="G3627">
        <f>IF(E3627=0,0,INDEX('Планы менеджеров'!$B$5:$M$16,B3627,D3627)/INDEX(Мес_Раб,D3627))</f>
        <v/>
      </c>
    </row>
    <row r="3628">
      <c r="A3628" t="inlineStr">
        <is>
          <t>Семенова</t>
        </is>
      </c>
      <c r="B3628" t="n">
        <v>14</v>
      </c>
      <c r="C3628" s="18">
        <f>'Календарь'!A286</f>
        <v/>
      </c>
      <c r="D3628">
        <f>MONTH(C3628)</f>
        <v/>
      </c>
      <c r="E3628">
        <f>'Календарь'!D286</f>
        <v/>
      </c>
      <c r="F3628">
        <f>INT((C3628-Нед_Начало)/7)+1</f>
        <v/>
      </c>
      <c r="G3628">
        <f>IF(E3628=0,0,INDEX('Планы менеджеров'!$B$5:$M$16,B3628,D3628)/INDEX(Мес_Раб,D3628))</f>
        <v/>
      </c>
    </row>
    <row r="3629">
      <c r="A3629" t="inlineStr">
        <is>
          <t>Семенова</t>
        </is>
      </c>
      <c r="B3629" t="n">
        <v>14</v>
      </c>
      <c r="C3629" s="18">
        <f>'Календарь'!A287</f>
        <v/>
      </c>
      <c r="D3629">
        <f>MONTH(C3629)</f>
        <v/>
      </c>
      <c r="E3629">
        <f>'Календарь'!D287</f>
        <v/>
      </c>
      <c r="F3629">
        <f>INT((C3629-Нед_Начало)/7)+1</f>
        <v/>
      </c>
      <c r="G3629">
        <f>IF(E3629=0,0,INDEX('Планы менеджеров'!$B$5:$M$16,B3629,D3629)/INDEX(Мес_Раб,D3629))</f>
        <v/>
      </c>
    </row>
    <row r="3630">
      <c r="A3630" t="inlineStr">
        <is>
          <t>Семенова</t>
        </is>
      </c>
      <c r="B3630" t="n">
        <v>14</v>
      </c>
      <c r="C3630" s="18">
        <f>'Календарь'!A288</f>
        <v/>
      </c>
      <c r="D3630">
        <f>MONTH(C3630)</f>
        <v/>
      </c>
      <c r="E3630">
        <f>'Календарь'!D288</f>
        <v/>
      </c>
      <c r="F3630">
        <f>INT((C3630-Нед_Начало)/7)+1</f>
        <v/>
      </c>
      <c r="G3630">
        <f>IF(E3630=0,0,INDEX('Планы менеджеров'!$B$5:$M$16,B3630,D3630)/INDEX(Мес_Раб,D3630))</f>
        <v/>
      </c>
    </row>
    <row r="3631">
      <c r="A3631" t="inlineStr">
        <is>
          <t>Семенова</t>
        </is>
      </c>
      <c r="B3631" t="n">
        <v>14</v>
      </c>
      <c r="C3631" s="18">
        <f>'Календарь'!A289</f>
        <v/>
      </c>
      <c r="D3631">
        <f>MONTH(C3631)</f>
        <v/>
      </c>
      <c r="E3631">
        <f>'Календарь'!D289</f>
        <v/>
      </c>
      <c r="F3631">
        <f>INT((C3631-Нед_Начало)/7)+1</f>
        <v/>
      </c>
      <c r="G3631">
        <f>IF(E3631=0,0,INDEX('Планы менеджеров'!$B$5:$M$16,B3631,D3631)/INDEX(Мес_Раб,D3631))</f>
        <v/>
      </c>
    </row>
    <row r="3632">
      <c r="A3632" t="inlineStr">
        <is>
          <t>Семенова</t>
        </is>
      </c>
      <c r="B3632" t="n">
        <v>14</v>
      </c>
      <c r="C3632" s="18">
        <f>'Календарь'!A290</f>
        <v/>
      </c>
      <c r="D3632">
        <f>MONTH(C3632)</f>
        <v/>
      </c>
      <c r="E3632">
        <f>'Календарь'!D290</f>
        <v/>
      </c>
      <c r="F3632">
        <f>INT((C3632-Нед_Начало)/7)+1</f>
        <v/>
      </c>
      <c r="G3632">
        <f>IF(E3632=0,0,INDEX('Планы менеджеров'!$B$5:$M$16,B3632,D3632)/INDEX(Мес_Раб,D3632))</f>
        <v/>
      </c>
    </row>
    <row r="3633">
      <c r="A3633" t="inlineStr">
        <is>
          <t>Семенова</t>
        </is>
      </c>
      <c r="B3633" t="n">
        <v>14</v>
      </c>
      <c r="C3633" s="18">
        <f>'Календарь'!A291</f>
        <v/>
      </c>
      <c r="D3633">
        <f>MONTH(C3633)</f>
        <v/>
      </c>
      <c r="E3633">
        <f>'Календарь'!D291</f>
        <v/>
      </c>
      <c r="F3633">
        <f>INT((C3633-Нед_Начало)/7)+1</f>
        <v/>
      </c>
      <c r="G3633">
        <f>IF(E3633=0,0,INDEX('Планы менеджеров'!$B$5:$M$16,B3633,D3633)/INDEX(Мес_Раб,D3633))</f>
        <v/>
      </c>
    </row>
    <row r="3634">
      <c r="A3634" t="inlineStr">
        <is>
          <t>Семенова</t>
        </is>
      </c>
      <c r="B3634" t="n">
        <v>14</v>
      </c>
      <c r="C3634" s="18">
        <f>'Календарь'!A292</f>
        <v/>
      </c>
      <c r="D3634">
        <f>MONTH(C3634)</f>
        <v/>
      </c>
      <c r="E3634">
        <f>'Календарь'!D292</f>
        <v/>
      </c>
      <c r="F3634">
        <f>INT((C3634-Нед_Начало)/7)+1</f>
        <v/>
      </c>
      <c r="G3634">
        <f>IF(E3634=0,0,INDEX('Планы менеджеров'!$B$5:$M$16,B3634,D3634)/INDEX(Мес_Раб,D3634))</f>
        <v/>
      </c>
    </row>
    <row r="3635">
      <c r="A3635" t="inlineStr">
        <is>
          <t>Семенова</t>
        </is>
      </c>
      <c r="B3635" t="n">
        <v>14</v>
      </c>
      <c r="C3635" s="18">
        <f>'Календарь'!A293</f>
        <v/>
      </c>
      <c r="D3635">
        <f>MONTH(C3635)</f>
        <v/>
      </c>
      <c r="E3635">
        <f>'Календарь'!D293</f>
        <v/>
      </c>
      <c r="F3635">
        <f>INT((C3635-Нед_Начало)/7)+1</f>
        <v/>
      </c>
      <c r="G3635">
        <f>IF(E3635=0,0,INDEX('Планы менеджеров'!$B$5:$M$16,B3635,D3635)/INDEX(Мес_Раб,D3635))</f>
        <v/>
      </c>
    </row>
    <row r="3636">
      <c r="A3636" t="inlineStr">
        <is>
          <t>Семенова</t>
        </is>
      </c>
      <c r="B3636" t="n">
        <v>14</v>
      </c>
      <c r="C3636" s="18">
        <f>'Календарь'!A294</f>
        <v/>
      </c>
      <c r="D3636">
        <f>MONTH(C3636)</f>
        <v/>
      </c>
      <c r="E3636">
        <f>'Календарь'!D294</f>
        <v/>
      </c>
      <c r="F3636">
        <f>INT((C3636-Нед_Начало)/7)+1</f>
        <v/>
      </c>
      <c r="G3636">
        <f>IF(E3636=0,0,INDEX('Планы менеджеров'!$B$5:$M$16,B3636,D3636)/INDEX(Мес_Раб,D3636))</f>
        <v/>
      </c>
    </row>
    <row r="3637">
      <c r="A3637" t="inlineStr">
        <is>
          <t>Семенова</t>
        </is>
      </c>
      <c r="B3637" t="n">
        <v>14</v>
      </c>
      <c r="C3637" s="18">
        <f>'Календарь'!A295</f>
        <v/>
      </c>
      <c r="D3637">
        <f>MONTH(C3637)</f>
        <v/>
      </c>
      <c r="E3637">
        <f>'Календарь'!D295</f>
        <v/>
      </c>
      <c r="F3637">
        <f>INT((C3637-Нед_Начало)/7)+1</f>
        <v/>
      </c>
      <c r="G3637">
        <f>IF(E3637=0,0,INDEX('Планы менеджеров'!$B$5:$M$16,B3637,D3637)/INDEX(Мес_Раб,D3637))</f>
        <v/>
      </c>
    </row>
    <row r="3638">
      <c r="A3638" t="inlineStr">
        <is>
          <t>Семенова</t>
        </is>
      </c>
      <c r="B3638" t="n">
        <v>14</v>
      </c>
      <c r="C3638" s="18">
        <f>'Календарь'!A296</f>
        <v/>
      </c>
      <c r="D3638">
        <f>MONTH(C3638)</f>
        <v/>
      </c>
      <c r="E3638">
        <f>'Календарь'!D296</f>
        <v/>
      </c>
      <c r="F3638">
        <f>INT((C3638-Нед_Начало)/7)+1</f>
        <v/>
      </c>
      <c r="G3638">
        <f>IF(E3638=0,0,INDEX('Планы менеджеров'!$B$5:$M$16,B3638,D3638)/INDEX(Мес_Раб,D3638))</f>
        <v/>
      </c>
    </row>
    <row r="3639">
      <c r="A3639" t="inlineStr">
        <is>
          <t>Семенова</t>
        </is>
      </c>
      <c r="B3639" t="n">
        <v>14</v>
      </c>
      <c r="C3639" s="18">
        <f>'Календарь'!A297</f>
        <v/>
      </c>
      <c r="D3639">
        <f>MONTH(C3639)</f>
        <v/>
      </c>
      <c r="E3639">
        <f>'Календарь'!D297</f>
        <v/>
      </c>
      <c r="F3639">
        <f>INT((C3639-Нед_Начало)/7)+1</f>
        <v/>
      </c>
      <c r="G3639">
        <f>IF(E3639=0,0,INDEX('Планы менеджеров'!$B$5:$M$16,B3639,D3639)/INDEX(Мес_Раб,D3639))</f>
        <v/>
      </c>
    </row>
    <row r="3640">
      <c r="A3640" t="inlineStr">
        <is>
          <t>Семенова</t>
        </is>
      </c>
      <c r="B3640" t="n">
        <v>14</v>
      </c>
      <c r="C3640" s="18">
        <f>'Календарь'!A298</f>
        <v/>
      </c>
      <c r="D3640">
        <f>MONTH(C3640)</f>
        <v/>
      </c>
      <c r="E3640">
        <f>'Календарь'!D298</f>
        <v/>
      </c>
      <c r="F3640">
        <f>INT((C3640-Нед_Начало)/7)+1</f>
        <v/>
      </c>
      <c r="G3640">
        <f>IF(E3640=0,0,INDEX('Планы менеджеров'!$B$5:$M$16,B3640,D3640)/INDEX(Мес_Раб,D3640))</f>
        <v/>
      </c>
    </row>
    <row r="3641">
      <c r="A3641" t="inlineStr">
        <is>
          <t>Семенова</t>
        </is>
      </c>
      <c r="B3641" t="n">
        <v>14</v>
      </c>
      <c r="C3641" s="18">
        <f>'Календарь'!A299</f>
        <v/>
      </c>
      <c r="D3641">
        <f>MONTH(C3641)</f>
        <v/>
      </c>
      <c r="E3641">
        <f>'Календарь'!D299</f>
        <v/>
      </c>
      <c r="F3641">
        <f>INT((C3641-Нед_Начало)/7)+1</f>
        <v/>
      </c>
      <c r="G3641">
        <f>IF(E3641=0,0,INDEX('Планы менеджеров'!$B$5:$M$16,B3641,D3641)/INDEX(Мес_Раб,D3641))</f>
        <v/>
      </c>
    </row>
    <row r="3642">
      <c r="A3642" t="inlineStr">
        <is>
          <t>Семенова</t>
        </is>
      </c>
      <c r="B3642" t="n">
        <v>14</v>
      </c>
      <c r="C3642" s="18">
        <f>'Календарь'!A300</f>
        <v/>
      </c>
      <c r="D3642">
        <f>MONTH(C3642)</f>
        <v/>
      </c>
      <c r="E3642">
        <f>'Календарь'!D300</f>
        <v/>
      </c>
      <c r="F3642">
        <f>INT((C3642-Нед_Начало)/7)+1</f>
        <v/>
      </c>
      <c r="G3642">
        <f>IF(E3642=0,0,INDEX('Планы менеджеров'!$B$5:$M$16,B3642,D3642)/INDEX(Мес_Раб,D3642))</f>
        <v/>
      </c>
    </row>
    <row r="3643">
      <c r="A3643" t="inlineStr">
        <is>
          <t>Семенова</t>
        </is>
      </c>
      <c r="B3643" t="n">
        <v>14</v>
      </c>
      <c r="C3643" s="18">
        <f>'Календарь'!A301</f>
        <v/>
      </c>
      <c r="D3643">
        <f>MONTH(C3643)</f>
        <v/>
      </c>
      <c r="E3643">
        <f>'Календарь'!D301</f>
        <v/>
      </c>
      <c r="F3643">
        <f>INT((C3643-Нед_Начало)/7)+1</f>
        <v/>
      </c>
      <c r="G3643">
        <f>IF(E3643=0,0,INDEX('Планы менеджеров'!$B$5:$M$16,B3643,D3643)/INDEX(Мес_Раб,D3643))</f>
        <v/>
      </c>
    </row>
    <row r="3644">
      <c r="A3644" t="inlineStr">
        <is>
          <t>Семенова</t>
        </is>
      </c>
      <c r="B3644" t="n">
        <v>14</v>
      </c>
      <c r="C3644" s="18">
        <f>'Календарь'!A302</f>
        <v/>
      </c>
      <c r="D3644">
        <f>MONTH(C3644)</f>
        <v/>
      </c>
      <c r="E3644">
        <f>'Календарь'!D302</f>
        <v/>
      </c>
      <c r="F3644">
        <f>INT((C3644-Нед_Начало)/7)+1</f>
        <v/>
      </c>
      <c r="G3644">
        <f>IF(E3644=0,0,INDEX('Планы менеджеров'!$B$5:$M$16,B3644,D3644)/INDEX(Мес_Раб,D3644))</f>
        <v/>
      </c>
    </row>
    <row r="3645">
      <c r="A3645" t="inlineStr">
        <is>
          <t>Семенова</t>
        </is>
      </c>
      <c r="B3645" t="n">
        <v>14</v>
      </c>
      <c r="C3645" s="18">
        <f>'Календарь'!A303</f>
        <v/>
      </c>
      <c r="D3645">
        <f>MONTH(C3645)</f>
        <v/>
      </c>
      <c r="E3645">
        <f>'Календарь'!D303</f>
        <v/>
      </c>
      <c r="F3645">
        <f>INT((C3645-Нед_Начало)/7)+1</f>
        <v/>
      </c>
      <c r="G3645">
        <f>IF(E3645=0,0,INDEX('Планы менеджеров'!$B$5:$M$16,B3645,D3645)/INDEX(Мес_Раб,D3645))</f>
        <v/>
      </c>
    </row>
    <row r="3646">
      <c r="A3646" t="inlineStr">
        <is>
          <t>Семенова</t>
        </is>
      </c>
      <c r="B3646" t="n">
        <v>14</v>
      </c>
      <c r="C3646" s="18">
        <f>'Календарь'!A304</f>
        <v/>
      </c>
      <c r="D3646">
        <f>MONTH(C3646)</f>
        <v/>
      </c>
      <c r="E3646">
        <f>'Календарь'!D304</f>
        <v/>
      </c>
      <c r="F3646">
        <f>INT((C3646-Нед_Начало)/7)+1</f>
        <v/>
      </c>
      <c r="G3646">
        <f>IF(E3646=0,0,INDEX('Планы менеджеров'!$B$5:$M$16,B3646,D3646)/INDEX(Мес_Раб,D3646))</f>
        <v/>
      </c>
    </row>
    <row r="3647">
      <c r="A3647" t="inlineStr">
        <is>
          <t>Семенова</t>
        </is>
      </c>
      <c r="B3647" t="n">
        <v>14</v>
      </c>
      <c r="C3647" s="18">
        <f>'Календарь'!A305</f>
        <v/>
      </c>
      <c r="D3647">
        <f>MONTH(C3647)</f>
        <v/>
      </c>
      <c r="E3647">
        <f>'Календарь'!D305</f>
        <v/>
      </c>
      <c r="F3647">
        <f>INT((C3647-Нед_Начало)/7)+1</f>
        <v/>
      </c>
      <c r="G3647">
        <f>IF(E3647=0,0,INDEX('Планы менеджеров'!$B$5:$M$16,B3647,D3647)/INDEX(Мес_Раб,D3647))</f>
        <v/>
      </c>
    </row>
    <row r="3648">
      <c r="A3648" t="inlineStr">
        <is>
          <t>Семенова</t>
        </is>
      </c>
      <c r="B3648" t="n">
        <v>14</v>
      </c>
      <c r="C3648" s="18">
        <f>'Календарь'!A306</f>
        <v/>
      </c>
      <c r="D3648">
        <f>MONTH(C3648)</f>
        <v/>
      </c>
      <c r="E3648">
        <f>'Календарь'!D306</f>
        <v/>
      </c>
      <c r="F3648">
        <f>INT((C3648-Нед_Начало)/7)+1</f>
        <v/>
      </c>
      <c r="G3648">
        <f>IF(E3648=0,0,INDEX('Планы менеджеров'!$B$5:$M$16,B3648,D3648)/INDEX(Мес_Раб,D3648))</f>
        <v/>
      </c>
    </row>
    <row r="3649">
      <c r="A3649" t="inlineStr">
        <is>
          <t>Семенова</t>
        </is>
      </c>
      <c r="B3649" t="n">
        <v>14</v>
      </c>
      <c r="C3649" s="18">
        <f>'Календарь'!A307</f>
        <v/>
      </c>
      <c r="D3649">
        <f>MONTH(C3649)</f>
        <v/>
      </c>
      <c r="E3649">
        <f>'Календарь'!D307</f>
        <v/>
      </c>
      <c r="F3649">
        <f>INT((C3649-Нед_Начало)/7)+1</f>
        <v/>
      </c>
      <c r="G3649">
        <f>IF(E3649=0,0,INDEX('Планы менеджеров'!$B$5:$M$16,B3649,D3649)/INDEX(Мес_Раб,D3649))</f>
        <v/>
      </c>
    </row>
    <row r="3650">
      <c r="A3650" t="inlineStr">
        <is>
          <t>Семенова</t>
        </is>
      </c>
      <c r="B3650" t="n">
        <v>14</v>
      </c>
      <c r="C3650" s="18">
        <f>'Календарь'!A308</f>
        <v/>
      </c>
      <c r="D3650">
        <f>MONTH(C3650)</f>
        <v/>
      </c>
      <c r="E3650">
        <f>'Календарь'!D308</f>
        <v/>
      </c>
      <c r="F3650">
        <f>INT((C3650-Нед_Начало)/7)+1</f>
        <v/>
      </c>
      <c r="G3650">
        <f>IF(E3650=0,0,INDEX('Планы менеджеров'!$B$5:$M$16,B3650,D3650)/INDEX(Мес_Раб,D3650))</f>
        <v/>
      </c>
    </row>
    <row r="3651">
      <c r="A3651" t="inlineStr">
        <is>
          <t>Семенова</t>
        </is>
      </c>
      <c r="B3651" t="n">
        <v>14</v>
      </c>
      <c r="C3651" s="18">
        <f>'Календарь'!A309</f>
        <v/>
      </c>
      <c r="D3651">
        <f>MONTH(C3651)</f>
        <v/>
      </c>
      <c r="E3651">
        <f>'Календарь'!D309</f>
        <v/>
      </c>
      <c r="F3651">
        <f>INT((C3651-Нед_Начало)/7)+1</f>
        <v/>
      </c>
      <c r="G3651">
        <f>IF(E3651=0,0,INDEX('Планы менеджеров'!$B$5:$M$16,B3651,D3651)/INDEX(Мес_Раб,D3651))</f>
        <v/>
      </c>
    </row>
    <row r="3652">
      <c r="A3652" t="inlineStr">
        <is>
          <t>Семенова</t>
        </is>
      </c>
      <c r="B3652" t="n">
        <v>14</v>
      </c>
      <c r="C3652" s="18">
        <f>'Календарь'!A310</f>
        <v/>
      </c>
      <c r="D3652">
        <f>MONTH(C3652)</f>
        <v/>
      </c>
      <c r="E3652">
        <f>'Календарь'!D310</f>
        <v/>
      </c>
      <c r="F3652">
        <f>INT((C3652-Нед_Начало)/7)+1</f>
        <v/>
      </c>
      <c r="G3652">
        <f>IF(E3652=0,0,INDEX('Планы менеджеров'!$B$5:$M$16,B3652,D3652)/INDEX(Мес_Раб,D3652))</f>
        <v/>
      </c>
    </row>
    <row r="3653">
      <c r="A3653" t="inlineStr">
        <is>
          <t>Семенова</t>
        </is>
      </c>
      <c r="B3653" t="n">
        <v>14</v>
      </c>
      <c r="C3653" s="18">
        <f>'Календарь'!A311</f>
        <v/>
      </c>
      <c r="D3653">
        <f>MONTH(C3653)</f>
        <v/>
      </c>
      <c r="E3653">
        <f>'Календарь'!D311</f>
        <v/>
      </c>
      <c r="F3653">
        <f>INT((C3653-Нед_Начало)/7)+1</f>
        <v/>
      </c>
      <c r="G3653">
        <f>IF(E3653=0,0,INDEX('Планы менеджеров'!$B$5:$M$16,B3653,D3653)/INDEX(Мес_Раб,D3653))</f>
        <v/>
      </c>
    </row>
    <row r="3654">
      <c r="A3654" t="inlineStr">
        <is>
          <t>Семенова</t>
        </is>
      </c>
      <c r="B3654" t="n">
        <v>14</v>
      </c>
      <c r="C3654" s="18">
        <f>'Календарь'!A312</f>
        <v/>
      </c>
      <c r="D3654">
        <f>MONTH(C3654)</f>
        <v/>
      </c>
      <c r="E3654">
        <f>'Календарь'!D312</f>
        <v/>
      </c>
      <c r="F3654">
        <f>INT((C3654-Нед_Начало)/7)+1</f>
        <v/>
      </c>
      <c r="G3654">
        <f>IF(E3654=0,0,INDEX('Планы менеджеров'!$B$5:$M$16,B3654,D3654)/INDEX(Мес_Раб,D3654))</f>
        <v/>
      </c>
    </row>
    <row r="3655">
      <c r="A3655" t="inlineStr">
        <is>
          <t>Семенова</t>
        </is>
      </c>
      <c r="B3655" t="n">
        <v>14</v>
      </c>
      <c r="C3655" s="18">
        <f>'Календарь'!A313</f>
        <v/>
      </c>
      <c r="D3655">
        <f>MONTH(C3655)</f>
        <v/>
      </c>
      <c r="E3655">
        <f>'Календарь'!D313</f>
        <v/>
      </c>
      <c r="F3655">
        <f>INT((C3655-Нед_Начало)/7)+1</f>
        <v/>
      </c>
      <c r="G3655">
        <f>IF(E3655=0,0,INDEX('Планы менеджеров'!$B$5:$M$16,B3655,D3655)/INDEX(Мес_Раб,D3655))</f>
        <v/>
      </c>
    </row>
    <row r="3656">
      <c r="A3656" t="inlineStr">
        <is>
          <t>Семенова</t>
        </is>
      </c>
      <c r="B3656" t="n">
        <v>14</v>
      </c>
      <c r="C3656" s="18">
        <f>'Календарь'!A314</f>
        <v/>
      </c>
      <c r="D3656">
        <f>MONTH(C3656)</f>
        <v/>
      </c>
      <c r="E3656">
        <f>'Календарь'!D314</f>
        <v/>
      </c>
      <c r="F3656">
        <f>INT((C3656-Нед_Начало)/7)+1</f>
        <v/>
      </c>
      <c r="G3656">
        <f>IF(E3656=0,0,INDEX('Планы менеджеров'!$B$5:$M$16,B3656,D3656)/INDEX(Мес_Раб,D3656))</f>
        <v/>
      </c>
    </row>
    <row r="3657">
      <c r="A3657" t="inlineStr">
        <is>
          <t>Семенова</t>
        </is>
      </c>
      <c r="B3657" t="n">
        <v>14</v>
      </c>
      <c r="C3657" s="18">
        <f>'Календарь'!A315</f>
        <v/>
      </c>
      <c r="D3657">
        <f>MONTH(C3657)</f>
        <v/>
      </c>
      <c r="E3657">
        <f>'Календарь'!D315</f>
        <v/>
      </c>
      <c r="F3657">
        <f>INT((C3657-Нед_Начало)/7)+1</f>
        <v/>
      </c>
      <c r="G3657">
        <f>IF(E3657=0,0,INDEX('Планы менеджеров'!$B$5:$M$16,B3657,D3657)/INDEX(Мес_Раб,D3657))</f>
        <v/>
      </c>
    </row>
    <row r="3658">
      <c r="A3658" t="inlineStr">
        <is>
          <t>Семенова</t>
        </is>
      </c>
      <c r="B3658" t="n">
        <v>14</v>
      </c>
      <c r="C3658" s="18">
        <f>'Календарь'!A316</f>
        <v/>
      </c>
      <c r="D3658">
        <f>MONTH(C3658)</f>
        <v/>
      </c>
      <c r="E3658">
        <f>'Календарь'!D316</f>
        <v/>
      </c>
      <c r="F3658">
        <f>INT((C3658-Нед_Начало)/7)+1</f>
        <v/>
      </c>
      <c r="G3658">
        <f>IF(E3658=0,0,INDEX('Планы менеджеров'!$B$5:$M$16,B3658,D3658)/INDEX(Мес_Раб,D3658))</f>
        <v/>
      </c>
    </row>
    <row r="3659">
      <c r="A3659" t="inlineStr">
        <is>
          <t>Семенова</t>
        </is>
      </c>
      <c r="B3659" t="n">
        <v>14</v>
      </c>
      <c r="C3659" s="18">
        <f>'Календарь'!A317</f>
        <v/>
      </c>
      <c r="D3659">
        <f>MONTH(C3659)</f>
        <v/>
      </c>
      <c r="E3659">
        <f>'Календарь'!D317</f>
        <v/>
      </c>
      <c r="F3659">
        <f>INT((C3659-Нед_Начало)/7)+1</f>
        <v/>
      </c>
      <c r="G3659">
        <f>IF(E3659=0,0,INDEX('Планы менеджеров'!$B$5:$M$16,B3659,D3659)/INDEX(Мес_Раб,D3659))</f>
        <v/>
      </c>
    </row>
    <row r="3660">
      <c r="A3660" t="inlineStr">
        <is>
          <t>Семенова</t>
        </is>
      </c>
      <c r="B3660" t="n">
        <v>14</v>
      </c>
      <c r="C3660" s="18">
        <f>'Календарь'!A318</f>
        <v/>
      </c>
      <c r="D3660">
        <f>MONTH(C3660)</f>
        <v/>
      </c>
      <c r="E3660">
        <f>'Календарь'!D318</f>
        <v/>
      </c>
      <c r="F3660">
        <f>INT((C3660-Нед_Начало)/7)+1</f>
        <v/>
      </c>
      <c r="G3660">
        <f>IF(E3660=0,0,INDEX('Планы менеджеров'!$B$5:$M$16,B3660,D3660)/INDEX(Мес_Раб,D3660))</f>
        <v/>
      </c>
    </row>
    <row r="3661">
      <c r="A3661" t="inlineStr">
        <is>
          <t>Семенова</t>
        </is>
      </c>
      <c r="B3661" t="n">
        <v>14</v>
      </c>
      <c r="C3661" s="18">
        <f>'Календарь'!A319</f>
        <v/>
      </c>
      <c r="D3661">
        <f>MONTH(C3661)</f>
        <v/>
      </c>
      <c r="E3661">
        <f>'Календарь'!D319</f>
        <v/>
      </c>
      <c r="F3661">
        <f>INT((C3661-Нед_Начало)/7)+1</f>
        <v/>
      </c>
      <c r="G3661">
        <f>IF(E3661=0,0,INDEX('Планы менеджеров'!$B$5:$M$16,B3661,D3661)/INDEX(Мес_Раб,D3661))</f>
        <v/>
      </c>
    </row>
    <row r="3662">
      <c r="A3662" t="inlineStr">
        <is>
          <t>Семенова</t>
        </is>
      </c>
      <c r="B3662" t="n">
        <v>14</v>
      </c>
      <c r="C3662" s="18">
        <f>'Календарь'!A320</f>
        <v/>
      </c>
      <c r="D3662">
        <f>MONTH(C3662)</f>
        <v/>
      </c>
      <c r="E3662">
        <f>'Календарь'!D320</f>
        <v/>
      </c>
      <c r="F3662">
        <f>INT((C3662-Нед_Начало)/7)+1</f>
        <v/>
      </c>
      <c r="G3662">
        <f>IF(E3662=0,0,INDEX('Планы менеджеров'!$B$5:$M$16,B3662,D3662)/INDEX(Мес_Раб,D3662))</f>
        <v/>
      </c>
    </row>
    <row r="3663">
      <c r="A3663" t="inlineStr">
        <is>
          <t>Семенова</t>
        </is>
      </c>
      <c r="B3663" t="n">
        <v>14</v>
      </c>
      <c r="C3663" s="18">
        <f>'Календарь'!A321</f>
        <v/>
      </c>
      <c r="D3663">
        <f>MONTH(C3663)</f>
        <v/>
      </c>
      <c r="E3663">
        <f>'Календарь'!D321</f>
        <v/>
      </c>
      <c r="F3663">
        <f>INT((C3663-Нед_Начало)/7)+1</f>
        <v/>
      </c>
      <c r="G3663">
        <f>IF(E3663=0,0,INDEX('Планы менеджеров'!$B$5:$M$16,B3663,D3663)/INDEX(Мес_Раб,D3663))</f>
        <v/>
      </c>
    </row>
    <row r="3664">
      <c r="A3664" t="inlineStr">
        <is>
          <t>Семенова</t>
        </is>
      </c>
      <c r="B3664" t="n">
        <v>14</v>
      </c>
      <c r="C3664" s="18">
        <f>'Календарь'!A322</f>
        <v/>
      </c>
      <c r="D3664">
        <f>MONTH(C3664)</f>
        <v/>
      </c>
      <c r="E3664">
        <f>'Календарь'!D322</f>
        <v/>
      </c>
      <c r="F3664">
        <f>INT((C3664-Нед_Начало)/7)+1</f>
        <v/>
      </c>
      <c r="G3664">
        <f>IF(E3664=0,0,INDEX('Планы менеджеров'!$B$5:$M$16,B3664,D3664)/INDEX(Мес_Раб,D3664))</f>
        <v/>
      </c>
    </row>
    <row r="3665">
      <c r="A3665" t="inlineStr">
        <is>
          <t>Семенова</t>
        </is>
      </c>
      <c r="B3665" t="n">
        <v>14</v>
      </c>
      <c r="C3665" s="18">
        <f>'Календарь'!A323</f>
        <v/>
      </c>
      <c r="D3665">
        <f>MONTH(C3665)</f>
        <v/>
      </c>
      <c r="E3665">
        <f>'Календарь'!D323</f>
        <v/>
      </c>
      <c r="F3665">
        <f>INT((C3665-Нед_Начало)/7)+1</f>
        <v/>
      </c>
      <c r="G3665">
        <f>IF(E3665=0,0,INDEX('Планы менеджеров'!$B$5:$M$16,B3665,D3665)/INDEX(Мес_Раб,D3665))</f>
        <v/>
      </c>
    </row>
    <row r="3666">
      <c r="A3666" t="inlineStr">
        <is>
          <t>Семенова</t>
        </is>
      </c>
      <c r="B3666" t="n">
        <v>14</v>
      </c>
      <c r="C3666" s="18">
        <f>'Календарь'!A324</f>
        <v/>
      </c>
      <c r="D3666">
        <f>MONTH(C3666)</f>
        <v/>
      </c>
      <c r="E3666">
        <f>'Календарь'!D324</f>
        <v/>
      </c>
      <c r="F3666">
        <f>INT((C3666-Нед_Начало)/7)+1</f>
        <v/>
      </c>
      <c r="G3666">
        <f>IF(E3666=0,0,INDEX('Планы менеджеров'!$B$5:$M$16,B3666,D3666)/INDEX(Мес_Раб,D3666))</f>
        <v/>
      </c>
    </row>
    <row r="3667">
      <c r="A3667" t="inlineStr">
        <is>
          <t>Семенова</t>
        </is>
      </c>
      <c r="B3667" t="n">
        <v>14</v>
      </c>
      <c r="C3667" s="18">
        <f>'Календарь'!A325</f>
        <v/>
      </c>
      <c r="D3667">
        <f>MONTH(C3667)</f>
        <v/>
      </c>
      <c r="E3667">
        <f>'Календарь'!D325</f>
        <v/>
      </c>
      <c r="F3667">
        <f>INT((C3667-Нед_Начало)/7)+1</f>
        <v/>
      </c>
      <c r="G3667">
        <f>IF(E3667=0,0,INDEX('Планы менеджеров'!$B$5:$M$16,B3667,D3667)/INDEX(Мес_Раб,D3667))</f>
        <v/>
      </c>
    </row>
    <row r="3668">
      <c r="A3668" t="inlineStr">
        <is>
          <t>Семенова</t>
        </is>
      </c>
      <c r="B3668" t="n">
        <v>14</v>
      </c>
      <c r="C3668" s="18">
        <f>'Календарь'!A326</f>
        <v/>
      </c>
      <c r="D3668">
        <f>MONTH(C3668)</f>
        <v/>
      </c>
      <c r="E3668">
        <f>'Календарь'!D326</f>
        <v/>
      </c>
      <c r="F3668">
        <f>INT((C3668-Нед_Начало)/7)+1</f>
        <v/>
      </c>
      <c r="G3668">
        <f>IF(E3668=0,0,INDEX('Планы менеджеров'!$B$5:$M$16,B3668,D3668)/INDEX(Мес_Раб,D3668))</f>
        <v/>
      </c>
    </row>
    <row r="3669">
      <c r="A3669" t="inlineStr">
        <is>
          <t>Семенова</t>
        </is>
      </c>
      <c r="B3669" t="n">
        <v>14</v>
      </c>
      <c r="C3669" s="18">
        <f>'Календарь'!A327</f>
        <v/>
      </c>
      <c r="D3669">
        <f>MONTH(C3669)</f>
        <v/>
      </c>
      <c r="E3669">
        <f>'Календарь'!D327</f>
        <v/>
      </c>
      <c r="F3669">
        <f>INT((C3669-Нед_Начало)/7)+1</f>
        <v/>
      </c>
      <c r="G3669">
        <f>IF(E3669=0,0,INDEX('Планы менеджеров'!$B$5:$M$16,B3669,D3669)/INDEX(Мес_Раб,D3669))</f>
        <v/>
      </c>
    </row>
    <row r="3670">
      <c r="A3670" t="inlineStr">
        <is>
          <t>Семенова</t>
        </is>
      </c>
      <c r="B3670" t="n">
        <v>14</v>
      </c>
      <c r="C3670" s="18">
        <f>'Календарь'!A328</f>
        <v/>
      </c>
      <c r="D3670">
        <f>MONTH(C3670)</f>
        <v/>
      </c>
      <c r="E3670">
        <f>'Календарь'!D328</f>
        <v/>
      </c>
      <c r="F3670">
        <f>INT((C3670-Нед_Начало)/7)+1</f>
        <v/>
      </c>
      <c r="G3670">
        <f>IF(E3670=0,0,INDEX('Планы менеджеров'!$B$5:$M$16,B3670,D3670)/INDEX(Мес_Раб,D3670))</f>
        <v/>
      </c>
    </row>
    <row r="3671">
      <c r="A3671" t="inlineStr">
        <is>
          <t>Семенова</t>
        </is>
      </c>
      <c r="B3671" t="n">
        <v>14</v>
      </c>
      <c r="C3671" s="18">
        <f>'Календарь'!A329</f>
        <v/>
      </c>
      <c r="D3671">
        <f>MONTH(C3671)</f>
        <v/>
      </c>
      <c r="E3671">
        <f>'Календарь'!D329</f>
        <v/>
      </c>
      <c r="F3671">
        <f>INT((C3671-Нед_Начало)/7)+1</f>
        <v/>
      </c>
      <c r="G3671">
        <f>IF(E3671=0,0,INDEX('Планы менеджеров'!$B$5:$M$16,B3671,D3671)/INDEX(Мес_Раб,D3671))</f>
        <v/>
      </c>
    </row>
    <row r="3672">
      <c r="A3672" t="inlineStr">
        <is>
          <t>Семенова</t>
        </is>
      </c>
      <c r="B3672" t="n">
        <v>14</v>
      </c>
      <c r="C3672" s="18">
        <f>'Календарь'!A330</f>
        <v/>
      </c>
      <c r="D3672">
        <f>MONTH(C3672)</f>
        <v/>
      </c>
      <c r="E3672">
        <f>'Календарь'!D330</f>
        <v/>
      </c>
      <c r="F3672">
        <f>INT((C3672-Нед_Начало)/7)+1</f>
        <v/>
      </c>
      <c r="G3672">
        <f>IF(E3672=0,0,INDEX('Планы менеджеров'!$B$5:$M$16,B3672,D3672)/INDEX(Мес_Раб,D3672))</f>
        <v/>
      </c>
    </row>
    <row r="3673">
      <c r="A3673" t="inlineStr">
        <is>
          <t>Семенова</t>
        </is>
      </c>
      <c r="B3673" t="n">
        <v>14</v>
      </c>
      <c r="C3673" s="18">
        <f>'Календарь'!A331</f>
        <v/>
      </c>
      <c r="D3673">
        <f>MONTH(C3673)</f>
        <v/>
      </c>
      <c r="E3673">
        <f>'Календарь'!D331</f>
        <v/>
      </c>
      <c r="F3673">
        <f>INT((C3673-Нед_Начало)/7)+1</f>
        <v/>
      </c>
      <c r="G3673">
        <f>IF(E3673=0,0,INDEX('Планы менеджеров'!$B$5:$M$16,B3673,D3673)/INDEX(Мес_Раб,D3673))</f>
        <v/>
      </c>
    </row>
    <row r="3674">
      <c r="A3674" t="inlineStr">
        <is>
          <t>Семенова</t>
        </is>
      </c>
      <c r="B3674" t="n">
        <v>14</v>
      </c>
      <c r="C3674" s="18">
        <f>'Календарь'!A332</f>
        <v/>
      </c>
      <c r="D3674">
        <f>MONTH(C3674)</f>
        <v/>
      </c>
      <c r="E3674">
        <f>'Календарь'!D332</f>
        <v/>
      </c>
      <c r="F3674">
        <f>INT((C3674-Нед_Начало)/7)+1</f>
        <v/>
      </c>
      <c r="G3674">
        <f>IF(E3674=0,0,INDEX('Планы менеджеров'!$B$5:$M$16,B3674,D3674)/INDEX(Мес_Раб,D3674))</f>
        <v/>
      </c>
    </row>
    <row r="3675">
      <c r="A3675" t="inlineStr">
        <is>
          <t>Семенова</t>
        </is>
      </c>
      <c r="B3675" t="n">
        <v>14</v>
      </c>
      <c r="C3675" s="18">
        <f>'Календарь'!A333</f>
        <v/>
      </c>
      <c r="D3675">
        <f>MONTH(C3675)</f>
        <v/>
      </c>
      <c r="E3675">
        <f>'Календарь'!D333</f>
        <v/>
      </c>
      <c r="F3675">
        <f>INT((C3675-Нед_Начало)/7)+1</f>
        <v/>
      </c>
      <c r="G3675">
        <f>IF(E3675=0,0,INDEX('Планы менеджеров'!$B$5:$M$16,B3675,D3675)/INDEX(Мес_Раб,D3675))</f>
        <v/>
      </c>
    </row>
    <row r="3676">
      <c r="A3676" t="inlineStr">
        <is>
          <t>Семенова</t>
        </is>
      </c>
      <c r="B3676" t="n">
        <v>14</v>
      </c>
      <c r="C3676" s="18">
        <f>'Календарь'!A334</f>
        <v/>
      </c>
      <c r="D3676">
        <f>MONTH(C3676)</f>
        <v/>
      </c>
      <c r="E3676">
        <f>'Календарь'!D334</f>
        <v/>
      </c>
      <c r="F3676">
        <f>INT((C3676-Нед_Начало)/7)+1</f>
        <v/>
      </c>
      <c r="G3676">
        <f>IF(E3676=0,0,INDEX('Планы менеджеров'!$B$5:$M$16,B3676,D3676)/INDEX(Мес_Раб,D3676))</f>
        <v/>
      </c>
    </row>
    <row r="3677">
      <c r="A3677" t="inlineStr">
        <is>
          <t>Семенова</t>
        </is>
      </c>
      <c r="B3677" t="n">
        <v>14</v>
      </c>
      <c r="C3677" s="18">
        <f>'Календарь'!A335</f>
        <v/>
      </c>
      <c r="D3677">
        <f>MONTH(C3677)</f>
        <v/>
      </c>
      <c r="E3677">
        <f>'Календарь'!D335</f>
        <v/>
      </c>
      <c r="F3677">
        <f>INT((C3677-Нед_Начало)/7)+1</f>
        <v/>
      </c>
      <c r="G3677">
        <f>IF(E3677=0,0,INDEX('Планы менеджеров'!$B$5:$M$16,B3677,D3677)/INDEX(Мес_Раб,D3677))</f>
        <v/>
      </c>
    </row>
    <row r="3678">
      <c r="A3678" t="inlineStr">
        <is>
          <t>Семенова</t>
        </is>
      </c>
      <c r="B3678" t="n">
        <v>14</v>
      </c>
      <c r="C3678" s="18">
        <f>'Календарь'!A336</f>
        <v/>
      </c>
      <c r="D3678">
        <f>MONTH(C3678)</f>
        <v/>
      </c>
      <c r="E3678">
        <f>'Календарь'!D336</f>
        <v/>
      </c>
      <c r="F3678">
        <f>INT((C3678-Нед_Начало)/7)+1</f>
        <v/>
      </c>
      <c r="G3678">
        <f>IF(E3678=0,0,INDEX('Планы менеджеров'!$B$5:$M$16,B3678,D3678)/INDEX(Мес_Раб,D3678))</f>
        <v/>
      </c>
    </row>
    <row r="3679">
      <c r="A3679" t="inlineStr">
        <is>
          <t>Семенова</t>
        </is>
      </c>
      <c r="B3679" t="n">
        <v>14</v>
      </c>
      <c r="C3679" s="18">
        <f>'Календарь'!A337</f>
        <v/>
      </c>
      <c r="D3679">
        <f>MONTH(C3679)</f>
        <v/>
      </c>
      <c r="E3679">
        <f>'Календарь'!D337</f>
        <v/>
      </c>
      <c r="F3679">
        <f>INT((C3679-Нед_Начало)/7)+1</f>
        <v/>
      </c>
      <c r="G3679">
        <f>IF(E3679=0,0,INDEX('Планы менеджеров'!$B$5:$M$16,B3679,D3679)/INDEX(Мес_Раб,D3679))</f>
        <v/>
      </c>
    </row>
    <row r="3680">
      <c r="A3680" t="inlineStr">
        <is>
          <t>Семенова</t>
        </is>
      </c>
      <c r="B3680" t="n">
        <v>14</v>
      </c>
      <c r="C3680" s="18">
        <f>'Календарь'!A338</f>
        <v/>
      </c>
      <c r="D3680">
        <f>MONTH(C3680)</f>
        <v/>
      </c>
      <c r="E3680">
        <f>'Календарь'!D338</f>
        <v/>
      </c>
      <c r="F3680">
        <f>INT((C3680-Нед_Начало)/7)+1</f>
        <v/>
      </c>
      <c r="G3680">
        <f>IF(E3680=0,0,INDEX('Планы менеджеров'!$B$5:$M$16,B3680,D3680)/INDEX(Мес_Раб,D3680))</f>
        <v/>
      </c>
    </row>
    <row r="3681">
      <c r="A3681" t="inlineStr">
        <is>
          <t>Семенова</t>
        </is>
      </c>
      <c r="B3681" t="n">
        <v>14</v>
      </c>
      <c r="C3681" s="18">
        <f>'Календарь'!A339</f>
        <v/>
      </c>
      <c r="D3681">
        <f>MONTH(C3681)</f>
        <v/>
      </c>
      <c r="E3681">
        <f>'Календарь'!D339</f>
        <v/>
      </c>
      <c r="F3681">
        <f>INT((C3681-Нед_Начало)/7)+1</f>
        <v/>
      </c>
      <c r="G3681">
        <f>IF(E3681=0,0,INDEX('Планы менеджеров'!$B$5:$M$16,B3681,D3681)/INDEX(Мес_Раб,D3681))</f>
        <v/>
      </c>
    </row>
    <row r="3682">
      <c r="A3682" t="inlineStr">
        <is>
          <t>Семенова</t>
        </is>
      </c>
      <c r="B3682" t="n">
        <v>14</v>
      </c>
      <c r="C3682" s="18">
        <f>'Календарь'!A340</f>
        <v/>
      </c>
      <c r="D3682">
        <f>MONTH(C3682)</f>
        <v/>
      </c>
      <c r="E3682">
        <f>'Календарь'!D340</f>
        <v/>
      </c>
      <c r="F3682">
        <f>INT((C3682-Нед_Начало)/7)+1</f>
        <v/>
      </c>
      <c r="G3682">
        <f>IF(E3682=0,0,INDEX('Планы менеджеров'!$B$5:$M$16,B3682,D3682)/INDEX(Мес_Раб,D3682))</f>
        <v/>
      </c>
    </row>
    <row r="3683">
      <c r="A3683" t="inlineStr">
        <is>
          <t>Семенова</t>
        </is>
      </c>
      <c r="B3683" t="n">
        <v>14</v>
      </c>
      <c r="C3683" s="18">
        <f>'Календарь'!A341</f>
        <v/>
      </c>
      <c r="D3683">
        <f>MONTH(C3683)</f>
        <v/>
      </c>
      <c r="E3683">
        <f>'Календарь'!D341</f>
        <v/>
      </c>
      <c r="F3683">
        <f>INT((C3683-Нед_Начало)/7)+1</f>
        <v/>
      </c>
      <c r="G3683">
        <f>IF(E3683=0,0,INDEX('Планы менеджеров'!$B$5:$M$16,B3683,D3683)/INDEX(Мес_Раб,D3683))</f>
        <v/>
      </c>
    </row>
    <row r="3684">
      <c r="A3684" t="inlineStr">
        <is>
          <t>Семенова</t>
        </is>
      </c>
      <c r="B3684" t="n">
        <v>14</v>
      </c>
      <c r="C3684" s="18">
        <f>'Календарь'!A342</f>
        <v/>
      </c>
      <c r="D3684">
        <f>MONTH(C3684)</f>
        <v/>
      </c>
      <c r="E3684">
        <f>'Календарь'!D342</f>
        <v/>
      </c>
      <c r="F3684">
        <f>INT((C3684-Нед_Начало)/7)+1</f>
        <v/>
      </c>
      <c r="G3684">
        <f>IF(E3684=0,0,INDEX('Планы менеджеров'!$B$5:$M$16,B3684,D3684)/INDEX(Мес_Раб,D3684))</f>
        <v/>
      </c>
    </row>
    <row r="3685">
      <c r="A3685" t="inlineStr">
        <is>
          <t>Семенова</t>
        </is>
      </c>
      <c r="B3685" t="n">
        <v>14</v>
      </c>
      <c r="C3685" s="18">
        <f>'Календарь'!A343</f>
        <v/>
      </c>
      <c r="D3685">
        <f>MONTH(C3685)</f>
        <v/>
      </c>
      <c r="E3685">
        <f>'Календарь'!D343</f>
        <v/>
      </c>
      <c r="F3685">
        <f>INT((C3685-Нед_Начало)/7)+1</f>
        <v/>
      </c>
      <c r="G3685">
        <f>IF(E3685=0,0,INDEX('Планы менеджеров'!$B$5:$M$16,B3685,D3685)/INDEX(Мес_Раб,D3685))</f>
        <v/>
      </c>
    </row>
    <row r="3686">
      <c r="A3686" t="inlineStr">
        <is>
          <t>Семенова</t>
        </is>
      </c>
      <c r="B3686" t="n">
        <v>14</v>
      </c>
      <c r="C3686" s="18">
        <f>'Календарь'!A344</f>
        <v/>
      </c>
      <c r="D3686">
        <f>MONTH(C3686)</f>
        <v/>
      </c>
      <c r="E3686">
        <f>'Календарь'!D344</f>
        <v/>
      </c>
      <c r="F3686">
        <f>INT((C3686-Нед_Начало)/7)+1</f>
        <v/>
      </c>
      <c r="G3686">
        <f>IF(E3686=0,0,INDEX('Планы менеджеров'!$B$5:$M$16,B3686,D3686)/INDEX(Мес_Раб,D3686))</f>
        <v/>
      </c>
    </row>
    <row r="3687">
      <c r="A3687" t="inlineStr">
        <is>
          <t>Семенова</t>
        </is>
      </c>
      <c r="B3687" t="n">
        <v>14</v>
      </c>
      <c r="C3687" s="18">
        <f>'Календарь'!A345</f>
        <v/>
      </c>
      <c r="D3687">
        <f>MONTH(C3687)</f>
        <v/>
      </c>
      <c r="E3687">
        <f>'Календарь'!D345</f>
        <v/>
      </c>
      <c r="F3687">
        <f>INT((C3687-Нед_Начало)/7)+1</f>
        <v/>
      </c>
      <c r="G3687">
        <f>IF(E3687=0,0,INDEX('Планы менеджеров'!$B$5:$M$16,B3687,D3687)/INDEX(Мес_Раб,D3687))</f>
        <v/>
      </c>
    </row>
    <row r="3688">
      <c r="A3688" t="inlineStr">
        <is>
          <t>Семенова</t>
        </is>
      </c>
      <c r="B3688" t="n">
        <v>14</v>
      </c>
      <c r="C3688" s="18">
        <f>'Календарь'!A346</f>
        <v/>
      </c>
      <c r="D3688">
        <f>MONTH(C3688)</f>
        <v/>
      </c>
      <c r="E3688">
        <f>'Календарь'!D346</f>
        <v/>
      </c>
      <c r="F3688">
        <f>INT((C3688-Нед_Начало)/7)+1</f>
        <v/>
      </c>
      <c r="G3688">
        <f>IF(E3688=0,0,INDEX('Планы менеджеров'!$B$5:$M$16,B3688,D3688)/INDEX(Мес_Раб,D3688))</f>
        <v/>
      </c>
    </row>
    <row r="3689">
      <c r="A3689" t="inlineStr">
        <is>
          <t>Семенова</t>
        </is>
      </c>
      <c r="B3689" t="n">
        <v>14</v>
      </c>
      <c r="C3689" s="18">
        <f>'Календарь'!A347</f>
        <v/>
      </c>
      <c r="D3689">
        <f>MONTH(C3689)</f>
        <v/>
      </c>
      <c r="E3689">
        <f>'Календарь'!D347</f>
        <v/>
      </c>
      <c r="F3689">
        <f>INT((C3689-Нед_Начало)/7)+1</f>
        <v/>
      </c>
      <c r="G3689">
        <f>IF(E3689=0,0,INDEX('Планы менеджеров'!$B$5:$M$16,B3689,D3689)/INDEX(Мес_Раб,D3689))</f>
        <v/>
      </c>
    </row>
    <row r="3690">
      <c r="A3690" t="inlineStr">
        <is>
          <t>Семенова</t>
        </is>
      </c>
      <c r="B3690" t="n">
        <v>14</v>
      </c>
      <c r="C3690" s="18">
        <f>'Календарь'!A348</f>
        <v/>
      </c>
      <c r="D3690">
        <f>MONTH(C3690)</f>
        <v/>
      </c>
      <c r="E3690">
        <f>'Календарь'!D348</f>
        <v/>
      </c>
      <c r="F3690">
        <f>INT((C3690-Нед_Начало)/7)+1</f>
        <v/>
      </c>
      <c r="G3690">
        <f>IF(E3690=0,0,INDEX('Планы менеджеров'!$B$5:$M$16,B3690,D3690)/INDEX(Мес_Раб,D3690))</f>
        <v/>
      </c>
    </row>
    <row r="3691">
      <c r="A3691" t="inlineStr">
        <is>
          <t>Семенова</t>
        </is>
      </c>
      <c r="B3691" t="n">
        <v>14</v>
      </c>
      <c r="C3691" s="18">
        <f>'Календарь'!A349</f>
        <v/>
      </c>
      <c r="D3691">
        <f>MONTH(C3691)</f>
        <v/>
      </c>
      <c r="E3691">
        <f>'Календарь'!D349</f>
        <v/>
      </c>
      <c r="F3691">
        <f>INT((C3691-Нед_Начало)/7)+1</f>
        <v/>
      </c>
      <c r="G3691">
        <f>IF(E3691=0,0,INDEX('Планы менеджеров'!$B$5:$M$16,B3691,D3691)/INDEX(Мес_Раб,D3691))</f>
        <v/>
      </c>
    </row>
    <row r="3692">
      <c r="A3692" t="inlineStr">
        <is>
          <t>Семенова</t>
        </is>
      </c>
      <c r="B3692" t="n">
        <v>14</v>
      </c>
      <c r="C3692" s="18">
        <f>'Календарь'!A350</f>
        <v/>
      </c>
      <c r="D3692">
        <f>MONTH(C3692)</f>
        <v/>
      </c>
      <c r="E3692">
        <f>'Календарь'!D350</f>
        <v/>
      </c>
      <c r="F3692">
        <f>INT((C3692-Нед_Начало)/7)+1</f>
        <v/>
      </c>
      <c r="G3692">
        <f>IF(E3692=0,0,INDEX('Планы менеджеров'!$B$5:$M$16,B3692,D3692)/INDEX(Мес_Раб,D3692))</f>
        <v/>
      </c>
    </row>
    <row r="3693">
      <c r="A3693" t="inlineStr">
        <is>
          <t>Семенова</t>
        </is>
      </c>
      <c r="B3693" t="n">
        <v>14</v>
      </c>
      <c r="C3693" s="18">
        <f>'Календарь'!A351</f>
        <v/>
      </c>
      <c r="D3693">
        <f>MONTH(C3693)</f>
        <v/>
      </c>
      <c r="E3693">
        <f>'Календарь'!D351</f>
        <v/>
      </c>
      <c r="F3693">
        <f>INT((C3693-Нед_Начало)/7)+1</f>
        <v/>
      </c>
      <c r="G3693">
        <f>IF(E3693=0,0,INDEX('Планы менеджеров'!$B$5:$M$16,B3693,D3693)/INDEX(Мес_Раб,D3693))</f>
        <v/>
      </c>
    </row>
    <row r="3694">
      <c r="A3694" t="inlineStr">
        <is>
          <t>Семенова</t>
        </is>
      </c>
      <c r="B3694" t="n">
        <v>14</v>
      </c>
      <c r="C3694" s="18">
        <f>'Календарь'!A352</f>
        <v/>
      </c>
      <c r="D3694">
        <f>MONTH(C3694)</f>
        <v/>
      </c>
      <c r="E3694">
        <f>'Календарь'!D352</f>
        <v/>
      </c>
      <c r="F3694">
        <f>INT((C3694-Нед_Начало)/7)+1</f>
        <v/>
      </c>
      <c r="G3694">
        <f>IF(E3694=0,0,INDEX('Планы менеджеров'!$B$5:$M$16,B3694,D3694)/INDEX(Мес_Раб,D3694))</f>
        <v/>
      </c>
    </row>
    <row r="3695">
      <c r="A3695" t="inlineStr">
        <is>
          <t>Семенова</t>
        </is>
      </c>
      <c r="B3695" t="n">
        <v>14</v>
      </c>
      <c r="C3695" s="18">
        <f>'Календарь'!A353</f>
        <v/>
      </c>
      <c r="D3695">
        <f>MONTH(C3695)</f>
        <v/>
      </c>
      <c r="E3695">
        <f>'Календарь'!D353</f>
        <v/>
      </c>
      <c r="F3695">
        <f>INT((C3695-Нед_Начало)/7)+1</f>
        <v/>
      </c>
      <c r="G3695">
        <f>IF(E3695=0,0,INDEX('Планы менеджеров'!$B$5:$M$16,B3695,D3695)/INDEX(Мес_Раб,D3695))</f>
        <v/>
      </c>
    </row>
    <row r="3696">
      <c r="A3696" t="inlineStr">
        <is>
          <t>Семенова</t>
        </is>
      </c>
      <c r="B3696" t="n">
        <v>14</v>
      </c>
      <c r="C3696" s="18">
        <f>'Календарь'!A354</f>
        <v/>
      </c>
      <c r="D3696">
        <f>MONTH(C3696)</f>
        <v/>
      </c>
      <c r="E3696">
        <f>'Календарь'!D354</f>
        <v/>
      </c>
      <c r="F3696">
        <f>INT((C3696-Нед_Начало)/7)+1</f>
        <v/>
      </c>
      <c r="G3696">
        <f>IF(E3696=0,0,INDEX('Планы менеджеров'!$B$5:$M$16,B3696,D3696)/INDEX(Мес_Раб,D3696))</f>
        <v/>
      </c>
    </row>
    <row r="3697">
      <c r="A3697" t="inlineStr">
        <is>
          <t>Семенова</t>
        </is>
      </c>
      <c r="B3697" t="n">
        <v>14</v>
      </c>
      <c r="C3697" s="18">
        <f>'Календарь'!A355</f>
        <v/>
      </c>
      <c r="D3697">
        <f>MONTH(C3697)</f>
        <v/>
      </c>
      <c r="E3697">
        <f>'Календарь'!D355</f>
        <v/>
      </c>
      <c r="F3697">
        <f>INT((C3697-Нед_Начало)/7)+1</f>
        <v/>
      </c>
      <c r="G3697">
        <f>IF(E3697=0,0,INDEX('Планы менеджеров'!$B$5:$M$16,B3697,D3697)/INDEX(Мес_Раб,D3697))</f>
        <v/>
      </c>
    </row>
    <row r="3698">
      <c r="A3698" t="inlineStr">
        <is>
          <t>Семенова</t>
        </is>
      </c>
      <c r="B3698" t="n">
        <v>14</v>
      </c>
      <c r="C3698" s="18">
        <f>'Календарь'!A356</f>
        <v/>
      </c>
      <c r="D3698">
        <f>MONTH(C3698)</f>
        <v/>
      </c>
      <c r="E3698">
        <f>'Календарь'!D356</f>
        <v/>
      </c>
      <c r="F3698">
        <f>INT((C3698-Нед_Начало)/7)+1</f>
        <v/>
      </c>
      <c r="G3698">
        <f>IF(E3698=0,0,INDEX('Планы менеджеров'!$B$5:$M$16,B3698,D3698)/INDEX(Мес_Раб,D3698))</f>
        <v/>
      </c>
    </row>
    <row r="3699">
      <c r="A3699" t="inlineStr">
        <is>
          <t>Семенова</t>
        </is>
      </c>
      <c r="B3699" t="n">
        <v>14</v>
      </c>
      <c r="C3699" s="18">
        <f>'Календарь'!A357</f>
        <v/>
      </c>
      <c r="D3699">
        <f>MONTH(C3699)</f>
        <v/>
      </c>
      <c r="E3699">
        <f>'Календарь'!D357</f>
        <v/>
      </c>
      <c r="F3699">
        <f>INT((C3699-Нед_Начало)/7)+1</f>
        <v/>
      </c>
      <c r="G3699">
        <f>IF(E3699=0,0,INDEX('Планы менеджеров'!$B$5:$M$16,B3699,D3699)/INDEX(Мес_Раб,D3699))</f>
        <v/>
      </c>
    </row>
    <row r="3700">
      <c r="A3700" t="inlineStr">
        <is>
          <t>Семенова</t>
        </is>
      </c>
      <c r="B3700" t="n">
        <v>14</v>
      </c>
      <c r="C3700" s="18">
        <f>'Календарь'!A358</f>
        <v/>
      </c>
      <c r="D3700">
        <f>MONTH(C3700)</f>
        <v/>
      </c>
      <c r="E3700">
        <f>'Календарь'!D358</f>
        <v/>
      </c>
      <c r="F3700">
        <f>INT((C3700-Нед_Начало)/7)+1</f>
        <v/>
      </c>
      <c r="G3700">
        <f>IF(E3700=0,0,INDEX('Планы менеджеров'!$B$5:$M$16,B3700,D3700)/INDEX(Мес_Раб,D3700))</f>
        <v/>
      </c>
    </row>
    <row r="3701">
      <c r="A3701" t="inlineStr">
        <is>
          <t>Семенова</t>
        </is>
      </c>
      <c r="B3701" t="n">
        <v>14</v>
      </c>
      <c r="C3701" s="18">
        <f>'Календарь'!A359</f>
        <v/>
      </c>
      <c r="D3701">
        <f>MONTH(C3701)</f>
        <v/>
      </c>
      <c r="E3701">
        <f>'Календарь'!D359</f>
        <v/>
      </c>
      <c r="F3701">
        <f>INT((C3701-Нед_Начало)/7)+1</f>
        <v/>
      </c>
      <c r="G3701">
        <f>IF(E3701=0,0,INDEX('Планы менеджеров'!$B$5:$M$16,B3701,D3701)/INDEX(Мес_Раб,D3701))</f>
        <v/>
      </c>
    </row>
    <row r="3702">
      <c r="A3702" t="inlineStr">
        <is>
          <t>Семенова</t>
        </is>
      </c>
      <c r="B3702" t="n">
        <v>14</v>
      </c>
      <c r="C3702" s="18">
        <f>'Календарь'!A360</f>
        <v/>
      </c>
      <c r="D3702">
        <f>MONTH(C3702)</f>
        <v/>
      </c>
      <c r="E3702">
        <f>'Календарь'!D360</f>
        <v/>
      </c>
      <c r="F3702">
        <f>INT((C3702-Нед_Начало)/7)+1</f>
        <v/>
      </c>
      <c r="G3702">
        <f>IF(E3702=0,0,INDEX('Планы менеджеров'!$B$5:$M$16,B3702,D3702)/INDEX(Мес_Раб,D3702))</f>
        <v/>
      </c>
    </row>
    <row r="3703">
      <c r="A3703" t="inlineStr">
        <is>
          <t>Семенова</t>
        </is>
      </c>
      <c r="B3703" t="n">
        <v>14</v>
      </c>
      <c r="C3703" s="18">
        <f>'Календарь'!A361</f>
        <v/>
      </c>
      <c r="D3703">
        <f>MONTH(C3703)</f>
        <v/>
      </c>
      <c r="E3703">
        <f>'Календарь'!D361</f>
        <v/>
      </c>
      <c r="F3703">
        <f>INT((C3703-Нед_Начало)/7)+1</f>
        <v/>
      </c>
      <c r="G3703">
        <f>IF(E3703=0,0,INDEX('Планы менеджеров'!$B$5:$M$16,B3703,D3703)/INDEX(Мес_Раб,D3703))</f>
        <v/>
      </c>
    </row>
    <row r="3704">
      <c r="A3704" t="inlineStr">
        <is>
          <t>Семенова</t>
        </is>
      </c>
      <c r="B3704" t="n">
        <v>14</v>
      </c>
      <c r="C3704" s="18">
        <f>'Календарь'!A362</f>
        <v/>
      </c>
      <c r="D3704">
        <f>MONTH(C3704)</f>
        <v/>
      </c>
      <c r="E3704">
        <f>'Календарь'!D362</f>
        <v/>
      </c>
      <c r="F3704">
        <f>INT((C3704-Нед_Начало)/7)+1</f>
        <v/>
      </c>
      <c r="G3704">
        <f>IF(E3704=0,0,INDEX('Планы менеджеров'!$B$5:$M$16,B3704,D3704)/INDEX(Мес_Раб,D3704))</f>
        <v/>
      </c>
    </row>
    <row r="3705">
      <c r="A3705" t="inlineStr">
        <is>
          <t>Семенова</t>
        </is>
      </c>
      <c r="B3705" t="n">
        <v>14</v>
      </c>
      <c r="C3705" s="18">
        <f>'Календарь'!A363</f>
        <v/>
      </c>
      <c r="D3705">
        <f>MONTH(C3705)</f>
        <v/>
      </c>
      <c r="E3705">
        <f>'Календарь'!D363</f>
        <v/>
      </c>
      <c r="F3705">
        <f>INT((C3705-Нед_Начало)/7)+1</f>
        <v/>
      </c>
      <c r="G3705">
        <f>IF(E3705=0,0,INDEX('Планы менеджеров'!$B$5:$M$16,B3705,D3705)/INDEX(Мес_Раб,D3705))</f>
        <v/>
      </c>
    </row>
    <row r="3706">
      <c r="A3706" t="inlineStr">
        <is>
          <t>Семенова</t>
        </is>
      </c>
      <c r="B3706" t="n">
        <v>14</v>
      </c>
      <c r="C3706" s="18">
        <f>'Календарь'!A364</f>
        <v/>
      </c>
      <c r="D3706">
        <f>MONTH(C3706)</f>
        <v/>
      </c>
      <c r="E3706">
        <f>'Календарь'!D364</f>
        <v/>
      </c>
      <c r="F3706">
        <f>INT((C3706-Нед_Начало)/7)+1</f>
        <v/>
      </c>
      <c r="G3706">
        <f>IF(E3706=0,0,INDEX('Планы менеджеров'!$B$5:$M$16,B3706,D3706)/INDEX(Мес_Раб,D3706))</f>
        <v/>
      </c>
    </row>
    <row r="3707">
      <c r="A3707" t="inlineStr">
        <is>
          <t>Семенова</t>
        </is>
      </c>
      <c r="B3707" t="n">
        <v>14</v>
      </c>
      <c r="C3707" s="18">
        <f>'Календарь'!A365</f>
        <v/>
      </c>
      <c r="D3707">
        <f>MONTH(C3707)</f>
        <v/>
      </c>
      <c r="E3707">
        <f>'Календарь'!D365</f>
        <v/>
      </c>
      <c r="F3707">
        <f>INT((C3707-Нед_Начало)/7)+1</f>
        <v/>
      </c>
      <c r="G3707">
        <f>IF(E3707=0,0,INDEX('Планы менеджеров'!$B$5:$M$16,B3707,D3707)/INDEX(Мес_Раб,D3707))</f>
        <v/>
      </c>
    </row>
    <row r="3708">
      <c r="A3708" t="inlineStr">
        <is>
          <t>Семенова</t>
        </is>
      </c>
      <c r="B3708" t="n">
        <v>14</v>
      </c>
      <c r="C3708" s="18">
        <f>'Календарь'!A366</f>
        <v/>
      </c>
      <c r="D3708">
        <f>MONTH(C3708)</f>
        <v/>
      </c>
      <c r="E3708">
        <f>'Календарь'!D366</f>
        <v/>
      </c>
      <c r="F3708">
        <f>INT((C3708-Нед_Начало)/7)+1</f>
        <v/>
      </c>
      <c r="G3708">
        <f>IF(E3708=0,0,INDEX('Планы менеджеров'!$B$5:$M$16,B3708,D3708)/INDEX(Мес_Раб,D3708))</f>
        <v/>
      </c>
    </row>
    <row r="3709">
      <c r="A3709" t="inlineStr">
        <is>
          <t>Семенова</t>
        </is>
      </c>
      <c r="B3709" t="n">
        <v>14</v>
      </c>
      <c r="C3709" s="18">
        <f>'Календарь'!A367</f>
        <v/>
      </c>
      <c r="D3709">
        <f>MONTH(C3709)</f>
        <v/>
      </c>
      <c r="E3709">
        <f>'Календарь'!D367</f>
        <v/>
      </c>
      <c r="F3709">
        <f>INT((C3709-Нед_Начало)/7)+1</f>
        <v/>
      </c>
      <c r="G3709">
        <f>IF(E3709=0,0,INDEX('Планы менеджеров'!$B$5:$M$16,B3709,D3709)/INDEX(Мес_Раб,D3709))</f>
        <v/>
      </c>
    </row>
    <row r="3710">
      <c r="A3710" t="inlineStr">
        <is>
          <t>Семенова</t>
        </is>
      </c>
      <c r="B3710" t="n">
        <v>14</v>
      </c>
      <c r="C3710" s="18">
        <f>'Календарь'!A368</f>
        <v/>
      </c>
      <c r="D3710">
        <f>MONTH(C3710)</f>
        <v/>
      </c>
      <c r="E3710">
        <f>'Календарь'!D368</f>
        <v/>
      </c>
      <c r="F3710">
        <f>INT((C3710-Нед_Начало)/7)+1</f>
        <v/>
      </c>
      <c r="G3710">
        <f>IF(E3710=0,0,INDEX('Планы менеджеров'!$B$5:$M$16,B3710,D3710)/INDEX(Мес_Раб,D3710))</f>
        <v/>
      </c>
    </row>
    <row r="3711">
      <c r="A3711" t="inlineStr">
        <is>
          <t>Семенова</t>
        </is>
      </c>
      <c r="B3711" t="n">
        <v>14</v>
      </c>
      <c r="C3711" s="18">
        <f>'Календарь'!A369</f>
        <v/>
      </c>
      <c r="D3711">
        <f>MONTH(C3711)</f>
        <v/>
      </c>
      <c r="E3711">
        <f>'Календарь'!D369</f>
        <v/>
      </c>
      <c r="F3711">
        <f>INT((C3711-Нед_Начало)/7)+1</f>
        <v/>
      </c>
      <c r="G3711">
        <f>IF(E3711=0,0,INDEX('Планы менеджеров'!$B$5:$M$16,B3711,D3711)/INDEX(Мес_Раб,D3711))</f>
        <v/>
      </c>
    </row>
    <row r="3712">
      <c r="A3712" t="inlineStr">
        <is>
          <t>Семенова</t>
        </is>
      </c>
      <c r="B3712" t="n">
        <v>14</v>
      </c>
      <c r="C3712" s="18">
        <f>'Календарь'!A370</f>
        <v/>
      </c>
      <c r="D3712">
        <f>MONTH(C3712)</f>
        <v/>
      </c>
      <c r="E3712">
        <f>'Календарь'!D370</f>
        <v/>
      </c>
      <c r="F3712">
        <f>INT((C3712-Нед_Начало)/7)+1</f>
        <v/>
      </c>
      <c r="G3712">
        <f>IF(E3712=0,0,INDEX('Планы менеджеров'!$B$5:$M$16,B3712,D3712)/INDEX(Мес_Раб,D3712))</f>
        <v/>
      </c>
    </row>
    <row r="3713">
      <c r="A3713" t="inlineStr">
        <is>
          <t>Семенова</t>
        </is>
      </c>
      <c r="B3713" t="n">
        <v>14</v>
      </c>
      <c r="C3713" s="18">
        <f>'Календарь'!A371</f>
        <v/>
      </c>
      <c r="D3713">
        <f>MONTH(C3713)</f>
        <v/>
      </c>
      <c r="E3713">
        <f>'Календарь'!D371</f>
        <v/>
      </c>
      <c r="F3713">
        <f>INT((C3713-Нед_Начало)/7)+1</f>
        <v/>
      </c>
      <c r="G3713">
        <f>IF(E3713=0,0,INDEX('Планы менеджеров'!$B$5:$M$16,B3713,D3713)/INDEX(Мес_Раб,D3713))</f>
        <v/>
      </c>
    </row>
    <row r="3714">
      <c r="A3714" t="inlineStr">
        <is>
          <t>Семенова</t>
        </is>
      </c>
      <c r="B3714" t="n">
        <v>14</v>
      </c>
      <c r="C3714" s="18">
        <f>'Календарь'!A372</f>
        <v/>
      </c>
      <c r="D3714">
        <f>MONTH(C3714)</f>
        <v/>
      </c>
      <c r="E3714">
        <f>'Календарь'!D372</f>
        <v/>
      </c>
      <c r="F3714">
        <f>INT((C3714-Нед_Начало)/7)+1</f>
        <v/>
      </c>
      <c r="G3714">
        <f>IF(E3714=0,0,INDEX('Планы менеджеров'!$B$5:$M$16,B3714,D3714)/INDEX(Мес_Раб,D3714))</f>
        <v/>
      </c>
    </row>
    <row r="3715">
      <c r="A3715" t="inlineStr">
        <is>
          <t>Егоров</t>
        </is>
      </c>
      <c r="B3715" t="n">
        <v>15</v>
      </c>
      <c r="C3715" s="18">
        <f>'Календарь'!A2</f>
        <v/>
      </c>
      <c r="D3715">
        <f>MONTH(C3715)</f>
        <v/>
      </c>
      <c r="E3715">
        <f>'Календарь'!D2</f>
        <v/>
      </c>
      <c r="F3715">
        <f>INT((C3715-Нед_Начало)/7)+1</f>
        <v/>
      </c>
      <c r="G3715">
        <f>IF(E3715=0,0,INDEX('Планы менеджеров'!$B$5:$M$16,B3715,D3715)/INDEX(Мес_Раб,D3715))</f>
        <v/>
      </c>
    </row>
    <row r="3716">
      <c r="A3716" t="inlineStr">
        <is>
          <t>Егоров</t>
        </is>
      </c>
      <c r="B3716" t="n">
        <v>15</v>
      </c>
      <c r="C3716" s="18">
        <f>'Календарь'!A3</f>
        <v/>
      </c>
      <c r="D3716">
        <f>MONTH(C3716)</f>
        <v/>
      </c>
      <c r="E3716">
        <f>'Календарь'!D3</f>
        <v/>
      </c>
      <c r="F3716">
        <f>INT((C3716-Нед_Начало)/7)+1</f>
        <v/>
      </c>
      <c r="G3716">
        <f>IF(E3716=0,0,INDEX('Планы менеджеров'!$B$5:$M$16,B3716,D3716)/INDEX(Мес_Раб,D3716))</f>
        <v/>
      </c>
    </row>
    <row r="3717">
      <c r="A3717" t="inlineStr">
        <is>
          <t>Егоров</t>
        </is>
      </c>
      <c r="B3717" t="n">
        <v>15</v>
      </c>
      <c r="C3717" s="18">
        <f>'Календарь'!A4</f>
        <v/>
      </c>
      <c r="D3717">
        <f>MONTH(C3717)</f>
        <v/>
      </c>
      <c r="E3717">
        <f>'Календарь'!D4</f>
        <v/>
      </c>
      <c r="F3717">
        <f>INT((C3717-Нед_Начало)/7)+1</f>
        <v/>
      </c>
      <c r="G3717">
        <f>IF(E3717=0,0,INDEX('Планы менеджеров'!$B$5:$M$16,B3717,D3717)/INDEX(Мес_Раб,D3717))</f>
        <v/>
      </c>
    </row>
    <row r="3718">
      <c r="A3718" t="inlineStr">
        <is>
          <t>Егоров</t>
        </is>
      </c>
      <c r="B3718" t="n">
        <v>15</v>
      </c>
      <c r="C3718" s="18">
        <f>'Календарь'!A5</f>
        <v/>
      </c>
      <c r="D3718">
        <f>MONTH(C3718)</f>
        <v/>
      </c>
      <c r="E3718">
        <f>'Календарь'!D5</f>
        <v/>
      </c>
      <c r="F3718">
        <f>INT((C3718-Нед_Начало)/7)+1</f>
        <v/>
      </c>
      <c r="G3718">
        <f>IF(E3718=0,0,INDEX('Планы менеджеров'!$B$5:$M$16,B3718,D3718)/INDEX(Мес_Раб,D3718))</f>
        <v/>
      </c>
    </row>
    <row r="3719">
      <c r="A3719" t="inlineStr">
        <is>
          <t>Егоров</t>
        </is>
      </c>
      <c r="B3719" t="n">
        <v>15</v>
      </c>
      <c r="C3719" s="18">
        <f>'Календарь'!A6</f>
        <v/>
      </c>
      <c r="D3719">
        <f>MONTH(C3719)</f>
        <v/>
      </c>
      <c r="E3719">
        <f>'Календарь'!D6</f>
        <v/>
      </c>
      <c r="F3719">
        <f>INT((C3719-Нед_Начало)/7)+1</f>
        <v/>
      </c>
      <c r="G3719">
        <f>IF(E3719=0,0,INDEX('Планы менеджеров'!$B$5:$M$16,B3719,D3719)/INDEX(Мес_Раб,D3719))</f>
        <v/>
      </c>
    </row>
    <row r="3720">
      <c r="A3720" t="inlineStr">
        <is>
          <t>Егоров</t>
        </is>
      </c>
      <c r="B3720" t="n">
        <v>15</v>
      </c>
      <c r="C3720" s="18">
        <f>'Календарь'!A7</f>
        <v/>
      </c>
      <c r="D3720">
        <f>MONTH(C3720)</f>
        <v/>
      </c>
      <c r="E3720">
        <f>'Календарь'!D7</f>
        <v/>
      </c>
      <c r="F3720">
        <f>INT((C3720-Нед_Начало)/7)+1</f>
        <v/>
      </c>
      <c r="G3720">
        <f>IF(E3720=0,0,INDEX('Планы менеджеров'!$B$5:$M$16,B3720,D3720)/INDEX(Мес_Раб,D3720))</f>
        <v/>
      </c>
    </row>
    <row r="3721">
      <c r="A3721" t="inlineStr">
        <is>
          <t>Егоров</t>
        </is>
      </c>
      <c r="B3721" t="n">
        <v>15</v>
      </c>
      <c r="C3721" s="18">
        <f>'Календарь'!A8</f>
        <v/>
      </c>
      <c r="D3721">
        <f>MONTH(C3721)</f>
        <v/>
      </c>
      <c r="E3721">
        <f>'Календарь'!D8</f>
        <v/>
      </c>
      <c r="F3721">
        <f>INT((C3721-Нед_Начало)/7)+1</f>
        <v/>
      </c>
      <c r="G3721">
        <f>IF(E3721=0,0,INDEX('Планы менеджеров'!$B$5:$M$16,B3721,D3721)/INDEX(Мес_Раб,D3721))</f>
        <v/>
      </c>
    </row>
    <row r="3722">
      <c r="A3722" t="inlineStr">
        <is>
          <t>Егоров</t>
        </is>
      </c>
      <c r="B3722" t="n">
        <v>15</v>
      </c>
      <c r="C3722" s="18">
        <f>'Календарь'!A9</f>
        <v/>
      </c>
      <c r="D3722">
        <f>MONTH(C3722)</f>
        <v/>
      </c>
      <c r="E3722">
        <f>'Календарь'!D9</f>
        <v/>
      </c>
      <c r="F3722">
        <f>INT((C3722-Нед_Начало)/7)+1</f>
        <v/>
      </c>
      <c r="G3722">
        <f>IF(E3722=0,0,INDEX('Планы менеджеров'!$B$5:$M$16,B3722,D3722)/INDEX(Мес_Раб,D3722))</f>
        <v/>
      </c>
    </row>
    <row r="3723">
      <c r="A3723" t="inlineStr">
        <is>
          <t>Егоров</t>
        </is>
      </c>
      <c r="B3723" t="n">
        <v>15</v>
      </c>
      <c r="C3723" s="18">
        <f>'Календарь'!A10</f>
        <v/>
      </c>
      <c r="D3723">
        <f>MONTH(C3723)</f>
        <v/>
      </c>
      <c r="E3723">
        <f>'Календарь'!D10</f>
        <v/>
      </c>
      <c r="F3723">
        <f>INT((C3723-Нед_Начало)/7)+1</f>
        <v/>
      </c>
      <c r="G3723">
        <f>IF(E3723=0,0,INDEX('Планы менеджеров'!$B$5:$M$16,B3723,D3723)/INDEX(Мес_Раб,D3723))</f>
        <v/>
      </c>
    </row>
    <row r="3724">
      <c r="A3724" t="inlineStr">
        <is>
          <t>Егоров</t>
        </is>
      </c>
      <c r="B3724" t="n">
        <v>15</v>
      </c>
      <c r="C3724" s="18">
        <f>'Календарь'!A11</f>
        <v/>
      </c>
      <c r="D3724">
        <f>MONTH(C3724)</f>
        <v/>
      </c>
      <c r="E3724">
        <f>'Календарь'!D11</f>
        <v/>
      </c>
      <c r="F3724">
        <f>INT((C3724-Нед_Начало)/7)+1</f>
        <v/>
      </c>
      <c r="G3724">
        <f>IF(E3724=0,0,INDEX('Планы менеджеров'!$B$5:$M$16,B3724,D3724)/INDEX(Мес_Раб,D3724))</f>
        <v/>
      </c>
    </row>
    <row r="3725">
      <c r="A3725" t="inlineStr">
        <is>
          <t>Егоров</t>
        </is>
      </c>
      <c r="B3725" t="n">
        <v>15</v>
      </c>
      <c r="C3725" s="18">
        <f>'Календарь'!A12</f>
        <v/>
      </c>
      <c r="D3725">
        <f>MONTH(C3725)</f>
        <v/>
      </c>
      <c r="E3725">
        <f>'Календарь'!D12</f>
        <v/>
      </c>
      <c r="F3725">
        <f>INT((C3725-Нед_Начало)/7)+1</f>
        <v/>
      </c>
      <c r="G3725">
        <f>IF(E3725=0,0,INDEX('Планы менеджеров'!$B$5:$M$16,B3725,D3725)/INDEX(Мес_Раб,D3725))</f>
        <v/>
      </c>
    </row>
    <row r="3726">
      <c r="A3726" t="inlineStr">
        <is>
          <t>Егоров</t>
        </is>
      </c>
      <c r="B3726" t="n">
        <v>15</v>
      </c>
      <c r="C3726" s="18">
        <f>'Календарь'!A13</f>
        <v/>
      </c>
      <c r="D3726">
        <f>MONTH(C3726)</f>
        <v/>
      </c>
      <c r="E3726">
        <f>'Календарь'!D13</f>
        <v/>
      </c>
      <c r="F3726">
        <f>INT((C3726-Нед_Начало)/7)+1</f>
        <v/>
      </c>
      <c r="G3726">
        <f>IF(E3726=0,0,INDEX('Планы менеджеров'!$B$5:$M$16,B3726,D3726)/INDEX(Мес_Раб,D3726))</f>
        <v/>
      </c>
    </row>
    <row r="3727">
      <c r="A3727" t="inlineStr">
        <is>
          <t>Егоров</t>
        </is>
      </c>
      <c r="B3727" t="n">
        <v>15</v>
      </c>
      <c r="C3727" s="18">
        <f>'Календарь'!A14</f>
        <v/>
      </c>
      <c r="D3727">
        <f>MONTH(C3727)</f>
        <v/>
      </c>
      <c r="E3727">
        <f>'Календарь'!D14</f>
        <v/>
      </c>
      <c r="F3727">
        <f>INT((C3727-Нед_Начало)/7)+1</f>
        <v/>
      </c>
      <c r="G3727">
        <f>IF(E3727=0,0,INDEX('Планы менеджеров'!$B$5:$M$16,B3727,D3727)/INDEX(Мес_Раб,D3727))</f>
        <v/>
      </c>
    </row>
    <row r="3728">
      <c r="A3728" t="inlineStr">
        <is>
          <t>Егоров</t>
        </is>
      </c>
      <c r="B3728" t="n">
        <v>15</v>
      </c>
      <c r="C3728" s="18">
        <f>'Календарь'!A15</f>
        <v/>
      </c>
      <c r="D3728">
        <f>MONTH(C3728)</f>
        <v/>
      </c>
      <c r="E3728">
        <f>'Календарь'!D15</f>
        <v/>
      </c>
      <c r="F3728">
        <f>INT((C3728-Нед_Начало)/7)+1</f>
        <v/>
      </c>
      <c r="G3728">
        <f>IF(E3728=0,0,INDEX('Планы менеджеров'!$B$5:$M$16,B3728,D3728)/INDEX(Мес_Раб,D3728))</f>
        <v/>
      </c>
    </row>
    <row r="3729">
      <c r="A3729" t="inlineStr">
        <is>
          <t>Егоров</t>
        </is>
      </c>
      <c r="B3729" t="n">
        <v>15</v>
      </c>
      <c r="C3729" s="18">
        <f>'Календарь'!A16</f>
        <v/>
      </c>
      <c r="D3729">
        <f>MONTH(C3729)</f>
        <v/>
      </c>
      <c r="E3729">
        <f>'Календарь'!D16</f>
        <v/>
      </c>
      <c r="F3729">
        <f>INT((C3729-Нед_Начало)/7)+1</f>
        <v/>
      </c>
      <c r="G3729">
        <f>IF(E3729=0,0,INDEX('Планы менеджеров'!$B$5:$M$16,B3729,D3729)/INDEX(Мес_Раб,D3729))</f>
        <v/>
      </c>
    </row>
    <row r="3730">
      <c r="A3730" t="inlineStr">
        <is>
          <t>Егоров</t>
        </is>
      </c>
      <c r="B3730" t="n">
        <v>15</v>
      </c>
      <c r="C3730" s="18">
        <f>'Календарь'!A17</f>
        <v/>
      </c>
      <c r="D3730">
        <f>MONTH(C3730)</f>
        <v/>
      </c>
      <c r="E3730">
        <f>'Календарь'!D17</f>
        <v/>
      </c>
      <c r="F3730">
        <f>INT((C3730-Нед_Начало)/7)+1</f>
        <v/>
      </c>
      <c r="G3730">
        <f>IF(E3730=0,0,INDEX('Планы менеджеров'!$B$5:$M$16,B3730,D3730)/INDEX(Мес_Раб,D3730))</f>
        <v/>
      </c>
    </row>
    <row r="3731">
      <c r="A3731" t="inlineStr">
        <is>
          <t>Егоров</t>
        </is>
      </c>
      <c r="B3731" t="n">
        <v>15</v>
      </c>
      <c r="C3731" s="18">
        <f>'Календарь'!A18</f>
        <v/>
      </c>
      <c r="D3731">
        <f>MONTH(C3731)</f>
        <v/>
      </c>
      <c r="E3731">
        <f>'Календарь'!D18</f>
        <v/>
      </c>
      <c r="F3731">
        <f>INT((C3731-Нед_Начало)/7)+1</f>
        <v/>
      </c>
      <c r="G3731">
        <f>IF(E3731=0,0,INDEX('Планы менеджеров'!$B$5:$M$16,B3731,D3731)/INDEX(Мес_Раб,D3731))</f>
        <v/>
      </c>
    </row>
    <row r="3732">
      <c r="A3732" t="inlineStr">
        <is>
          <t>Егоров</t>
        </is>
      </c>
      <c r="B3732" t="n">
        <v>15</v>
      </c>
      <c r="C3732" s="18">
        <f>'Календарь'!A19</f>
        <v/>
      </c>
      <c r="D3732">
        <f>MONTH(C3732)</f>
        <v/>
      </c>
      <c r="E3732">
        <f>'Календарь'!D19</f>
        <v/>
      </c>
      <c r="F3732">
        <f>INT((C3732-Нед_Начало)/7)+1</f>
        <v/>
      </c>
      <c r="G3732">
        <f>IF(E3732=0,0,INDEX('Планы менеджеров'!$B$5:$M$16,B3732,D3732)/INDEX(Мес_Раб,D3732))</f>
        <v/>
      </c>
    </row>
    <row r="3733">
      <c r="A3733" t="inlineStr">
        <is>
          <t>Егоров</t>
        </is>
      </c>
      <c r="B3733" t="n">
        <v>15</v>
      </c>
      <c r="C3733" s="18">
        <f>'Календарь'!A20</f>
        <v/>
      </c>
      <c r="D3733">
        <f>MONTH(C3733)</f>
        <v/>
      </c>
      <c r="E3733">
        <f>'Календарь'!D20</f>
        <v/>
      </c>
      <c r="F3733">
        <f>INT((C3733-Нед_Начало)/7)+1</f>
        <v/>
      </c>
      <c r="G3733">
        <f>IF(E3733=0,0,INDEX('Планы менеджеров'!$B$5:$M$16,B3733,D3733)/INDEX(Мес_Раб,D3733))</f>
        <v/>
      </c>
    </row>
    <row r="3734">
      <c r="A3734" t="inlineStr">
        <is>
          <t>Егоров</t>
        </is>
      </c>
      <c r="B3734" t="n">
        <v>15</v>
      </c>
      <c r="C3734" s="18">
        <f>'Календарь'!A21</f>
        <v/>
      </c>
      <c r="D3734">
        <f>MONTH(C3734)</f>
        <v/>
      </c>
      <c r="E3734">
        <f>'Календарь'!D21</f>
        <v/>
      </c>
      <c r="F3734">
        <f>INT((C3734-Нед_Начало)/7)+1</f>
        <v/>
      </c>
      <c r="G3734">
        <f>IF(E3734=0,0,INDEX('Планы менеджеров'!$B$5:$M$16,B3734,D3734)/INDEX(Мес_Раб,D3734))</f>
        <v/>
      </c>
    </row>
    <row r="3735">
      <c r="A3735" t="inlineStr">
        <is>
          <t>Егоров</t>
        </is>
      </c>
      <c r="B3735" t="n">
        <v>15</v>
      </c>
      <c r="C3735" s="18">
        <f>'Календарь'!A22</f>
        <v/>
      </c>
      <c r="D3735">
        <f>MONTH(C3735)</f>
        <v/>
      </c>
      <c r="E3735">
        <f>'Календарь'!D22</f>
        <v/>
      </c>
      <c r="F3735">
        <f>INT((C3735-Нед_Начало)/7)+1</f>
        <v/>
      </c>
      <c r="G3735">
        <f>IF(E3735=0,0,INDEX('Планы менеджеров'!$B$5:$M$16,B3735,D3735)/INDEX(Мес_Раб,D3735))</f>
        <v/>
      </c>
    </row>
    <row r="3736">
      <c r="A3736" t="inlineStr">
        <is>
          <t>Егоров</t>
        </is>
      </c>
      <c r="B3736" t="n">
        <v>15</v>
      </c>
      <c r="C3736" s="18">
        <f>'Календарь'!A23</f>
        <v/>
      </c>
      <c r="D3736">
        <f>MONTH(C3736)</f>
        <v/>
      </c>
      <c r="E3736">
        <f>'Календарь'!D23</f>
        <v/>
      </c>
      <c r="F3736">
        <f>INT((C3736-Нед_Начало)/7)+1</f>
        <v/>
      </c>
      <c r="G3736">
        <f>IF(E3736=0,0,INDEX('Планы менеджеров'!$B$5:$M$16,B3736,D3736)/INDEX(Мес_Раб,D3736))</f>
        <v/>
      </c>
    </row>
    <row r="3737">
      <c r="A3737" t="inlineStr">
        <is>
          <t>Егоров</t>
        </is>
      </c>
      <c r="B3737" t="n">
        <v>15</v>
      </c>
      <c r="C3737" s="18">
        <f>'Календарь'!A24</f>
        <v/>
      </c>
      <c r="D3737">
        <f>MONTH(C3737)</f>
        <v/>
      </c>
      <c r="E3737">
        <f>'Календарь'!D24</f>
        <v/>
      </c>
      <c r="F3737">
        <f>INT((C3737-Нед_Начало)/7)+1</f>
        <v/>
      </c>
      <c r="G3737">
        <f>IF(E3737=0,0,INDEX('Планы менеджеров'!$B$5:$M$16,B3737,D3737)/INDEX(Мес_Раб,D3737))</f>
        <v/>
      </c>
    </row>
    <row r="3738">
      <c r="A3738" t="inlineStr">
        <is>
          <t>Егоров</t>
        </is>
      </c>
      <c r="B3738" t="n">
        <v>15</v>
      </c>
      <c r="C3738" s="18">
        <f>'Календарь'!A25</f>
        <v/>
      </c>
      <c r="D3738">
        <f>MONTH(C3738)</f>
        <v/>
      </c>
      <c r="E3738">
        <f>'Календарь'!D25</f>
        <v/>
      </c>
      <c r="F3738">
        <f>INT((C3738-Нед_Начало)/7)+1</f>
        <v/>
      </c>
      <c r="G3738">
        <f>IF(E3738=0,0,INDEX('Планы менеджеров'!$B$5:$M$16,B3738,D3738)/INDEX(Мес_Раб,D3738))</f>
        <v/>
      </c>
    </row>
    <row r="3739">
      <c r="A3739" t="inlineStr">
        <is>
          <t>Егоров</t>
        </is>
      </c>
      <c r="B3739" t="n">
        <v>15</v>
      </c>
      <c r="C3739" s="18">
        <f>'Календарь'!A26</f>
        <v/>
      </c>
      <c r="D3739">
        <f>MONTH(C3739)</f>
        <v/>
      </c>
      <c r="E3739">
        <f>'Календарь'!D26</f>
        <v/>
      </c>
      <c r="F3739">
        <f>INT((C3739-Нед_Начало)/7)+1</f>
        <v/>
      </c>
      <c r="G3739">
        <f>IF(E3739=0,0,INDEX('Планы менеджеров'!$B$5:$M$16,B3739,D3739)/INDEX(Мес_Раб,D3739))</f>
        <v/>
      </c>
    </row>
    <row r="3740">
      <c r="A3740" t="inlineStr">
        <is>
          <t>Егоров</t>
        </is>
      </c>
      <c r="B3740" t="n">
        <v>15</v>
      </c>
      <c r="C3740" s="18">
        <f>'Календарь'!A27</f>
        <v/>
      </c>
      <c r="D3740">
        <f>MONTH(C3740)</f>
        <v/>
      </c>
      <c r="E3740">
        <f>'Календарь'!D27</f>
        <v/>
      </c>
      <c r="F3740">
        <f>INT((C3740-Нед_Начало)/7)+1</f>
        <v/>
      </c>
      <c r="G3740">
        <f>IF(E3740=0,0,INDEX('Планы менеджеров'!$B$5:$M$16,B3740,D3740)/INDEX(Мес_Раб,D3740))</f>
        <v/>
      </c>
    </row>
    <row r="3741">
      <c r="A3741" t="inlineStr">
        <is>
          <t>Егоров</t>
        </is>
      </c>
      <c r="B3741" t="n">
        <v>15</v>
      </c>
      <c r="C3741" s="18">
        <f>'Календарь'!A28</f>
        <v/>
      </c>
      <c r="D3741">
        <f>MONTH(C3741)</f>
        <v/>
      </c>
      <c r="E3741">
        <f>'Календарь'!D28</f>
        <v/>
      </c>
      <c r="F3741">
        <f>INT((C3741-Нед_Начало)/7)+1</f>
        <v/>
      </c>
      <c r="G3741">
        <f>IF(E3741=0,0,INDEX('Планы менеджеров'!$B$5:$M$16,B3741,D3741)/INDEX(Мес_Раб,D3741))</f>
        <v/>
      </c>
    </row>
    <row r="3742">
      <c r="A3742" t="inlineStr">
        <is>
          <t>Егоров</t>
        </is>
      </c>
      <c r="B3742" t="n">
        <v>15</v>
      </c>
      <c r="C3742" s="18">
        <f>'Календарь'!A29</f>
        <v/>
      </c>
      <c r="D3742">
        <f>MONTH(C3742)</f>
        <v/>
      </c>
      <c r="E3742">
        <f>'Календарь'!D29</f>
        <v/>
      </c>
      <c r="F3742">
        <f>INT((C3742-Нед_Начало)/7)+1</f>
        <v/>
      </c>
      <c r="G3742">
        <f>IF(E3742=0,0,INDEX('Планы менеджеров'!$B$5:$M$16,B3742,D3742)/INDEX(Мес_Раб,D3742))</f>
        <v/>
      </c>
    </row>
    <row r="3743">
      <c r="A3743" t="inlineStr">
        <is>
          <t>Егоров</t>
        </is>
      </c>
      <c r="B3743" t="n">
        <v>15</v>
      </c>
      <c r="C3743" s="18">
        <f>'Календарь'!A30</f>
        <v/>
      </c>
      <c r="D3743">
        <f>MONTH(C3743)</f>
        <v/>
      </c>
      <c r="E3743">
        <f>'Календарь'!D30</f>
        <v/>
      </c>
      <c r="F3743">
        <f>INT((C3743-Нед_Начало)/7)+1</f>
        <v/>
      </c>
      <c r="G3743">
        <f>IF(E3743=0,0,INDEX('Планы менеджеров'!$B$5:$M$16,B3743,D3743)/INDEX(Мес_Раб,D3743))</f>
        <v/>
      </c>
    </row>
    <row r="3744">
      <c r="A3744" t="inlineStr">
        <is>
          <t>Егоров</t>
        </is>
      </c>
      <c r="B3744" t="n">
        <v>15</v>
      </c>
      <c r="C3744" s="18">
        <f>'Календарь'!A31</f>
        <v/>
      </c>
      <c r="D3744">
        <f>MONTH(C3744)</f>
        <v/>
      </c>
      <c r="E3744">
        <f>'Календарь'!D31</f>
        <v/>
      </c>
      <c r="F3744">
        <f>INT((C3744-Нед_Начало)/7)+1</f>
        <v/>
      </c>
      <c r="G3744">
        <f>IF(E3744=0,0,INDEX('Планы менеджеров'!$B$5:$M$16,B3744,D3744)/INDEX(Мес_Раб,D3744))</f>
        <v/>
      </c>
    </row>
    <row r="3745">
      <c r="A3745" t="inlineStr">
        <is>
          <t>Егоров</t>
        </is>
      </c>
      <c r="B3745" t="n">
        <v>15</v>
      </c>
      <c r="C3745" s="18">
        <f>'Календарь'!A32</f>
        <v/>
      </c>
      <c r="D3745">
        <f>MONTH(C3745)</f>
        <v/>
      </c>
      <c r="E3745">
        <f>'Календарь'!D32</f>
        <v/>
      </c>
      <c r="F3745">
        <f>INT((C3745-Нед_Начало)/7)+1</f>
        <v/>
      </c>
      <c r="G3745">
        <f>IF(E3745=0,0,INDEX('Планы менеджеров'!$B$5:$M$16,B3745,D3745)/INDEX(Мес_Раб,D3745))</f>
        <v/>
      </c>
    </row>
    <row r="3746">
      <c r="A3746" t="inlineStr">
        <is>
          <t>Егоров</t>
        </is>
      </c>
      <c r="B3746" t="n">
        <v>15</v>
      </c>
      <c r="C3746" s="18">
        <f>'Календарь'!A33</f>
        <v/>
      </c>
      <c r="D3746">
        <f>MONTH(C3746)</f>
        <v/>
      </c>
      <c r="E3746">
        <f>'Календарь'!D33</f>
        <v/>
      </c>
      <c r="F3746">
        <f>INT((C3746-Нед_Начало)/7)+1</f>
        <v/>
      </c>
      <c r="G3746">
        <f>IF(E3746=0,0,INDEX('Планы менеджеров'!$B$5:$M$16,B3746,D3746)/INDEX(Мес_Раб,D3746))</f>
        <v/>
      </c>
    </row>
    <row r="3747">
      <c r="A3747" t="inlineStr">
        <is>
          <t>Егоров</t>
        </is>
      </c>
      <c r="B3747" t="n">
        <v>15</v>
      </c>
      <c r="C3747" s="18">
        <f>'Календарь'!A34</f>
        <v/>
      </c>
      <c r="D3747">
        <f>MONTH(C3747)</f>
        <v/>
      </c>
      <c r="E3747">
        <f>'Календарь'!D34</f>
        <v/>
      </c>
      <c r="F3747">
        <f>INT((C3747-Нед_Начало)/7)+1</f>
        <v/>
      </c>
      <c r="G3747">
        <f>IF(E3747=0,0,INDEX('Планы менеджеров'!$B$5:$M$16,B3747,D3747)/INDEX(Мес_Раб,D3747))</f>
        <v/>
      </c>
    </row>
    <row r="3748">
      <c r="A3748" t="inlineStr">
        <is>
          <t>Егоров</t>
        </is>
      </c>
      <c r="B3748" t="n">
        <v>15</v>
      </c>
      <c r="C3748" s="18">
        <f>'Календарь'!A35</f>
        <v/>
      </c>
      <c r="D3748">
        <f>MONTH(C3748)</f>
        <v/>
      </c>
      <c r="E3748">
        <f>'Календарь'!D35</f>
        <v/>
      </c>
      <c r="F3748">
        <f>INT((C3748-Нед_Начало)/7)+1</f>
        <v/>
      </c>
      <c r="G3748">
        <f>IF(E3748=0,0,INDEX('Планы менеджеров'!$B$5:$M$16,B3748,D3748)/INDEX(Мес_Раб,D3748))</f>
        <v/>
      </c>
    </row>
    <row r="3749">
      <c r="A3749" t="inlineStr">
        <is>
          <t>Егоров</t>
        </is>
      </c>
      <c r="B3749" t="n">
        <v>15</v>
      </c>
      <c r="C3749" s="18">
        <f>'Календарь'!A36</f>
        <v/>
      </c>
      <c r="D3749">
        <f>MONTH(C3749)</f>
        <v/>
      </c>
      <c r="E3749">
        <f>'Календарь'!D36</f>
        <v/>
      </c>
      <c r="F3749">
        <f>INT((C3749-Нед_Начало)/7)+1</f>
        <v/>
      </c>
      <c r="G3749">
        <f>IF(E3749=0,0,INDEX('Планы менеджеров'!$B$5:$M$16,B3749,D3749)/INDEX(Мес_Раб,D3749))</f>
        <v/>
      </c>
    </row>
    <row r="3750">
      <c r="A3750" t="inlineStr">
        <is>
          <t>Егоров</t>
        </is>
      </c>
      <c r="B3750" t="n">
        <v>15</v>
      </c>
      <c r="C3750" s="18">
        <f>'Календарь'!A37</f>
        <v/>
      </c>
      <c r="D3750">
        <f>MONTH(C3750)</f>
        <v/>
      </c>
      <c r="E3750">
        <f>'Календарь'!D37</f>
        <v/>
      </c>
      <c r="F3750">
        <f>INT((C3750-Нед_Начало)/7)+1</f>
        <v/>
      </c>
      <c r="G3750">
        <f>IF(E3750=0,0,INDEX('Планы менеджеров'!$B$5:$M$16,B3750,D3750)/INDEX(Мес_Раб,D3750))</f>
        <v/>
      </c>
    </row>
    <row r="3751">
      <c r="A3751" t="inlineStr">
        <is>
          <t>Егоров</t>
        </is>
      </c>
      <c r="B3751" t="n">
        <v>15</v>
      </c>
      <c r="C3751" s="18">
        <f>'Календарь'!A38</f>
        <v/>
      </c>
      <c r="D3751">
        <f>MONTH(C3751)</f>
        <v/>
      </c>
      <c r="E3751">
        <f>'Календарь'!D38</f>
        <v/>
      </c>
      <c r="F3751">
        <f>INT((C3751-Нед_Начало)/7)+1</f>
        <v/>
      </c>
      <c r="G3751">
        <f>IF(E3751=0,0,INDEX('Планы менеджеров'!$B$5:$M$16,B3751,D3751)/INDEX(Мес_Раб,D3751))</f>
        <v/>
      </c>
    </row>
    <row r="3752">
      <c r="A3752" t="inlineStr">
        <is>
          <t>Егоров</t>
        </is>
      </c>
      <c r="B3752" t="n">
        <v>15</v>
      </c>
      <c r="C3752" s="18">
        <f>'Календарь'!A39</f>
        <v/>
      </c>
      <c r="D3752">
        <f>MONTH(C3752)</f>
        <v/>
      </c>
      <c r="E3752">
        <f>'Календарь'!D39</f>
        <v/>
      </c>
      <c r="F3752">
        <f>INT((C3752-Нед_Начало)/7)+1</f>
        <v/>
      </c>
      <c r="G3752">
        <f>IF(E3752=0,0,INDEX('Планы менеджеров'!$B$5:$M$16,B3752,D3752)/INDEX(Мес_Раб,D3752))</f>
        <v/>
      </c>
    </row>
    <row r="3753">
      <c r="A3753" t="inlineStr">
        <is>
          <t>Егоров</t>
        </is>
      </c>
      <c r="B3753" t="n">
        <v>15</v>
      </c>
      <c r="C3753" s="18">
        <f>'Календарь'!A40</f>
        <v/>
      </c>
      <c r="D3753">
        <f>MONTH(C3753)</f>
        <v/>
      </c>
      <c r="E3753">
        <f>'Календарь'!D40</f>
        <v/>
      </c>
      <c r="F3753">
        <f>INT((C3753-Нед_Начало)/7)+1</f>
        <v/>
      </c>
      <c r="G3753">
        <f>IF(E3753=0,0,INDEX('Планы менеджеров'!$B$5:$M$16,B3753,D3753)/INDEX(Мес_Раб,D3753))</f>
        <v/>
      </c>
    </row>
    <row r="3754">
      <c r="A3754" t="inlineStr">
        <is>
          <t>Егоров</t>
        </is>
      </c>
      <c r="B3754" t="n">
        <v>15</v>
      </c>
      <c r="C3754" s="18">
        <f>'Календарь'!A41</f>
        <v/>
      </c>
      <c r="D3754">
        <f>MONTH(C3754)</f>
        <v/>
      </c>
      <c r="E3754">
        <f>'Календарь'!D41</f>
        <v/>
      </c>
      <c r="F3754">
        <f>INT((C3754-Нед_Начало)/7)+1</f>
        <v/>
      </c>
      <c r="G3754">
        <f>IF(E3754=0,0,INDEX('Планы менеджеров'!$B$5:$M$16,B3754,D3754)/INDEX(Мес_Раб,D3754))</f>
        <v/>
      </c>
    </row>
    <row r="3755">
      <c r="A3755" t="inlineStr">
        <is>
          <t>Егоров</t>
        </is>
      </c>
      <c r="B3755" t="n">
        <v>15</v>
      </c>
      <c r="C3755" s="18">
        <f>'Календарь'!A42</f>
        <v/>
      </c>
      <c r="D3755">
        <f>MONTH(C3755)</f>
        <v/>
      </c>
      <c r="E3755">
        <f>'Календарь'!D42</f>
        <v/>
      </c>
      <c r="F3755">
        <f>INT((C3755-Нед_Начало)/7)+1</f>
        <v/>
      </c>
      <c r="G3755">
        <f>IF(E3755=0,0,INDEX('Планы менеджеров'!$B$5:$M$16,B3755,D3755)/INDEX(Мес_Раб,D3755))</f>
        <v/>
      </c>
    </row>
    <row r="3756">
      <c r="A3756" t="inlineStr">
        <is>
          <t>Егоров</t>
        </is>
      </c>
      <c r="B3756" t="n">
        <v>15</v>
      </c>
      <c r="C3756" s="18">
        <f>'Календарь'!A43</f>
        <v/>
      </c>
      <c r="D3756">
        <f>MONTH(C3756)</f>
        <v/>
      </c>
      <c r="E3756">
        <f>'Календарь'!D43</f>
        <v/>
      </c>
      <c r="F3756">
        <f>INT((C3756-Нед_Начало)/7)+1</f>
        <v/>
      </c>
      <c r="G3756">
        <f>IF(E3756=0,0,INDEX('Планы менеджеров'!$B$5:$M$16,B3756,D3756)/INDEX(Мес_Раб,D3756))</f>
        <v/>
      </c>
    </row>
    <row r="3757">
      <c r="A3757" t="inlineStr">
        <is>
          <t>Егоров</t>
        </is>
      </c>
      <c r="B3757" t="n">
        <v>15</v>
      </c>
      <c r="C3757" s="18">
        <f>'Календарь'!A44</f>
        <v/>
      </c>
      <c r="D3757">
        <f>MONTH(C3757)</f>
        <v/>
      </c>
      <c r="E3757">
        <f>'Календарь'!D44</f>
        <v/>
      </c>
      <c r="F3757">
        <f>INT((C3757-Нед_Начало)/7)+1</f>
        <v/>
      </c>
      <c r="G3757">
        <f>IF(E3757=0,0,INDEX('Планы менеджеров'!$B$5:$M$16,B3757,D3757)/INDEX(Мес_Раб,D3757))</f>
        <v/>
      </c>
    </row>
    <row r="3758">
      <c r="A3758" t="inlineStr">
        <is>
          <t>Егоров</t>
        </is>
      </c>
      <c r="B3758" t="n">
        <v>15</v>
      </c>
      <c r="C3758" s="18">
        <f>'Календарь'!A45</f>
        <v/>
      </c>
      <c r="D3758">
        <f>MONTH(C3758)</f>
        <v/>
      </c>
      <c r="E3758">
        <f>'Календарь'!D45</f>
        <v/>
      </c>
      <c r="F3758">
        <f>INT((C3758-Нед_Начало)/7)+1</f>
        <v/>
      </c>
      <c r="G3758">
        <f>IF(E3758=0,0,INDEX('Планы менеджеров'!$B$5:$M$16,B3758,D3758)/INDEX(Мес_Раб,D3758))</f>
        <v/>
      </c>
    </row>
    <row r="3759">
      <c r="A3759" t="inlineStr">
        <is>
          <t>Егоров</t>
        </is>
      </c>
      <c r="B3759" t="n">
        <v>15</v>
      </c>
      <c r="C3759" s="18">
        <f>'Календарь'!A46</f>
        <v/>
      </c>
      <c r="D3759">
        <f>MONTH(C3759)</f>
        <v/>
      </c>
      <c r="E3759">
        <f>'Календарь'!D46</f>
        <v/>
      </c>
      <c r="F3759">
        <f>INT((C3759-Нед_Начало)/7)+1</f>
        <v/>
      </c>
      <c r="G3759">
        <f>IF(E3759=0,0,INDEX('Планы менеджеров'!$B$5:$M$16,B3759,D3759)/INDEX(Мес_Раб,D3759))</f>
        <v/>
      </c>
    </row>
    <row r="3760">
      <c r="A3760" t="inlineStr">
        <is>
          <t>Егоров</t>
        </is>
      </c>
      <c r="B3760" t="n">
        <v>15</v>
      </c>
      <c r="C3760" s="18">
        <f>'Календарь'!A47</f>
        <v/>
      </c>
      <c r="D3760">
        <f>MONTH(C3760)</f>
        <v/>
      </c>
      <c r="E3760">
        <f>'Календарь'!D47</f>
        <v/>
      </c>
      <c r="F3760">
        <f>INT((C3760-Нед_Начало)/7)+1</f>
        <v/>
      </c>
      <c r="G3760">
        <f>IF(E3760=0,0,INDEX('Планы менеджеров'!$B$5:$M$16,B3760,D3760)/INDEX(Мес_Раб,D3760))</f>
        <v/>
      </c>
    </row>
    <row r="3761">
      <c r="A3761" t="inlineStr">
        <is>
          <t>Егоров</t>
        </is>
      </c>
      <c r="B3761" t="n">
        <v>15</v>
      </c>
      <c r="C3761" s="18">
        <f>'Календарь'!A48</f>
        <v/>
      </c>
      <c r="D3761">
        <f>MONTH(C3761)</f>
        <v/>
      </c>
      <c r="E3761">
        <f>'Календарь'!D48</f>
        <v/>
      </c>
      <c r="F3761">
        <f>INT((C3761-Нед_Начало)/7)+1</f>
        <v/>
      </c>
      <c r="G3761">
        <f>IF(E3761=0,0,INDEX('Планы менеджеров'!$B$5:$M$16,B3761,D3761)/INDEX(Мес_Раб,D3761))</f>
        <v/>
      </c>
    </row>
    <row r="3762">
      <c r="A3762" t="inlineStr">
        <is>
          <t>Егоров</t>
        </is>
      </c>
      <c r="B3762" t="n">
        <v>15</v>
      </c>
      <c r="C3762" s="18">
        <f>'Календарь'!A49</f>
        <v/>
      </c>
      <c r="D3762">
        <f>MONTH(C3762)</f>
        <v/>
      </c>
      <c r="E3762">
        <f>'Календарь'!D49</f>
        <v/>
      </c>
      <c r="F3762">
        <f>INT((C3762-Нед_Начало)/7)+1</f>
        <v/>
      </c>
      <c r="G3762">
        <f>IF(E3762=0,0,INDEX('Планы менеджеров'!$B$5:$M$16,B3762,D3762)/INDEX(Мес_Раб,D3762))</f>
        <v/>
      </c>
    </row>
    <row r="3763">
      <c r="A3763" t="inlineStr">
        <is>
          <t>Егоров</t>
        </is>
      </c>
      <c r="B3763" t="n">
        <v>15</v>
      </c>
      <c r="C3763" s="18">
        <f>'Календарь'!A50</f>
        <v/>
      </c>
      <c r="D3763">
        <f>MONTH(C3763)</f>
        <v/>
      </c>
      <c r="E3763">
        <f>'Календарь'!D50</f>
        <v/>
      </c>
      <c r="F3763">
        <f>INT((C3763-Нед_Начало)/7)+1</f>
        <v/>
      </c>
      <c r="G3763">
        <f>IF(E3763=0,0,INDEX('Планы менеджеров'!$B$5:$M$16,B3763,D3763)/INDEX(Мес_Раб,D3763))</f>
        <v/>
      </c>
    </row>
    <row r="3764">
      <c r="A3764" t="inlineStr">
        <is>
          <t>Егоров</t>
        </is>
      </c>
      <c r="B3764" t="n">
        <v>15</v>
      </c>
      <c r="C3764" s="18">
        <f>'Календарь'!A51</f>
        <v/>
      </c>
      <c r="D3764">
        <f>MONTH(C3764)</f>
        <v/>
      </c>
      <c r="E3764">
        <f>'Календарь'!D51</f>
        <v/>
      </c>
      <c r="F3764">
        <f>INT((C3764-Нед_Начало)/7)+1</f>
        <v/>
      </c>
      <c r="G3764">
        <f>IF(E3764=0,0,INDEX('Планы менеджеров'!$B$5:$M$16,B3764,D3764)/INDEX(Мес_Раб,D3764))</f>
        <v/>
      </c>
    </row>
    <row r="3765">
      <c r="A3765" t="inlineStr">
        <is>
          <t>Егоров</t>
        </is>
      </c>
      <c r="B3765" t="n">
        <v>15</v>
      </c>
      <c r="C3765" s="18">
        <f>'Календарь'!A52</f>
        <v/>
      </c>
      <c r="D3765">
        <f>MONTH(C3765)</f>
        <v/>
      </c>
      <c r="E3765">
        <f>'Календарь'!D52</f>
        <v/>
      </c>
      <c r="F3765">
        <f>INT((C3765-Нед_Начало)/7)+1</f>
        <v/>
      </c>
      <c r="G3765">
        <f>IF(E3765=0,0,INDEX('Планы менеджеров'!$B$5:$M$16,B3765,D3765)/INDEX(Мес_Раб,D3765))</f>
        <v/>
      </c>
    </row>
    <row r="3766">
      <c r="A3766" t="inlineStr">
        <is>
          <t>Егоров</t>
        </is>
      </c>
      <c r="B3766" t="n">
        <v>15</v>
      </c>
      <c r="C3766" s="18">
        <f>'Календарь'!A53</f>
        <v/>
      </c>
      <c r="D3766">
        <f>MONTH(C3766)</f>
        <v/>
      </c>
      <c r="E3766">
        <f>'Календарь'!D53</f>
        <v/>
      </c>
      <c r="F3766">
        <f>INT((C3766-Нед_Начало)/7)+1</f>
        <v/>
      </c>
      <c r="G3766">
        <f>IF(E3766=0,0,INDEX('Планы менеджеров'!$B$5:$M$16,B3766,D3766)/INDEX(Мес_Раб,D3766))</f>
        <v/>
      </c>
    </row>
    <row r="3767">
      <c r="A3767" t="inlineStr">
        <is>
          <t>Егоров</t>
        </is>
      </c>
      <c r="B3767" t="n">
        <v>15</v>
      </c>
      <c r="C3767" s="18">
        <f>'Календарь'!A54</f>
        <v/>
      </c>
      <c r="D3767">
        <f>MONTH(C3767)</f>
        <v/>
      </c>
      <c r="E3767">
        <f>'Календарь'!D54</f>
        <v/>
      </c>
      <c r="F3767">
        <f>INT((C3767-Нед_Начало)/7)+1</f>
        <v/>
      </c>
      <c r="G3767">
        <f>IF(E3767=0,0,INDEX('Планы менеджеров'!$B$5:$M$16,B3767,D3767)/INDEX(Мес_Раб,D3767))</f>
        <v/>
      </c>
    </row>
    <row r="3768">
      <c r="A3768" t="inlineStr">
        <is>
          <t>Егоров</t>
        </is>
      </c>
      <c r="B3768" t="n">
        <v>15</v>
      </c>
      <c r="C3768" s="18">
        <f>'Календарь'!A55</f>
        <v/>
      </c>
      <c r="D3768">
        <f>MONTH(C3768)</f>
        <v/>
      </c>
      <c r="E3768">
        <f>'Календарь'!D55</f>
        <v/>
      </c>
      <c r="F3768">
        <f>INT((C3768-Нед_Начало)/7)+1</f>
        <v/>
      </c>
      <c r="G3768">
        <f>IF(E3768=0,0,INDEX('Планы менеджеров'!$B$5:$M$16,B3768,D3768)/INDEX(Мес_Раб,D3768))</f>
        <v/>
      </c>
    </row>
    <row r="3769">
      <c r="A3769" t="inlineStr">
        <is>
          <t>Егоров</t>
        </is>
      </c>
      <c r="B3769" t="n">
        <v>15</v>
      </c>
      <c r="C3769" s="18">
        <f>'Календарь'!A56</f>
        <v/>
      </c>
      <c r="D3769">
        <f>MONTH(C3769)</f>
        <v/>
      </c>
      <c r="E3769">
        <f>'Календарь'!D56</f>
        <v/>
      </c>
      <c r="F3769">
        <f>INT((C3769-Нед_Начало)/7)+1</f>
        <v/>
      </c>
      <c r="G3769">
        <f>IF(E3769=0,0,INDEX('Планы менеджеров'!$B$5:$M$16,B3769,D3769)/INDEX(Мес_Раб,D3769))</f>
        <v/>
      </c>
    </row>
    <row r="3770">
      <c r="A3770" t="inlineStr">
        <is>
          <t>Егоров</t>
        </is>
      </c>
      <c r="B3770" t="n">
        <v>15</v>
      </c>
      <c r="C3770" s="18">
        <f>'Календарь'!A57</f>
        <v/>
      </c>
      <c r="D3770">
        <f>MONTH(C3770)</f>
        <v/>
      </c>
      <c r="E3770">
        <f>'Календарь'!D57</f>
        <v/>
      </c>
      <c r="F3770">
        <f>INT((C3770-Нед_Начало)/7)+1</f>
        <v/>
      </c>
      <c r="G3770">
        <f>IF(E3770=0,0,INDEX('Планы менеджеров'!$B$5:$M$16,B3770,D3770)/INDEX(Мес_Раб,D3770))</f>
        <v/>
      </c>
    </row>
    <row r="3771">
      <c r="A3771" t="inlineStr">
        <is>
          <t>Егоров</t>
        </is>
      </c>
      <c r="B3771" t="n">
        <v>15</v>
      </c>
      <c r="C3771" s="18">
        <f>'Календарь'!A58</f>
        <v/>
      </c>
      <c r="D3771">
        <f>MONTH(C3771)</f>
        <v/>
      </c>
      <c r="E3771">
        <f>'Календарь'!D58</f>
        <v/>
      </c>
      <c r="F3771">
        <f>INT((C3771-Нед_Начало)/7)+1</f>
        <v/>
      </c>
      <c r="G3771">
        <f>IF(E3771=0,0,INDEX('Планы менеджеров'!$B$5:$M$16,B3771,D3771)/INDEX(Мес_Раб,D3771))</f>
        <v/>
      </c>
    </row>
    <row r="3772">
      <c r="A3772" t="inlineStr">
        <is>
          <t>Егоров</t>
        </is>
      </c>
      <c r="B3772" t="n">
        <v>15</v>
      </c>
      <c r="C3772" s="18">
        <f>'Календарь'!A59</f>
        <v/>
      </c>
      <c r="D3772">
        <f>MONTH(C3772)</f>
        <v/>
      </c>
      <c r="E3772">
        <f>'Календарь'!D59</f>
        <v/>
      </c>
      <c r="F3772">
        <f>INT((C3772-Нед_Начало)/7)+1</f>
        <v/>
      </c>
      <c r="G3772">
        <f>IF(E3772=0,0,INDEX('Планы менеджеров'!$B$5:$M$16,B3772,D3772)/INDEX(Мес_Раб,D3772))</f>
        <v/>
      </c>
    </row>
    <row r="3773">
      <c r="A3773" t="inlineStr">
        <is>
          <t>Егоров</t>
        </is>
      </c>
      <c r="B3773" t="n">
        <v>15</v>
      </c>
      <c r="C3773" s="18">
        <f>'Календарь'!A60</f>
        <v/>
      </c>
      <c r="D3773">
        <f>MONTH(C3773)</f>
        <v/>
      </c>
      <c r="E3773">
        <f>'Календарь'!D60</f>
        <v/>
      </c>
      <c r="F3773">
        <f>INT((C3773-Нед_Начало)/7)+1</f>
        <v/>
      </c>
      <c r="G3773">
        <f>IF(E3773=0,0,INDEX('Планы менеджеров'!$B$5:$M$16,B3773,D3773)/INDEX(Мес_Раб,D3773))</f>
        <v/>
      </c>
    </row>
    <row r="3774">
      <c r="A3774" t="inlineStr">
        <is>
          <t>Егоров</t>
        </is>
      </c>
      <c r="B3774" t="n">
        <v>15</v>
      </c>
      <c r="C3774" s="18">
        <f>'Календарь'!A61</f>
        <v/>
      </c>
      <c r="D3774">
        <f>MONTH(C3774)</f>
        <v/>
      </c>
      <c r="E3774">
        <f>'Календарь'!D61</f>
        <v/>
      </c>
      <c r="F3774">
        <f>INT((C3774-Нед_Начало)/7)+1</f>
        <v/>
      </c>
      <c r="G3774">
        <f>IF(E3774=0,0,INDEX('Планы менеджеров'!$B$5:$M$16,B3774,D3774)/INDEX(Мес_Раб,D3774))</f>
        <v/>
      </c>
    </row>
    <row r="3775">
      <c r="A3775" t="inlineStr">
        <is>
          <t>Егоров</t>
        </is>
      </c>
      <c r="B3775" t="n">
        <v>15</v>
      </c>
      <c r="C3775" s="18">
        <f>'Календарь'!A62</f>
        <v/>
      </c>
      <c r="D3775">
        <f>MONTH(C3775)</f>
        <v/>
      </c>
      <c r="E3775">
        <f>'Календарь'!D62</f>
        <v/>
      </c>
      <c r="F3775">
        <f>INT((C3775-Нед_Начало)/7)+1</f>
        <v/>
      </c>
      <c r="G3775">
        <f>IF(E3775=0,0,INDEX('Планы менеджеров'!$B$5:$M$16,B3775,D3775)/INDEX(Мес_Раб,D3775))</f>
        <v/>
      </c>
    </row>
    <row r="3776">
      <c r="A3776" t="inlineStr">
        <is>
          <t>Егоров</t>
        </is>
      </c>
      <c r="B3776" t="n">
        <v>15</v>
      </c>
      <c r="C3776" s="18">
        <f>'Календарь'!A63</f>
        <v/>
      </c>
      <c r="D3776">
        <f>MONTH(C3776)</f>
        <v/>
      </c>
      <c r="E3776">
        <f>'Календарь'!D63</f>
        <v/>
      </c>
      <c r="F3776">
        <f>INT((C3776-Нед_Начало)/7)+1</f>
        <v/>
      </c>
      <c r="G3776">
        <f>IF(E3776=0,0,INDEX('Планы менеджеров'!$B$5:$M$16,B3776,D3776)/INDEX(Мес_Раб,D3776))</f>
        <v/>
      </c>
    </row>
    <row r="3777">
      <c r="A3777" t="inlineStr">
        <is>
          <t>Егоров</t>
        </is>
      </c>
      <c r="B3777" t="n">
        <v>15</v>
      </c>
      <c r="C3777" s="18">
        <f>'Календарь'!A64</f>
        <v/>
      </c>
      <c r="D3777">
        <f>MONTH(C3777)</f>
        <v/>
      </c>
      <c r="E3777">
        <f>'Календарь'!D64</f>
        <v/>
      </c>
      <c r="F3777">
        <f>INT((C3777-Нед_Начало)/7)+1</f>
        <v/>
      </c>
      <c r="G3777">
        <f>IF(E3777=0,0,INDEX('Планы менеджеров'!$B$5:$M$16,B3777,D3777)/INDEX(Мес_Раб,D3777))</f>
        <v/>
      </c>
    </row>
    <row r="3778">
      <c r="A3778" t="inlineStr">
        <is>
          <t>Егоров</t>
        </is>
      </c>
      <c r="B3778" t="n">
        <v>15</v>
      </c>
      <c r="C3778" s="18">
        <f>'Календарь'!A65</f>
        <v/>
      </c>
      <c r="D3778">
        <f>MONTH(C3778)</f>
        <v/>
      </c>
      <c r="E3778">
        <f>'Календарь'!D65</f>
        <v/>
      </c>
      <c r="F3778">
        <f>INT((C3778-Нед_Начало)/7)+1</f>
        <v/>
      </c>
      <c r="G3778">
        <f>IF(E3778=0,0,INDEX('Планы менеджеров'!$B$5:$M$16,B3778,D3778)/INDEX(Мес_Раб,D3778))</f>
        <v/>
      </c>
    </row>
    <row r="3779">
      <c r="A3779" t="inlineStr">
        <is>
          <t>Егоров</t>
        </is>
      </c>
      <c r="B3779" t="n">
        <v>15</v>
      </c>
      <c r="C3779" s="18">
        <f>'Календарь'!A66</f>
        <v/>
      </c>
      <c r="D3779">
        <f>MONTH(C3779)</f>
        <v/>
      </c>
      <c r="E3779">
        <f>'Календарь'!D66</f>
        <v/>
      </c>
      <c r="F3779">
        <f>INT((C3779-Нед_Начало)/7)+1</f>
        <v/>
      </c>
      <c r="G3779">
        <f>IF(E3779=0,0,INDEX('Планы менеджеров'!$B$5:$M$16,B3779,D3779)/INDEX(Мес_Раб,D3779))</f>
        <v/>
      </c>
    </row>
    <row r="3780">
      <c r="A3780" t="inlineStr">
        <is>
          <t>Егоров</t>
        </is>
      </c>
      <c r="B3780" t="n">
        <v>15</v>
      </c>
      <c r="C3780" s="18">
        <f>'Календарь'!A67</f>
        <v/>
      </c>
      <c r="D3780">
        <f>MONTH(C3780)</f>
        <v/>
      </c>
      <c r="E3780">
        <f>'Календарь'!D67</f>
        <v/>
      </c>
      <c r="F3780">
        <f>INT((C3780-Нед_Начало)/7)+1</f>
        <v/>
      </c>
      <c r="G3780">
        <f>IF(E3780=0,0,INDEX('Планы менеджеров'!$B$5:$M$16,B3780,D3780)/INDEX(Мес_Раб,D3780))</f>
        <v/>
      </c>
    </row>
    <row r="3781">
      <c r="A3781" t="inlineStr">
        <is>
          <t>Егоров</t>
        </is>
      </c>
      <c r="B3781" t="n">
        <v>15</v>
      </c>
      <c r="C3781" s="18">
        <f>'Календарь'!A68</f>
        <v/>
      </c>
      <c r="D3781">
        <f>MONTH(C3781)</f>
        <v/>
      </c>
      <c r="E3781">
        <f>'Календарь'!D68</f>
        <v/>
      </c>
      <c r="F3781">
        <f>INT((C3781-Нед_Начало)/7)+1</f>
        <v/>
      </c>
      <c r="G3781">
        <f>IF(E3781=0,0,INDEX('Планы менеджеров'!$B$5:$M$16,B3781,D3781)/INDEX(Мес_Раб,D3781))</f>
        <v/>
      </c>
    </row>
    <row r="3782">
      <c r="A3782" t="inlineStr">
        <is>
          <t>Егоров</t>
        </is>
      </c>
      <c r="B3782" t="n">
        <v>15</v>
      </c>
      <c r="C3782" s="18">
        <f>'Календарь'!A69</f>
        <v/>
      </c>
      <c r="D3782">
        <f>MONTH(C3782)</f>
        <v/>
      </c>
      <c r="E3782">
        <f>'Календарь'!D69</f>
        <v/>
      </c>
      <c r="F3782">
        <f>INT((C3782-Нед_Начало)/7)+1</f>
        <v/>
      </c>
      <c r="G3782">
        <f>IF(E3782=0,0,INDEX('Планы менеджеров'!$B$5:$M$16,B3782,D3782)/INDEX(Мес_Раб,D3782))</f>
        <v/>
      </c>
    </row>
    <row r="3783">
      <c r="A3783" t="inlineStr">
        <is>
          <t>Егоров</t>
        </is>
      </c>
      <c r="B3783" t="n">
        <v>15</v>
      </c>
      <c r="C3783" s="18">
        <f>'Календарь'!A70</f>
        <v/>
      </c>
      <c r="D3783">
        <f>MONTH(C3783)</f>
        <v/>
      </c>
      <c r="E3783">
        <f>'Календарь'!D70</f>
        <v/>
      </c>
      <c r="F3783">
        <f>INT((C3783-Нед_Начало)/7)+1</f>
        <v/>
      </c>
      <c r="G3783">
        <f>IF(E3783=0,0,INDEX('Планы менеджеров'!$B$5:$M$16,B3783,D3783)/INDEX(Мес_Раб,D3783))</f>
        <v/>
      </c>
    </row>
    <row r="3784">
      <c r="A3784" t="inlineStr">
        <is>
          <t>Егоров</t>
        </is>
      </c>
      <c r="B3784" t="n">
        <v>15</v>
      </c>
      <c r="C3784" s="18">
        <f>'Календарь'!A71</f>
        <v/>
      </c>
      <c r="D3784">
        <f>MONTH(C3784)</f>
        <v/>
      </c>
      <c r="E3784">
        <f>'Календарь'!D71</f>
        <v/>
      </c>
      <c r="F3784">
        <f>INT((C3784-Нед_Начало)/7)+1</f>
        <v/>
      </c>
      <c r="G3784">
        <f>IF(E3784=0,0,INDEX('Планы менеджеров'!$B$5:$M$16,B3784,D3784)/INDEX(Мес_Раб,D3784))</f>
        <v/>
      </c>
    </row>
    <row r="3785">
      <c r="A3785" t="inlineStr">
        <is>
          <t>Егоров</t>
        </is>
      </c>
      <c r="B3785" t="n">
        <v>15</v>
      </c>
      <c r="C3785" s="18">
        <f>'Календарь'!A72</f>
        <v/>
      </c>
      <c r="D3785">
        <f>MONTH(C3785)</f>
        <v/>
      </c>
      <c r="E3785">
        <f>'Календарь'!D72</f>
        <v/>
      </c>
      <c r="F3785">
        <f>INT((C3785-Нед_Начало)/7)+1</f>
        <v/>
      </c>
      <c r="G3785">
        <f>IF(E3785=0,0,INDEX('Планы менеджеров'!$B$5:$M$16,B3785,D3785)/INDEX(Мес_Раб,D3785))</f>
        <v/>
      </c>
    </row>
    <row r="3786">
      <c r="A3786" t="inlineStr">
        <is>
          <t>Егоров</t>
        </is>
      </c>
      <c r="B3786" t="n">
        <v>15</v>
      </c>
      <c r="C3786" s="18">
        <f>'Календарь'!A73</f>
        <v/>
      </c>
      <c r="D3786">
        <f>MONTH(C3786)</f>
        <v/>
      </c>
      <c r="E3786">
        <f>'Календарь'!D73</f>
        <v/>
      </c>
      <c r="F3786">
        <f>INT((C3786-Нед_Начало)/7)+1</f>
        <v/>
      </c>
      <c r="G3786">
        <f>IF(E3786=0,0,INDEX('Планы менеджеров'!$B$5:$M$16,B3786,D3786)/INDEX(Мес_Раб,D3786))</f>
        <v/>
      </c>
    </row>
    <row r="3787">
      <c r="A3787" t="inlineStr">
        <is>
          <t>Егоров</t>
        </is>
      </c>
      <c r="B3787" t="n">
        <v>15</v>
      </c>
      <c r="C3787" s="18">
        <f>'Календарь'!A74</f>
        <v/>
      </c>
      <c r="D3787">
        <f>MONTH(C3787)</f>
        <v/>
      </c>
      <c r="E3787">
        <f>'Календарь'!D74</f>
        <v/>
      </c>
      <c r="F3787">
        <f>INT((C3787-Нед_Начало)/7)+1</f>
        <v/>
      </c>
      <c r="G3787">
        <f>IF(E3787=0,0,INDEX('Планы менеджеров'!$B$5:$M$16,B3787,D3787)/INDEX(Мес_Раб,D3787))</f>
        <v/>
      </c>
    </row>
    <row r="3788">
      <c r="A3788" t="inlineStr">
        <is>
          <t>Егоров</t>
        </is>
      </c>
      <c r="B3788" t="n">
        <v>15</v>
      </c>
      <c r="C3788" s="18">
        <f>'Календарь'!A75</f>
        <v/>
      </c>
      <c r="D3788">
        <f>MONTH(C3788)</f>
        <v/>
      </c>
      <c r="E3788">
        <f>'Календарь'!D75</f>
        <v/>
      </c>
      <c r="F3788">
        <f>INT((C3788-Нед_Начало)/7)+1</f>
        <v/>
      </c>
      <c r="G3788">
        <f>IF(E3788=0,0,INDEX('Планы менеджеров'!$B$5:$M$16,B3788,D3788)/INDEX(Мес_Раб,D3788))</f>
        <v/>
      </c>
    </row>
    <row r="3789">
      <c r="A3789" t="inlineStr">
        <is>
          <t>Егоров</t>
        </is>
      </c>
      <c r="B3789" t="n">
        <v>15</v>
      </c>
      <c r="C3789" s="18">
        <f>'Календарь'!A76</f>
        <v/>
      </c>
      <c r="D3789">
        <f>MONTH(C3789)</f>
        <v/>
      </c>
      <c r="E3789">
        <f>'Календарь'!D76</f>
        <v/>
      </c>
      <c r="F3789">
        <f>INT((C3789-Нед_Начало)/7)+1</f>
        <v/>
      </c>
      <c r="G3789">
        <f>IF(E3789=0,0,INDEX('Планы менеджеров'!$B$5:$M$16,B3789,D3789)/INDEX(Мес_Раб,D3789))</f>
        <v/>
      </c>
    </row>
    <row r="3790">
      <c r="A3790" t="inlineStr">
        <is>
          <t>Егоров</t>
        </is>
      </c>
      <c r="B3790" t="n">
        <v>15</v>
      </c>
      <c r="C3790" s="18">
        <f>'Календарь'!A77</f>
        <v/>
      </c>
      <c r="D3790">
        <f>MONTH(C3790)</f>
        <v/>
      </c>
      <c r="E3790">
        <f>'Календарь'!D77</f>
        <v/>
      </c>
      <c r="F3790">
        <f>INT((C3790-Нед_Начало)/7)+1</f>
        <v/>
      </c>
      <c r="G3790">
        <f>IF(E3790=0,0,INDEX('Планы менеджеров'!$B$5:$M$16,B3790,D3790)/INDEX(Мес_Раб,D3790))</f>
        <v/>
      </c>
    </row>
    <row r="3791">
      <c r="A3791" t="inlineStr">
        <is>
          <t>Егоров</t>
        </is>
      </c>
      <c r="B3791" t="n">
        <v>15</v>
      </c>
      <c r="C3791" s="18">
        <f>'Календарь'!A78</f>
        <v/>
      </c>
      <c r="D3791">
        <f>MONTH(C3791)</f>
        <v/>
      </c>
      <c r="E3791">
        <f>'Календарь'!D78</f>
        <v/>
      </c>
      <c r="F3791">
        <f>INT((C3791-Нед_Начало)/7)+1</f>
        <v/>
      </c>
      <c r="G3791">
        <f>IF(E3791=0,0,INDEX('Планы менеджеров'!$B$5:$M$16,B3791,D3791)/INDEX(Мес_Раб,D3791))</f>
        <v/>
      </c>
    </row>
    <row r="3792">
      <c r="A3792" t="inlineStr">
        <is>
          <t>Егоров</t>
        </is>
      </c>
      <c r="B3792" t="n">
        <v>15</v>
      </c>
      <c r="C3792" s="18">
        <f>'Календарь'!A79</f>
        <v/>
      </c>
      <c r="D3792">
        <f>MONTH(C3792)</f>
        <v/>
      </c>
      <c r="E3792">
        <f>'Календарь'!D79</f>
        <v/>
      </c>
      <c r="F3792">
        <f>INT((C3792-Нед_Начало)/7)+1</f>
        <v/>
      </c>
      <c r="G3792">
        <f>IF(E3792=0,0,INDEX('Планы менеджеров'!$B$5:$M$16,B3792,D3792)/INDEX(Мес_Раб,D3792))</f>
        <v/>
      </c>
    </row>
    <row r="3793">
      <c r="A3793" t="inlineStr">
        <is>
          <t>Егоров</t>
        </is>
      </c>
      <c r="B3793" t="n">
        <v>15</v>
      </c>
      <c r="C3793" s="18">
        <f>'Календарь'!A80</f>
        <v/>
      </c>
      <c r="D3793">
        <f>MONTH(C3793)</f>
        <v/>
      </c>
      <c r="E3793">
        <f>'Календарь'!D80</f>
        <v/>
      </c>
      <c r="F3793">
        <f>INT((C3793-Нед_Начало)/7)+1</f>
        <v/>
      </c>
      <c r="G3793">
        <f>IF(E3793=0,0,INDEX('Планы менеджеров'!$B$5:$M$16,B3793,D3793)/INDEX(Мес_Раб,D3793))</f>
        <v/>
      </c>
    </row>
    <row r="3794">
      <c r="A3794" t="inlineStr">
        <is>
          <t>Егоров</t>
        </is>
      </c>
      <c r="B3794" t="n">
        <v>15</v>
      </c>
      <c r="C3794" s="18">
        <f>'Календарь'!A81</f>
        <v/>
      </c>
      <c r="D3794">
        <f>MONTH(C3794)</f>
        <v/>
      </c>
      <c r="E3794">
        <f>'Календарь'!D81</f>
        <v/>
      </c>
      <c r="F3794">
        <f>INT((C3794-Нед_Начало)/7)+1</f>
        <v/>
      </c>
      <c r="G3794">
        <f>IF(E3794=0,0,INDEX('Планы менеджеров'!$B$5:$M$16,B3794,D3794)/INDEX(Мес_Раб,D3794))</f>
        <v/>
      </c>
    </row>
    <row r="3795">
      <c r="A3795" t="inlineStr">
        <is>
          <t>Егоров</t>
        </is>
      </c>
      <c r="B3795" t="n">
        <v>15</v>
      </c>
      <c r="C3795" s="18">
        <f>'Календарь'!A82</f>
        <v/>
      </c>
      <c r="D3795">
        <f>MONTH(C3795)</f>
        <v/>
      </c>
      <c r="E3795">
        <f>'Календарь'!D82</f>
        <v/>
      </c>
      <c r="F3795">
        <f>INT((C3795-Нед_Начало)/7)+1</f>
        <v/>
      </c>
      <c r="G3795">
        <f>IF(E3795=0,0,INDEX('Планы менеджеров'!$B$5:$M$16,B3795,D3795)/INDEX(Мес_Раб,D3795))</f>
        <v/>
      </c>
    </row>
    <row r="3796">
      <c r="A3796" t="inlineStr">
        <is>
          <t>Егоров</t>
        </is>
      </c>
      <c r="B3796" t="n">
        <v>15</v>
      </c>
      <c r="C3796" s="18">
        <f>'Календарь'!A83</f>
        <v/>
      </c>
      <c r="D3796">
        <f>MONTH(C3796)</f>
        <v/>
      </c>
      <c r="E3796">
        <f>'Календарь'!D83</f>
        <v/>
      </c>
      <c r="F3796">
        <f>INT((C3796-Нед_Начало)/7)+1</f>
        <v/>
      </c>
      <c r="G3796">
        <f>IF(E3796=0,0,INDEX('Планы менеджеров'!$B$5:$M$16,B3796,D3796)/INDEX(Мес_Раб,D3796))</f>
        <v/>
      </c>
    </row>
    <row r="3797">
      <c r="A3797" t="inlineStr">
        <is>
          <t>Егоров</t>
        </is>
      </c>
      <c r="B3797" t="n">
        <v>15</v>
      </c>
      <c r="C3797" s="18">
        <f>'Календарь'!A84</f>
        <v/>
      </c>
      <c r="D3797">
        <f>MONTH(C3797)</f>
        <v/>
      </c>
      <c r="E3797">
        <f>'Календарь'!D84</f>
        <v/>
      </c>
      <c r="F3797">
        <f>INT((C3797-Нед_Начало)/7)+1</f>
        <v/>
      </c>
      <c r="G3797">
        <f>IF(E3797=0,0,INDEX('Планы менеджеров'!$B$5:$M$16,B3797,D3797)/INDEX(Мес_Раб,D3797))</f>
        <v/>
      </c>
    </row>
    <row r="3798">
      <c r="A3798" t="inlineStr">
        <is>
          <t>Егоров</t>
        </is>
      </c>
      <c r="B3798" t="n">
        <v>15</v>
      </c>
      <c r="C3798" s="18">
        <f>'Календарь'!A85</f>
        <v/>
      </c>
      <c r="D3798">
        <f>MONTH(C3798)</f>
        <v/>
      </c>
      <c r="E3798">
        <f>'Календарь'!D85</f>
        <v/>
      </c>
      <c r="F3798">
        <f>INT((C3798-Нед_Начало)/7)+1</f>
        <v/>
      </c>
      <c r="G3798">
        <f>IF(E3798=0,0,INDEX('Планы менеджеров'!$B$5:$M$16,B3798,D3798)/INDEX(Мес_Раб,D3798))</f>
        <v/>
      </c>
    </row>
    <row r="3799">
      <c r="A3799" t="inlineStr">
        <is>
          <t>Егоров</t>
        </is>
      </c>
      <c r="B3799" t="n">
        <v>15</v>
      </c>
      <c r="C3799" s="18">
        <f>'Календарь'!A86</f>
        <v/>
      </c>
      <c r="D3799">
        <f>MONTH(C3799)</f>
        <v/>
      </c>
      <c r="E3799">
        <f>'Календарь'!D86</f>
        <v/>
      </c>
      <c r="F3799">
        <f>INT((C3799-Нед_Начало)/7)+1</f>
        <v/>
      </c>
      <c r="G3799">
        <f>IF(E3799=0,0,INDEX('Планы менеджеров'!$B$5:$M$16,B3799,D3799)/INDEX(Мес_Раб,D3799))</f>
        <v/>
      </c>
    </row>
    <row r="3800">
      <c r="A3800" t="inlineStr">
        <is>
          <t>Егоров</t>
        </is>
      </c>
      <c r="B3800" t="n">
        <v>15</v>
      </c>
      <c r="C3800" s="18">
        <f>'Календарь'!A87</f>
        <v/>
      </c>
      <c r="D3800">
        <f>MONTH(C3800)</f>
        <v/>
      </c>
      <c r="E3800">
        <f>'Календарь'!D87</f>
        <v/>
      </c>
      <c r="F3800">
        <f>INT((C3800-Нед_Начало)/7)+1</f>
        <v/>
      </c>
      <c r="G3800">
        <f>IF(E3800=0,0,INDEX('Планы менеджеров'!$B$5:$M$16,B3800,D3800)/INDEX(Мес_Раб,D3800))</f>
        <v/>
      </c>
    </row>
    <row r="3801">
      <c r="A3801" t="inlineStr">
        <is>
          <t>Егоров</t>
        </is>
      </c>
      <c r="B3801" t="n">
        <v>15</v>
      </c>
      <c r="C3801" s="18">
        <f>'Календарь'!A88</f>
        <v/>
      </c>
      <c r="D3801">
        <f>MONTH(C3801)</f>
        <v/>
      </c>
      <c r="E3801">
        <f>'Календарь'!D88</f>
        <v/>
      </c>
      <c r="F3801">
        <f>INT((C3801-Нед_Начало)/7)+1</f>
        <v/>
      </c>
      <c r="G3801">
        <f>IF(E3801=0,0,INDEX('Планы менеджеров'!$B$5:$M$16,B3801,D3801)/INDEX(Мес_Раб,D3801))</f>
        <v/>
      </c>
    </row>
    <row r="3802">
      <c r="A3802" t="inlineStr">
        <is>
          <t>Егоров</t>
        </is>
      </c>
      <c r="B3802" t="n">
        <v>15</v>
      </c>
      <c r="C3802" s="18">
        <f>'Календарь'!A89</f>
        <v/>
      </c>
      <c r="D3802">
        <f>MONTH(C3802)</f>
        <v/>
      </c>
      <c r="E3802">
        <f>'Календарь'!D89</f>
        <v/>
      </c>
      <c r="F3802">
        <f>INT((C3802-Нед_Начало)/7)+1</f>
        <v/>
      </c>
      <c r="G3802">
        <f>IF(E3802=0,0,INDEX('Планы менеджеров'!$B$5:$M$16,B3802,D3802)/INDEX(Мес_Раб,D3802))</f>
        <v/>
      </c>
    </row>
    <row r="3803">
      <c r="A3803" t="inlineStr">
        <is>
          <t>Егоров</t>
        </is>
      </c>
      <c r="B3803" t="n">
        <v>15</v>
      </c>
      <c r="C3803" s="18">
        <f>'Календарь'!A90</f>
        <v/>
      </c>
      <c r="D3803">
        <f>MONTH(C3803)</f>
        <v/>
      </c>
      <c r="E3803">
        <f>'Календарь'!D90</f>
        <v/>
      </c>
      <c r="F3803">
        <f>INT((C3803-Нед_Начало)/7)+1</f>
        <v/>
      </c>
      <c r="G3803">
        <f>IF(E3803=0,0,INDEX('Планы менеджеров'!$B$5:$M$16,B3803,D3803)/INDEX(Мес_Раб,D3803))</f>
        <v/>
      </c>
    </row>
    <row r="3804">
      <c r="A3804" t="inlineStr">
        <is>
          <t>Егоров</t>
        </is>
      </c>
      <c r="B3804" t="n">
        <v>15</v>
      </c>
      <c r="C3804" s="18">
        <f>'Календарь'!A91</f>
        <v/>
      </c>
      <c r="D3804">
        <f>MONTH(C3804)</f>
        <v/>
      </c>
      <c r="E3804">
        <f>'Календарь'!D91</f>
        <v/>
      </c>
      <c r="F3804">
        <f>INT((C3804-Нед_Начало)/7)+1</f>
        <v/>
      </c>
      <c r="G3804">
        <f>IF(E3804=0,0,INDEX('Планы менеджеров'!$B$5:$M$16,B3804,D3804)/INDEX(Мес_Раб,D3804))</f>
        <v/>
      </c>
    </row>
    <row r="3805">
      <c r="A3805" t="inlineStr">
        <is>
          <t>Егоров</t>
        </is>
      </c>
      <c r="B3805" t="n">
        <v>15</v>
      </c>
      <c r="C3805" s="18">
        <f>'Календарь'!A92</f>
        <v/>
      </c>
      <c r="D3805">
        <f>MONTH(C3805)</f>
        <v/>
      </c>
      <c r="E3805">
        <f>'Календарь'!D92</f>
        <v/>
      </c>
      <c r="F3805">
        <f>INT((C3805-Нед_Начало)/7)+1</f>
        <v/>
      </c>
      <c r="G3805">
        <f>IF(E3805=0,0,INDEX('Планы менеджеров'!$B$5:$M$16,B3805,D3805)/INDEX(Мес_Раб,D3805))</f>
        <v/>
      </c>
    </row>
    <row r="3806">
      <c r="A3806" t="inlineStr">
        <is>
          <t>Егоров</t>
        </is>
      </c>
      <c r="B3806" t="n">
        <v>15</v>
      </c>
      <c r="C3806" s="18">
        <f>'Календарь'!A93</f>
        <v/>
      </c>
      <c r="D3806">
        <f>MONTH(C3806)</f>
        <v/>
      </c>
      <c r="E3806">
        <f>'Календарь'!D93</f>
        <v/>
      </c>
      <c r="F3806">
        <f>INT((C3806-Нед_Начало)/7)+1</f>
        <v/>
      </c>
      <c r="G3806">
        <f>IF(E3806=0,0,INDEX('Планы менеджеров'!$B$5:$M$16,B3806,D3806)/INDEX(Мес_Раб,D3806))</f>
        <v/>
      </c>
    </row>
    <row r="3807">
      <c r="A3807" t="inlineStr">
        <is>
          <t>Егоров</t>
        </is>
      </c>
      <c r="B3807" t="n">
        <v>15</v>
      </c>
      <c r="C3807" s="18">
        <f>'Календарь'!A94</f>
        <v/>
      </c>
      <c r="D3807">
        <f>MONTH(C3807)</f>
        <v/>
      </c>
      <c r="E3807">
        <f>'Календарь'!D94</f>
        <v/>
      </c>
      <c r="F3807">
        <f>INT((C3807-Нед_Начало)/7)+1</f>
        <v/>
      </c>
      <c r="G3807">
        <f>IF(E3807=0,0,INDEX('Планы менеджеров'!$B$5:$M$16,B3807,D3807)/INDEX(Мес_Раб,D3807))</f>
        <v/>
      </c>
    </row>
    <row r="3808">
      <c r="A3808" t="inlineStr">
        <is>
          <t>Егоров</t>
        </is>
      </c>
      <c r="B3808" t="n">
        <v>15</v>
      </c>
      <c r="C3808" s="18">
        <f>'Календарь'!A95</f>
        <v/>
      </c>
      <c r="D3808">
        <f>MONTH(C3808)</f>
        <v/>
      </c>
      <c r="E3808">
        <f>'Календарь'!D95</f>
        <v/>
      </c>
      <c r="F3808">
        <f>INT((C3808-Нед_Начало)/7)+1</f>
        <v/>
      </c>
      <c r="G3808">
        <f>IF(E3808=0,0,INDEX('Планы менеджеров'!$B$5:$M$16,B3808,D3808)/INDEX(Мес_Раб,D3808))</f>
        <v/>
      </c>
    </row>
    <row r="3809">
      <c r="A3809" t="inlineStr">
        <is>
          <t>Егоров</t>
        </is>
      </c>
      <c r="B3809" t="n">
        <v>15</v>
      </c>
      <c r="C3809" s="18">
        <f>'Календарь'!A96</f>
        <v/>
      </c>
      <c r="D3809">
        <f>MONTH(C3809)</f>
        <v/>
      </c>
      <c r="E3809">
        <f>'Календарь'!D96</f>
        <v/>
      </c>
      <c r="F3809">
        <f>INT((C3809-Нед_Начало)/7)+1</f>
        <v/>
      </c>
      <c r="G3809">
        <f>IF(E3809=0,0,INDEX('Планы менеджеров'!$B$5:$M$16,B3809,D3809)/INDEX(Мес_Раб,D3809))</f>
        <v/>
      </c>
    </row>
    <row r="3810">
      <c r="A3810" t="inlineStr">
        <is>
          <t>Егоров</t>
        </is>
      </c>
      <c r="B3810" t="n">
        <v>15</v>
      </c>
      <c r="C3810" s="18">
        <f>'Календарь'!A97</f>
        <v/>
      </c>
      <c r="D3810">
        <f>MONTH(C3810)</f>
        <v/>
      </c>
      <c r="E3810">
        <f>'Календарь'!D97</f>
        <v/>
      </c>
      <c r="F3810">
        <f>INT((C3810-Нед_Начало)/7)+1</f>
        <v/>
      </c>
      <c r="G3810">
        <f>IF(E3810=0,0,INDEX('Планы менеджеров'!$B$5:$M$16,B3810,D3810)/INDEX(Мес_Раб,D3810))</f>
        <v/>
      </c>
    </row>
    <row r="3811">
      <c r="A3811" t="inlineStr">
        <is>
          <t>Егоров</t>
        </is>
      </c>
      <c r="B3811" t="n">
        <v>15</v>
      </c>
      <c r="C3811" s="18">
        <f>'Календарь'!A98</f>
        <v/>
      </c>
      <c r="D3811">
        <f>MONTH(C3811)</f>
        <v/>
      </c>
      <c r="E3811">
        <f>'Календарь'!D98</f>
        <v/>
      </c>
      <c r="F3811">
        <f>INT((C3811-Нед_Начало)/7)+1</f>
        <v/>
      </c>
      <c r="G3811">
        <f>IF(E3811=0,0,INDEX('Планы менеджеров'!$B$5:$M$16,B3811,D3811)/INDEX(Мес_Раб,D3811))</f>
        <v/>
      </c>
    </row>
    <row r="3812">
      <c r="A3812" t="inlineStr">
        <is>
          <t>Егоров</t>
        </is>
      </c>
      <c r="B3812" t="n">
        <v>15</v>
      </c>
      <c r="C3812" s="18">
        <f>'Календарь'!A99</f>
        <v/>
      </c>
      <c r="D3812">
        <f>MONTH(C3812)</f>
        <v/>
      </c>
      <c r="E3812">
        <f>'Календарь'!D99</f>
        <v/>
      </c>
      <c r="F3812">
        <f>INT((C3812-Нед_Начало)/7)+1</f>
        <v/>
      </c>
      <c r="G3812">
        <f>IF(E3812=0,0,INDEX('Планы менеджеров'!$B$5:$M$16,B3812,D3812)/INDEX(Мес_Раб,D3812))</f>
        <v/>
      </c>
    </row>
    <row r="3813">
      <c r="A3813" t="inlineStr">
        <is>
          <t>Егоров</t>
        </is>
      </c>
      <c r="B3813" t="n">
        <v>15</v>
      </c>
      <c r="C3813" s="18">
        <f>'Календарь'!A100</f>
        <v/>
      </c>
      <c r="D3813">
        <f>MONTH(C3813)</f>
        <v/>
      </c>
      <c r="E3813">
        <f>'Календарь'!D100</f>
        <v/>
      </c>
      <c r="F3813">
        <f>INT((C3813-Нед_Начало)/7)+1</f>
        <v/>
      </c>
      <c r="G3813">
        <f>IF(E3813=0,0,INDEX('Планы менеджеров'!$B$5:$M$16,B3813,D3813)/INDEX(Мес_Раб,D3813))</f>
        <v/>
      </c>
    </row>
    <row r="3814">
      <c r="A3814" t="inlineStr">
        <is>
          <t>Егоров</t>
        </is>
      </c>
      <c r="B3814" t="n">
        <v>15</v>
      </c>
      <c r="C3814" s="18">
        <f>'Календарь'!A101</f>
        <v/>
      </c>
      <c r="D3814">
        <f>MONTH(C3814)</f>
        <v/>
      </c>
      <c r="E3814">
        <f>'Календарь'!D101</f>
        <v/>
      </c>
      <c r="F3814">
        <f>INT((C3814-Нед_Начало)/7)+1</f>
        <v/>
      </c>
      <c r="G3814">
        <f>IF(E3814=0,0,INDEX('Планы менеджеров'!$B$5:$M$16,B3814,D3814)/INDEX(Мес_Раб,D3814))</f>
        <v/>
      </c>
    </row>
    <row r="3815">
      <c r="A3815" t="inlineStr">
        <is>
          <t>Егоров</t>
        </is>
      </c>
      <c r="B3815" t="n">
        <v>15</v>
      </c>
      <c r="C3815" s="18">
        <f>'Календарь'!A102</f>
        <v/>
      </c>
      <c r="D3815">
        <f>MONTH(C3815)</f>
        <v/>
      </c>
      <c r="E3815">
        <f>'Календарь'!D102</f>
        <v/>
      </c>
      <c r="F3815">
        <f>INT((C3815-Нед_Начало)/7)+1</f>
        <v/>
      </c>
      <c r="G3815">
        <f>IF(E3815=0,0,INDEX('Планы менеджеров'!$B$5:$M$16,B3815,D3815)/INDEX(Мес_Раб,D3815))</f>
        <v/>
      </c>
    </row>
    <row r="3816">
      <c r="A3816" t="inlineStr">
        <is>
          <t>Егоров</t>
        </is>
      </c>
      <c r="B3816" t="n">
        <v>15</v>
      </c>
      <c r="C3816" s="18">
        <f>'Календарь'!A103</f>
        <v/>
      </c>
      <c r="D3816">
        <f>MONTH(C3816)</f>
        <v/>
      </c>
      <c r="E3816">
        <f>'Календарь'!D103</f>
        <v/>
      </c>
      <c r="F3816">
        <f>INT((C3816-Нед_Начало)/7)+1</f>
        <v/>
      </c>
      <c r="G3816">
        <f>IF(E3816=0,0,INDEX('Планы менеджеров'!$B$5:$M$16,B3816,D3816)/INDEX(Мес_Раб,D3816))</f>
        <v/>
      </c>
    </row>
    <row r="3817">
      <c r="A3817" t="inlineStr">
        <is>
          <t>Егоров</t>
        </is>
      </c>
      <c r="B3817" t="n">
        <v>15</v>
      </c>
      <c r="C3817" s="18">
        <f>'Календарь'!A104</f>
        <v/>
      </c>
      <c r="D3817">
        <f>MONTH(C3817)</f>
        <v/>
      </c>
      <c r="E3817">
        <f>'Календарь'!D104</f>
        <v/>
      </c>
      <c r="F3817">
        <f>INT((C3817-Нед_Начало)/7)+1</f>
        <v/>
      </c>
      <c r="G3817">
        <f>IF(E3817=0,0,INDEX('Планы менеджеров'!$B$5:$M$16,B3817,D3817)/INDEX(Мес_Раб,D3817))</f>
        <v/>
      </c>
    </row>
    <row r="3818">
      <c r="A3818" t="inlineStr">
        <is>
          <t>Егоров</t>
        </is>
      </c>
      <c r="B3818" t="n">
        <v>15</v>
      </c>
      <c r="C3818" s="18">
        <f>'Календарь'!A105</f>
        <v/>
      </c>
      <c r="D3818">
        <f>MONTH(C3818)</f>
        <v/>
      </c>
      <c r="E3818">
        <f>'Календарь'!D105</f>
        <v/>
      </c>
      <c r="F3818">
        <f>INT((C3818-Нед_Начало)/7)+1</f>
        <v/>
      </c>
      <c r="G3818">
        <f>IF(E3818=0,0,INDEX('Планы менеджеров'!$B$5:$M$16,B3818,D3818)/INDEX(Мес_Раб,D3818))</f>
        <v/>
      </c>
    </row>
    <row r="3819">
      <c r="A3819" t="inlineStr">
        <is>
          <t>Егоров</t>
        </is>
      </c>
      <c r="B3819" t="n">
        <v>15</v>
      </c>
      <c r="C3819" s="18">
        <f>'Календарь'!A106</f>
        <v/>
      </c>
      <c r="D3819">
        <f>MONTH(C3819)</f>
        <v/>
      </c>
      <c r="E3819">
        <f>'Календарь'!D106</f>
        <v/>
      </c>
      <c r="F3819">
        <f>INT((C3819-Нед_Начало)/7)+1</f>
        <v/>
      </c>
      <c r="G3819">
        <f>IF(E3819=0,0,INDEX('Планы менеджеров'!$B$5:$M$16,B3819,D3819)/INDEX(Мес_Раб,D3819))</f>
        <v/>
      </c>
    </row>
    <row r="3820">
      <c r="A3820" t="inlineStr">
        <is>
          <t>Егоров</t>
        </is>
      </c>
      <c r="B3820" t="n">
        <v>15</v>
      </c>
      <c r="C3820" s="18">
        <f>'Календарь'!A107</f>
        <v/>
      </c>
      <c r="D3820">
        <f>MONTH(C3820)</f>
        <v/>
      </c>
      <c r="E3820">
        <f>'Календарь'!D107</f>
        <v/>
      </c>
      <c r="F3820">
        <f>INT((C3820-Нед_Начало)/7)+1</f>
        <v/>
      </c>
      <c r="G3820">
        <f>IF(E3820=0,0,INDEX('Планы менеджеров'!$B$5:$M$16,B3820,D3820)/INDEX(Мес_Раб,D3820))</f>
        <v/>
      </c>
    </row>
    <row r="3821">
      <c r="A3821" t="inlineStr">
        <is>
          <t>Егоров</t>
        </is>
      </c>
      <c r="B3821" t="n">
        <v>15</v>
      </c>
      <c r="C3821" s="18">
        <f>'Календарь'!A108</f>
        <v/>
      </c>
      <c r="D3821">
        <f>MONTH(C3821)</f>
        <v/>
      </c>
      <c r="E3821">
        <f>'Календарь'!D108</f>
        <v/>
      </c>
      <c r="F3821">
        <f>INT((C3821-Нед_Начало)/7)+1</f>
        <v/>
      </c>
      <c r="G3821">
        <f>IF(E3821=0,0,INDEX('Планы менеджеров'!$B$5:$M$16,B3821,D3821)/INDEX(Мес_Раб,D3821))</f>
        <v/>
      </c>
    </row>
    <row r="3822">
      <c r="A3822" t="inlineStr">
        <is>
          <t>Егоров</t>
        </is>
      </c>
      <c r="B3822" t="n">
        <v>15</v>
      </c>
      <c r="C3822" s="18">
        <f>'Календарь'!A109</f>
        <v/>
      </c>
      <c r="D3822">
        <f>MONTH(C3822)</f>
        <v/>
      </c>
      <c r="E3822">
        <f>'Календарь'!D109</f>
        <v/>
      </c>
      <c r="F3822">
        <f>INT((C3822-Нед_Начало)/7)+1</f>
        <v/>
      </c>
      <c r="G3822">
        <f>IF(E3822=0,0,INDEX('Планы менеджеров'!$B$5:$M$16,B3822,D3822)/INDEX(Мес_Раб,D3822))</f>
        <v/>
      </c>
    </row>
    <row r="3823">
      <c r="A3823" t="inlineStr">
        <is>
          <t>Егоров</t>
        </is>
      </c>
      <c r="B3823" t="n">
        <v>15</v>
      </c>
      <c r="C3823" s="18">
        <f>'Календарь'!A110</f>
        <v/>
      </c>
      <c r="D3823">
        <f>MONTH(C3823)</f>
        <v/>
      </c>
      <c r="E3823">
        <f>'Календарь'!D110</f>
        <v/>
      </c>
      <c r="F3823">
        <f>INT((C3823-Нед_Начало)/7)+1</f>
        <v/>
      </c>
      <c r="G3823">
        <f>IF(E3823=0,0,INDEX('Планы менеджеров'!$B$5:$M$16,B3823,D3823)/INDEX(Мес_Раб,D3823))</f>
        <v/>
      </c>
    </row>
    <row r="3824">
      <c r="A3824" t="inlineStr">
        <is>
          <t>Егоров</t>
        </is>
      </c>
      <c r="B3824" t="n">
        <v>15</v>
      </c>
      <c r="C3824" s="18">
        <f>'Календарь'!A111</f>
        <v/>
      </c>
      <c r="D3824">
        <f>MONTH(C3824)</f>
        <v/>
      </c>
      <c r="E3824">
        <f>'Календарь'!D111</f>
        <v/>
      </c>
      <c r="F3824">
        <f>INT((C3824-Нед_Начало)/7)+1</f>
        <v/>
      </c>
      <c r="G3824">
        <f>IF(E3824=0,0,INDEX('Планы менеджеров'!$B$5:$M$16,B3824,D3824)/INDEX(Мес_Раб,D3824))</f>
        <v/>
      </c>
    </row>
    <row r="3825">
      <c r="A3825" t="inlineStr">
        <is>
          <t>Егоров</t>
        </is>
      </c>
      <c r="B3825" t="n">
        <v>15</v>
      </c>
      <c r="C3825" s="18">
        <f>'Календарь'!A112</f>
        <v/>
      </c>
      <c r="D3825">
        <f>MONTH(C3825)</f>
        <v/>
      </c>
      <c r="E3825">
        <f>'Календарь'!D112</f>
        <v/>
      </c>
      <c r="F3825">
        <f>INT((C3825-Нед_Начало)/7)+1</f>
        <v/>
      </c>
      <c r="G3825">
        <f>IF(E3825=0,0,INDEX('Планы менеджеров'!$B$5:$M$16,B3825,D3825)/INDEX(Мес_Раб,D3825))</f>
        <v/>
      </c>
    </row>
    <row r="3826">
      <c r="A3826" t="inlineStr">
        <is>
          <t>Егоров</t>
        </is>
      </c>
      <c r="B3826" t="n">
        <v>15</v>
      </c>
      <c r="C3826" s="18">
        <f>'Календарь'!A113</f>
        <v/>
      </c>
      <c r="D3826">
        <f>MONTH(C3826)</f>
        <v/>
      </c>
      <c r="E3826">
        <f>'Календарь'!D113</f>
        <v/>
      </c>
      <c r="F3826">
        <f>INT((C3826-Нед_Начало)/7)+1</f>
        <v/>
      </c>
      <c r="G3826">
        <f>IF(E3826=0,0,INDEX('Планы менеджеров'!$B$5:$M$16,B3826,D3826)/INDEX(Мес_Раб,D3826))</f>
        <v/>
      </c>
    </row>
    <row r="3827">
      <c r="A3827" t="inlineStr">
        <is>
          <t>Егоров</t>
        </is>
      </c>
      <c r="B3827" t="n">
        <v>15</v>
      </c>
      <c r="C3827" s="18">
        <f>'Календарь'!A114</f>
        <v/>
      </c>
      <c r="D3827">
        <f>MONTH(C3827)</f>
        <v/>
      </c>
      <c r="E3827">
        <f>'Календарь'!D114</f>
        <v/>
      </c>
      <c r="F3827">
        <f>INT((C3827-Нед_Начало)/7)+1</f>
        <v/>
      </c>
      <c r="G3827">
        <f>IF(E3827=0,0,INDEX('Планы менеджеров'!$B$5:$M$16,B3827,D3827)/INDEX(Мес_Раб,D3827))</f>
        <v/>
      </c>
    </row>
    <row r="3828">
      <c r="A3828" t="inlineStr">
        <is>
          <t>Егоров</t>
        </is>
      </c>
      <c r="B3828" t="n">
        <v>15</v>
      </c>
      <c r="C3828" s="18">
        <f>'Календарь'!A115</f>
        <v/>
      </c>
      <c r="D3828">
        <f>MONTH(C3828)</f>
        <v/>
      </c>
      <c r="E3828">
        <f>'Календарь'!D115</f>
        <v/>
      </c>
      <c r="F3828">
        <f>INT((C3828-Нед_Начало)/7)+1</f>
        <v/>
      </c>
      <c r="G3828">
        <f>IF(E3828=0,0,INDEX('Планы менеджеров'!$B$5:$M$16,B3828,D3828)/INDEX(Мес_Раб,D3828))</f>
        <v/>
      </c>
    </row>
    <row r="3829">
      <c r="A3829" t="inlineStr">
        <is>
          <t>Егоров</t>
        </is>
      </c>
      <c r="B3829" t="n">
        <v>15</v>
      </c>
      <c r="C3829" s="18">
        <f>'Календарь'!A116</f>
        <v/>
      </c>
      <c r="D3829">
        <f>MONTH(C3829)</f>
        <v/>
      </c>
      <c r="E3829">
        <f>'Календарь'!D116</f>
        <v/>
      </c>
      <c r="F3829">
        <f>INT((C3829-Нед_Начало)/7)+1</f>
        <v/>
      </c>
      <c r="G3829">
        <f>IF(E3829=0,0,INDEX('Планы менеджеров'!$B$5:$M$16,B3829,D3829)/INDEX(Мес_Раб,D3829))</f>
        <v/>
      </c>
    </row>
    <row r="3830">
      <c r="A3830" t="inlineStr">
        <is>
          <t>Егоров</t>
        </is>
      </c>
      <c r="B3830" t="n">
        <v>15</v>
      </c>
      <c r="C3830" s="18">
        <f>'Календарь'!A117</f>
        <v/>
      </c>
      <c r="D3830">
        <f>MONTH(C3830)</f>
        <v/>
      </c>
      <c r="E3830">
        <f>'Календарь'!D117</f>
        <v/>
      </c>
      <c r="F3830">
        <f>INT((C3830-Нед_Начало)/7)+1</f>
        <v/>
      </c>
      <c r="G3830">
        <f>IF(E3830=0,0,INDEX('Планы менеджеров'!$B$5:$M$16,B3830,D3830)/INDEX(Мес_Раб,D3830))</f>
        <v/>
      </c>
    </row>
    <row r="3831">
      <c r="A3831" t="inlineStr">
        <is>
          <t>Егоров</t>
        </is>
      </c>
      <c r="B3831" t="n">
        <v>15</v>
      </c>
      <c r="C3831" s="18">
        <f>'Календарь'!A118</f>
        <v/>
      </c>
      <c r="D3831">
        <f>MONTH(C3831)</f>
        <v/>
      </c>
      <c r="E3831">
        <f>'Календарь'!D118</f>
        <v/>
      </c>
      <c r="F3831">
        <f>INT((C3831-Нед_Начало)/7)+1</f>
        <v/>
      </c>
      <c r="G3831">
        <f>IF(E3831=0,0,INDEX('Планы менеджеров'!$B$5:$M$16,B3831,D3831)/INDEX(Мес_Раб,D3831))</f>
        <v/>
      </c>
    </row>
    <row r="3832">
      <c r="A3832" t="inlineStr">
        <is>
          <t>Егоров</t>
        </is>
      </c>
      <c r="B3832" t="n">
        <v>15</v>
      </c>
      <c r="C3832" s="18">
        <f>'Календарь'!A119</f>
        <v/>
      </c>
      <c r="D3832">
        <f>MONTH(C3832)</f>
        <v/>
      </c>
      <c r="E3832">
        <f>'Календарь'!D119</f>
        <v/>
      </c>
      <c r="F3832">
        <f>INT((C3832-Нед_Начало)/7)+1</f>
        <v/>
      </c>
      <c r="G3832">
        <f>IF(E3832=0,0,INDEX('Планы менеджеров'!$B$5:$M$16,B3832,D3832)/INDEX(Мес_Раб,D3832))</f>
        <v/>
      </c>
    </row>
    <row r="3833">
      <c r="A3833" t="inlineStr">
        <is>
          <t>Егоров</t>
        </is>
      </c>
      <c r="B3833" t="n">
        <v>15</v>
      </c>
      <c r="C3833" s="18">
        <f>'Календарь'!A120</f>
        <v/>
      </c>
      <c r="D3833">
        <f>MONTH(C3833)</f>
        <v/>
      </c>
      <c r="E3833">
        <f>'Календарь'!D120</f>
        <v/>
      </c>
      <c r="F3833">
        <f>INT((C3833-Нед_Начало)/7)+1</f>
        <v/>
      </c>
      <c r="G3833">
        <f>IF(E3833=0,0,INDEX('Планы менеджеров'!$B$5:$M$16,B3833,D3833)/INDEX(Мес_Раб,D3833))</f>
        <v/>
      </c>
    </row>
    <row r="3834">
      <c r="A3834" t="inlineStr">
        <is>
          <t>Егоров</t>
        </is>
      </c>
      <c r="B3834" t="n">
        <v>15</v>
      </c>
      <c r="C3834" s="18">
        <f>'Календарь'!A121</f>
        <v/>
      </c>
      <c r="D3834">
        <f>MONTH(C3834)</f>
        <v/>
      </c>
      <c r="E3834">
        <f>'Календарь'!D121</f>
        <v/>
      </c>
      <c r="F3834">
        <f>INT((C3834-Нед_Начало)/7)+1</f>
        <v/>
      </c>
      <c r="G3834">
        <f>IF(E3834=0,0,INDEX('Планы менеджеров'!$B$5:$M$16,B3834,D3834)/INDEX(Мес_Раб,D3834))</f>
        <v/>
      </c>
    </row>
    <row r="3835">
      <c r="A3835" t="inlineStr">
        <is>
          <t>Егоров</t>
        </is>
      </c>
      <c r="B3835" t="n">
        <v>15</v>
      </c>
      <c r="C3835" s="18">
        <f>'Календарь'!A122</f>
        <v/>
      </c>
      <c r="D3835">
        <f>MONTH(C3835)</f>
        <v/>
      </c>
      <c r="E3835">
        <f>'Календарь'!D122</f>
        <v/>
      </c>
      <c r="F3835">
        <f>INT((C3835-Нед_Начало)/7)+1</f>
        <v/>
      </c>
      <c r="G3835">
        <f>IF(E3835=0,0,INDEX('Планы менеджеров'!$B$5:$M$16,B3835,D3835)/INDEX(Мес_Раб,D3835))</f>
        <v/>
      </c>
    </row>
    <row r="3836">
      <c r="A3836" t="inlineStr">
        <is>
          <t>Егоров</t>
        </is>
      </c>
      <c r="B3836" t="n">
        <v>15</v>
      </c>
      <c r="C3836" s="18">
        <f>'Календарь'!A123</f>
        <v/>
      </c>
      <c r="D3836">
        <f>MONTH(C3836)</f>
        <v/>
      </c>
      <c r="E3836">
        <f>'Календарь'!D123</f>
        <v/>
      </c>
      <c r="F3836">
        <f>INT((C3836-Нед_Начало)/7)+1</f>
        <v/>
      </c>
      <c r="G3836">
        <f>IF(E3836=0,0,INDEX('Планы менеджеров'!$B$5:$M$16,B3836,D3836)/INDEX(Мес_Раб,D3836))</f>
        <v/>
      </c>
    </row>
    <row r="3837">
      <c r="A3837" t="inlineStr">
        <is>
          <t>Егоров</t>
        </is>
      </c>
      <c r="B3837" t="n">
        <v>15</v>
      </c>
      <c r="C3837" s="18">
        <f>'Календарь'!A124</f>
        <v/>
      </c>
      <c r="D3837">
        <f>MONTH(C3837)</f>
        <v/>
      </c>
      <c r="E3837">
        <f>'Календарь'!D124</f>
        <v/>
      </c>
      <c r="F3837">
        <f>INT((C3837-Нед_Начало)/7)+1</f>
        <v/>
      </c>
      <c r="G3837">
        <f>IF(E3837=0,0,INDEX('Планы менеджеров'!$B$5:$M$16,B3837,D3837)/INDEX(Мес_Раб,D3837))</f>
        <v/>
      </c>
    </row>
    <row r="3838">
      <c r="A3838" t="inlineStr">
        <is>
          <t>Егоров</t>
        </is>
      </c>
      <c r="B3838" t="n">
        <v>15</v>
      </c>
      <c r="C3838" s="18">
        <f>'Календарь'!A125</f>
        <v/>
      </c>
      <c r="D3838">
        <f>MONTH(C3838)</f>
        <v/>
      </c>
      <c r="E3838">
        <f>'Календарь'!D125</f>
        <v/>
      </c>
      <c r="F3838">
        <f>INT((C3838-Нед_Начало)/7)+1</f>
        <v/>
      </c>
      <c r="G3838">
        <f>IF(E3838=0,0,INDEX('Планы менеджеров'!$B$5:$M$16,B3838,D3838)/INDEX(Мес_Раб,D3838))</f>
        <v/>
      </c>
    </row>
    <row r="3839">
      <c r="A3839" t="inlineStr">
        <is>
          <t>Егоров</t>
        </is>
      </c>
      <c r="B3839" t="n">
        <v>15</v>
      </c>
      <c r="C3839" s="18">
        <f>'Календарь'!A126</f>
        <v/>
      </c>
      <c r="D3839">
        <f>MONTH(C3839)</f>
        <v/>
      </c>
      <c r="E3839">
        <f>'Календарь'!D126</f>
        <v/>
      </c>
      <c r="F3839">
        <f>INT((C3839-Нед_Начало)/7)+1</f>
        <v/>
      </c>
      <c r="G3839">
        <f>IF(E3839=0,0,INDEX('Планы менеджеров'!$B$5:$M$16,B3839,D3839)/INDEX(Мес_Раб,D3839))</f>
        <v/>
      </c>
    </row>
    <row r="3840">
      <c r="A3840" t="inlineStr">
        <is>
          <t>Егоров</t>
        </is>
      </c>
      <c r="B3840" t="n">
        <v>15</v>
      </c>
      <c r="C3840" s="18">
        <f>'Календарь'!A127</f>
        <v/>
      </c>
      <c r="D3840">
        <f>MONTH(C3840)</f>
        <v/>
      </c>
      <c r="E3840">
        <f>'Календарь'!D127</f>
        <v/>
      </c>
      <c r="F3840">
        <f>INT((C3840-Нед_Начало)/7)+1</f>
        <v/>
      </c>
      <c r="G3840">
        <f>IF(E3840=0,0,INDEX('Планы менеджеров'!$B$5:$M$16,B3840,D3840)/INDEX(Мес_Раб,D3840))</f>
        <v/>
      </c>
    </row>
    <row r="3841">
      <c r="A3841" t="inlineStr">
        <is>
          <t>Егоров</t>
        </is>
      </c>
      <c r="B3841" t="n">
        <v>15</v>
      </c>
      <c r="C3841" s="18">
        <f>'Календарь'!A128</f>
        <v/>
      </c>
      <c r="D3841">
        <f>MONTH(C3841)</f>
        <v/>
      </c>
      <c r="E3841">
        <f>'Календарь'!D128</f>
        <v/>
      </c>
      <c r="F3841">
        <f>INT((C3841-Нед_Начало)/7)+1</f>
        <v/>
      </c>
      <c r="G3841">
        <f>IF(E3841=0,0,INDEX('Планы менеджеров'!$B$5:$M$16,B3841,D3841)/INDEX(Мес_Раб,D3841))</f>
        <v/>
      </c>
    </row>
    <row r="3842">
      <c r="A3842" t="inlineStr">
        <is>
          <t>Егоров</t>
        </is>
      </c>
      <c r="B3842" t="n">
        <v>15</v>
      </c>
      <c r="C3842" s="18">
        <f>'Календарь'!A129</f>
        <v/>
      </c>
      <c r="D3842">
        <f>MONTH(C3842)</f>
        <v/>
      </c>
      <c r="E3842">
        <f>'Календарь'!D129</f>
        <v/>
      </c>
      <c r="F3842">
        <f>INT((C3842-Нед_Начало)/7)+1</f>
        <v/>
      </c>
      <c r="G3842">
        <f>IF(E3842=0,0,INDEX('Планы менеджеров'!$B$5:$M$16,B3842,D3842)/INDEX(Мес_Раб,D3842))</f>
        <v/>
      </c>
    </row>
    <row r="3843">
      <c r="A3843" t="inlineStr">
        <is>
          <t>Егоров</t>
        </is>
      </c>
      <c r="B3843" t="n">
        <v>15</v>
      </c>
      <c r="C3843" s="18">
        <f>'Календарь'!A130</f>
        <v/>
      </c>
      <c r="D3843">
        <f>MONTH(C3843)</f>
        <v/>
      </c>
      <c r="E3843">
        <f>'Календарь'!D130</f>
        <v/>
      </c>
      <c r="F3843">
        <f>INT((C3843-Нед_Начало)/7)+1</f>
        <v/>
      </c>
      <c r="G3843">
        <f>IF(E3843=0,0,INDEX('Планы менеджеров'!$B$5:$M$16,B3843,D3843)/INDEX(Мес_Раб,D3843))</f>
        <v/>
      </c>
    </row>
    <row r="3844">
      <c r="A3844" t="inlineStr">
        <is>
          <t>Егоров</t>
        </is>
      </c>
      <c r="B3844" t="n">
        <v>15</v>
      </c>
      <c r="C3844" s="18">
        <f>'Календарь'!A131</f>
        <v/>
      </c>
      <c r="D3844">
        <f>MONTH(C3844)</f>
        <v/>
      </c>
      <c r="E3844">
        <f>'Календарь'!D131</f>
        <v/>
      </c>
      <c r="F3844">
        <f>INT((C3844-Нед_Начало)/7)+1</f>
        <v/>
      </c>
      <c r="G3844">
        <f>IF(E3844=0,0,INDEX('Планы менеджеров'!$B$5:$M$16,B3844,D3844)/INDEX(Мес_Раб,D3844))</f>
        <v/>
      </c>
    </row>
    <row r="3845">
      <c r="A3845" t="inlineStr">
        <is>
          <t>Егоров</t>
        </is>
      </c>
      <c r="B3845" t="n">
        <v>15</v>
      </c>
      <c r="C3845" s="18">
        <f>'Календарь'!A132</f>
        <v/>
      </c>
      <c r="D3845">
        <f>MONTH(C3845)</f>
        <v/>
      </c>
      <c r="E3845">
        <f>'Календарь'!D132</f>
        <v/>
      </c>
      <c r="F3845">
        <f>INT((C3845-Нед_Начало)/7)+1</f>
        <v/>
      </c>
      <c r="G3845">
        <f>IF(E3845=0,0,INDEX('Планы менеджеров'!$B$5:$M$16,B3845,D3845)/INDEX(Мес_Раб,D3845))</f>
        <v/>
      </c>
    </row>
    <row r="3846">
      <c r="A3846" t="inlineStr">
        <is>
          <t>Егоров</t>
        </is>
      </c>
      <c r="B3846" t="n">
        <v>15</v>
      </c>
      <c r="C3846" s="18">
        <f>'Календарь'!A133</f>
        <v/>
      </c>
      <c r="D3846">
        <f>MONTH(C3846)</f>
        <v/>
      </c>
      <c r="E3846">
        <f>'Календарь'!D133</f>
        <v/>
      </c>
      <c r="F3846">
        <f>INT((C3846-Нед_Начало)/7)+1</f>
        <v/>
      </c>
      <c r="G3846">
        <f>IF(E3846=0,0,INDEX('Планы менеджеров'!$B$5:$M$16,B3846,D3846)/INDEX(Мес_Раб,D3846))</f>
        <v/>
      </c>
    </row>
    <row r="3847">
      <c r="A3847" t="inlineStr">
        <is>
          <t>Егоров</t>
        </is>
      </c>
      <c r="B3847" t="n">
        <v>15</v>
      </c>
      <c r="C3847" s="18">
        <f>'Календарь'!A134</f>
        <v/>
      </c>
      <c r="D3847">
        <f>MONTH(C3847)</f>
        <v/>
      </c>
      <c r="E3847">
        <f>'Календарь'!D134</f>
        <v/>
      </c>
      <c r="F3847">
        <f>INT((C3847-Нед_Начало)/7)+1</f>
        <v/>
      </c>
      <c r="G3847">
        <f>IF(E3847=0,0,INDEX('Планы менеджеров'!$B$5:$M$16,B3847,D3847)/INDEX(Мес_Раб,D3847))</f>
        <v/>
      </c>
    </row>
    <row r="3848">
      <c r="A3848" t="inlineStr">
        <is>
          <t>Егоров</t>
        </is>
      </c>
      <c r="B3848" t="n">
        <v>15</v>
      </c>
      <c r="C3848" s="18">
        <f>'Календарь'!A135</f>
        <v/>
      </c>
      <c r="D3848">
        <f>MONTH(C3848)</f>
        <v/>
      </c>
      <c r="E3848">
        <f>'Календарь'!D135</f>
        <v/>
      </c>
      <c r="F3848">
        <f>INT((C3848-Нед_Начало)/7)+1</f>
        <v/>
      </c>
      <c r="G3848">
        <f>IF(E3848=0,0,INDEX('Планы менеджеров'!$B$5:$M$16,B3848,D3848)/INDEX(Мес_Раб,D3848))</f>
        <v/>
      </c>
    </row>
    <row r="3849">
      <c r="A3849" t="inlineStr">
        <is>
          <t>Егоров</t>
        </is>
      </c>
      <c r="B3849" t="n">
        <v>15</v>
      </c>
      <c r="C3849" s="18">
        <f>'Календарь'!A136</f>
        <v/>
      </c>
      <c r="D3849">
        <f>MONTH(C3849)</f>
        <v/>
      </c>
      <c r="E3849">
        <f>'Календарь'!D136</f>
        <v/>
      </c>
      <c r="F3849">
        <f>INT((C3849-Нед_Начало)/7)+1</f>
        <v/>
      </c>
      <c r="G3849">
        <f>IF(E3849=0,0,INDEX('Планы менеджеров'!$B$5:$M$16,B3849,D3849)/INDEX(Мес_Раб,D3849))</f>
        <v/>
      </c>
    </row>
    <row r="3850">
      <c r="A3850" t="inlineStr">
        <is>
          <t>Егоров</t>
        </is>
      </c>
      <c r="B3850" t="n">
        <v>15</v>
      </c>
      <c r="C3850" s="18">
        <f>'Календарь'!A137</f>
        <v/>
      </c>
      <c r="D3850">
        <f>MONTH(C3850)</f>
        <v/>
      </c>
      <c r="E3850">
        <f>'Календарь'!D137</f>
        <v/>
      </c>
      <c r="F3850">
        <f>INT((C3850-Нед_Начало)/7)+1</f>
        <v/>
      </c>
      <c r="G3850">
        <f>IF(E3850=0,0,INDEX('Планы менеджеров'!$B$5:$M$16,B3850,D3850)/INDEX(Мес_Раб,D3850))</f>
        <v/>
      </c>
    </row>
    <row r="3851">
      <c r="A3851" t="inlineStr">
        <is>
          <t>Егоров</t>
        </is>
      </c>
      <c r="B3851" t="n">
        <v>15</v>
      </c>
      <c r="C3851" s="18">
        <f>'Календарь'!A138</f>
        <v/>
      </c>
      <c r="D3851">
        <f>MONTH(C3851)</f>
        <v/>
      </c>
      <c r="E3851">
        <f>'Календарь'!D138</f>
        <v/>
      </c>
      <c r="F3851">
        <f>INT((C3851-Нед_Начало)/7)+1</f>
        <v/>
      </c>
      <c r="G3851">
        <f>IF(E3851=0,0,INDEX('Планы менеджеров'!$B$5:$M$16,B3851,D3851)/INDEX(Мес_Раб,D3851))</f>
        <v/>
      </c>
    </row>
    <row r="3852">
      <c r="A3852" t="inlineStr">
        <is>
          <t>Егоров</t>
        </is>
      </c>
      <c r="B3852" t="n">
        <v>15</v>
      </c>
      <c r="C3852" s="18">
        <f>'Календарь'!A139</f>
        <v/>
      </c>
      <c r="D3852">
        <f>MONTH(C3852)</f>
        <v/>
      </c>
      <c r="E3852">
        <f>'Календарь'!D139</f>
        <v/>
      </c>
      <c r="F3852">
        <f>INT((C3852-Нед_Начало)/7)+1</f>
        <v/>
      </c>
      <c r="G3852">
        <f>IF(E3852=0,0,INDEX('Планы менеджеров'!$B$5:$M$16,B3852,D3852)/INDEX(Мес_Раб,D3852))</f>
        <v/>
      </c>
    </row>
    <row r="3853">
      <c r="A3853" t="inlineStr">
        <is>
          <t>Егоров</t>
        </is>
      </c>
      <c r="B3853" t="n">
        <v>15</v>
      </c>
      <c r="C3853" s="18">
        <f>'Календарь'!A140</f>
        <v/>
      </c>
      <c r="D3853">
        <f>MONTH(C3853)</f>
        <v/>
      </c>
      <c r="E3853">
        <f>'Календарь'!D140</f>
        <v/>
      </c>
      <c r="F3853">
        <f>INT((C3853-Нед_Начало)/7)+1</f>
        <v/>
      </c>
      <c r="G3853">
        <f>IF(E3853=0,0,INDEX('Планы менеджеров'!$B$5:$M$16,B3853,D3853)/INDEX(Мес_Раб,D3853))</f>
        <v/>
      </c>
    </row>
    <row r="3854">
      <c r="A3854" t="inlineStr">
        <is>
          <t>Егоров</t>
        </is>
      </c>
      <c r="B3854" t="n">
        <v>15</v>
      </c>
      <c r="C3854" s="18">
        <f>'Календарь'!A141</f>
        <v/>
      </c>
      <c r="D3854">
        <f>MONTH(C3854)</f>
        <v/>
      </c>
      <c r="E3854">
        <f>'Календарь'!D141</f>
        <v/>
      </c>
      <c r="F3854">
        <f>INT((C3854-Нед_Начало)/7)+1</f>
        <v/>
      </c>
      <c r="G3854">
        <f>IF(E3854=0,0,INDEX('Планы менеджеров'!$B$5:$M$16,B3854,D3854)/INDEX(Мес_Раб,D3854))</f>
        <v/>
      </c>
    </row>
    <row r="3855">
      <c r="A3855" t="inlineStr">
        <is>
          <t>Егоров</t>
        </is>
      </c>
      <c r="B3855" t="n">
        <v>15</v>
      </c>
      <c r="C3855" s="18">
        <f>'Календарь'!A142</f>
        <v/>
      </c>
      <c r="D3855">
        <f>MONTH(C3855)</f>
        <v/>
      </c>
      <c r="E3855">
        <f>'Календарь'!D142</f>
        <v/>
      </c>
      <c r="F3855">
        <f>INT((C3855-Нед_Начало)/7)+1</f>
        <v/>
      </c>
      <c r="G3855">
        <f>IF(E3855=0,0,INDEX('Планы менеджеров'!$B$5:$M$16,B3855,D3855)/INDEX(Мес_Раб,D3855))</f>
        <v/>
      </c>
    </row>
    <row r="3856">
      <c r="A3856" t="inlineStr">
        <is>
          <t>Егоров</t>
        </is>
      </c>
      <c r="B3856" t="n">
        <v>15</v>
      </c>
      <c r="C3856" s="18">
        <f>'Календарь'!A143</f>
        <v/>
      </c>
      <c r="D3856">
        <f>MONTH(C3856)</f>
        <v/>
      </c>
      <c r="E3856">
        <f>'Календарь'!D143</f>
        <v/>
      </c>
      <c r="F3856">
        <f>INT((C3856-Нед_Начало)/7)+1</f>
        <v/>
      </c>
      <c r="G3856">
        <f>IF(E3856=0,0,INDEX('Планы менеджеров'!$B$5:$M$16,B3856,D3856)/INDEX(Мес_Раб,D3856))</f>
        <v/>
      </c>
    </row>
    <row r="3857">
      <c r="A3857" t="inlineStr">
        <is>
          <t>Егоров</t>
        </is>
      </c>
      <c r="B3857" t="n">
        <v>15</v>
      </c>
      <c r="C3857" s="18">
        <f>'Календарь'!A144</f>
        <v/>
      </c>
      <c r="D3857">
        <f>MONTH(C3857)</f>
        <v/>
      </c>
      <c r="E3857">
        <f>'Календарь'!D144</f>
        <v/>
      </c>
      <c r="F3857">
        <f>INT((C3857-Нед_Начало)/7)+1</f>
        <v/>
      </c>
      <c r="G3857">
        <f>IF(E3857=0,0,INDEX('Планы менеджеров'!$B$5:$M$16,B3857,D3857)/INDEX(Мес_Раб,D3857))</f>
        <v/>
      </c>
    </row>
    <row r="3858">
      <c r="A3858" t="inlineStr">
        <is>
          <t>Егоров</t>
        </is>
      </c>
      <c r="B3858" t="n">
        <v>15</v>
      </c>
      <c r="C3858" s="18">
        <f>'Календарь'!A145</f>
        <v/>
      </c>
      <c r="D3858">
        <f>MONTH(C3858)</f>
        <v/>
      </c>
      <c r="E3858">
        <f>'Календарь'!D145</f>
        <v/>
      </c>
      <c r="F3858">
        <f>INT((C3858-Нед_Начало)/7)+1</f>
        <v/>
      </c>
      <c r="G3858">
        <f>IF(E3858=0,0,INDEX('Планы менеджеров'!$B$5:$M$16,B3858,D3858)/INDEX(Мес_Раб,D3858))</f>
        <v/>
      </c>
    </row>
    <row r="3859">
      <c r="A3859" t="inlineStr">
        <is>
          <t>Егоров</t>
        </is>
      </c>
      <c r="B3859" t="n">
        <v>15</v>
      </c>
      <c r="C3859" s="18">
        <f>'Календарь'!A146</f>
        <v/>
      </c>
      <c r="D3859">
        <f>MONTH(C3859)</f>
        <v/>
      </c>
      <c r="E3859">
        <f>'Календарь'!D146</f>
        <v/>
      </c>
      <c r="F3859">
        <f>INT((C3859-Нед_Начало)/7)+1</f>
        <v/>
      </c>
      <c r="G3859">
        <f>IF(E3859=0,0,INDEX('Планы менеджеров'!$B$5:$M$16,B3859,D3859)/INDEX(Мес_Раб,D3859))</f>
        <v/>
      </c>
    </row>
    <row r="3860">
      <c r="A3860" t="inlineStr">
        <is>
          <t>Егоров</t>
        </is>
      </c>
      <c r="B3860" t="n">
        <v>15</v>
      </c>
      <c r="C3860" s="18">
        <f>'Календарь'!A147</f>
        <v/>
      </c>
      <c r="D3860">
        <f>MONTH(C3860)</f>
        <v/>
      </c>
      <c r="E3860">
        <f>'Календарь'!D147</f>
        <v/>
      </c>
      <c r="F3860">
        <f>INT((C3860-Нед_Начало)/7)+1</f>
        <v/>
      </c>
      <c r="G3860">
        <f>IF(E3860=0,0,INDEX('Планы менеджеров'!$B$5:$M$16,B3860,D3860)/INDEX(Мес_Раб,D3860))</f>
        <v/>
      </c>
    </row>
    <row r="3861">
      <c r="A3861" t="inlineStr">
        <is>
          <t>Егоров</t>
        </is>
      </c>
      <c r="B3861" t="n">
        <v>15</v>
      </c>
      <c r="C3861" s="18">
        <f>'Календарь'!A148</f>
        <v/>
      </c>
      <c r="D3861">
        <f>MONTH(C3861)</f>
        <v/>
      </c>
      <c r="E3861">
        <f>'Календарь'!D148</f>
        <v/>
      </c>
      <c r="F3861">
        <f>INT((C3861-Нед_Начало)/7)+1</f>
        <v/>
      </c>
      <c r="G3861">
        <f>IF(E3861=0,0,INDEX('Планы менеджеров'!$B$5:$M$16,B3861,D3861)/INDEX(Мес_Раб,D3861))</f>
        <v/>
      </c>
    </row>
    <row r="3862">
      <c r="A3862" t="inlineStr">
        <is>
          <t>Егоров</t>
        </is>
      </c>
      <c r="B3862" t="n">
        <v>15</v>
      </c>
      <c r="C3862" s="18">
        <f>'Календарь'!A149</f>
        <v/>
      </c>
      <c r="D3862">
        <f>MONTH(C3862)</f>
        <v/>
      </c>
      <c r="E3862">
        <f>'Календарь'!D149</f>
        <v/>
      </c>
      <c r="F3862">
        <f>INT((C3862-Нед_Начало)/7)+1</f>
        <v/>
      </c>
      <c r="G3862">
        <f>IF(E3862=0,0,INDEX('Планы менеджеров'!$B$5:$M$16,B3862,D3862)/INDEX(Мес_Раб,D3862))</f>
        <v/>
      </c>
    </row>
    <row r="3863">
      <c r="A3863" t="inlineStr">
        <is>
          <t>Егоров</t>
        </is>
      </c>
      <c r="B3863" t="n">
        <v>15</v>
      </c>
      <c r="C3863" s="18">
        <f>'Календарь'!A150</f>
        <v/>
      </c>
      <c r="D3863">
        <f>MONTH(C3863)</f>
        <v/>
      </c>
      <c r="E3863">
        <f>'Календарь'!D150</f>
        <v/>
      </c>
      <c r="F3863">
        <f>INT((C3863-Нед_Начало)/7)+1</f>
        <v/>
      </c>
      <c r="G3863">
        <f>IF(E3863=0,0,INDEX('Планы менеджеров'!$B$5:$M$16,B3863,D3863)/INDEX(Мес_Раб,D3863))</f>
        <v/>
      </c>
    </row>
    <row r="3864">
      <c r="A3864" t="inlineStr">
        <is>
          <t>Егоров</t>
        </is>
      </c>
      <c r="B3864" t="n">
        <v>15</v>
      </c>
      <c r="C3864" s="18">
        <f>'Календарь'!A151</f>
        <v/>
      </c>
      <c r="D3864">
        <f>MONTH(C3864)</f>
        <v/>
      </c>
      <c r="E3864">
        <f>'Календарь'!D151</f>
        <v/>
      </c>
      <c r="F3864">
        <f>INT((C3864-Нед_Начало)/7)+1</f>
        <v/>
      </c>
      <c r="G3864">
        <f>IF(E3864=0,0,INDEX('Планы менеджеров'!$B$5:$M$16,B3864,D3864)/INDEX(Мес_Раб,D3864))</f>
        <v/>
      </c>
    </row>
    <row r="3865">
      <c r="A3865" t="inlineStr">
        <is>
          <t>Егоров</t>
        </is>
      </c>
      <c r="B3865" t="n">
        <v>15</v>
      </c>
      <c r="C3865" s="18">
        <f>'Календарь'!A152</f>
        <v/>
      </c>
      <c r="D3865">
        <f>MONTH(C3865)</f>
        <v/>
      </c>
      <c r="E3865">
        <f>'Календарь'!D152</f>
        <v/>
      </c>
      <c r="F3865">
        <f>INT((C3865-Нед_Начало)/7)+1</f>
        <v/>
      </c>
      <c r="G3865">
        <f>IF(E3865=0,0,INDEX('Планы менеджеров'!$B$5:$M$16,B3865,D3865)/INDEX(Мес_Раб,D3865))</f>
        <v/>
      </c>
    </row>
    <row r="3866">
      <c r="A3866" t="inlineStr">
        <is>
          <t>Егоров</t>
        </is>
      </c>
      <c r="B3866" t="n">
        <v>15</v>
      </c>
      <c r="C3866" s="18">
        <f>'Календарь'!A153</f>
        <v/>
      </c>
      <c r="D3866">
        <f>MONTH(C3866)</f>
        <v/>
      </c>
      <c r="E3866">
        <f>'Календарь'!D153</f>
        <v/>
      </c>
      <c r="F3866">
        <f>INT((C3866-Нед_Начало)/7)+1</f>
        <v/>
      </c>
      <c r="G3866">
        <f>IF(E3866=0,0,INDEX('Планы менеджеров'!$B$5:$M$16,B3866,D3866)/INDEX(Мес_Раб,D3866))</f>
        <v/>
      </c>
    </row>
    <row r="3867">
      <c r="A3867" t="inlineStr">
        <is>
          <t>Егоров</t>
        </is>
      </c>
      <c r="B3867" t="n">
        <v>15</v>
      </c>
      <c r="C3867" s="18">
        <f>'Календарь'!A154</f>
        <v/>
      </c>
      <c r="D3867">
        <f>MONTH(C3867)</f>
        <v/>
      </c>
      <c r="E3867">
        <f>'Календарь'!D154</f>
        <v/>
      </c>
      <c r="F3867">
        <f>INT((C3867-Нед_Начало)/7)+1</f>
        <v/>
      </c>
      <c r="G3867">
        <f>IF(E3867=0,0,INDEX('Планы менеджеров'!$B$5:$M$16,B3867,D3867)/INDEX(Мес_Раб,D3867))</f>
        <v/>
      </c>
    </row>
    <row r="3868">
      <c r="A3868" t="inlineStr">
        <is>
          <t>Егоров</t>
        </is>
      </c>
      <c r="B3868" t="n">
        <v>15</v>
      </c>
      <c r="C3868" s="18">
        <f>'Календарь'!A155</f>
        <v/>
      </c>
      <c r="D3868">
        <f>MONTH(C3868)</f>
        <v/>
      </c>
      <c r="E3868">
        <f>'Календарь'!D155</f>
        <v/>
      </c>
      <c r="F3868">
        <f>INT((C3868-Нед_Начало)/7)+1</f>
        <v/>
      </c>
      <c r="G3868">
        <f>IF(E3868=0,0,INDEX('Планы менеджеров'!$B$5:$M$16,B3868,D3868)/INDEX(Мес_Раб,D3868))</f>
        <v/>
      </c>
    </row>
    <row r="3869">
      <c r="A3869" t="inlineStr">
        <is>
          <t>Егоров</t>
        </is>
      </c>
      <c r="B3869" t="n">
        <v>15</v>
      </c>
      <c r="C3869" s="18">
        <f>'Календарь'!A156</f>
        <v/>
      </c>
      <c r="D3869">
        <f>MONTH(C3869)</f>
        <v/>
      </c>
      <c r="E3869">
        <f>'Календарь'!D156</f>
        <v/>
      </c>
      <c r="F3869">
        <f>INT((C3869-Нед_Начало)/7)+1</f>
        <v/>
      </c>
      <c r="G3869">
        <f>IF(E3869=0,0,INDEX('Планы менеджеров'!$B$5:$M$16,B3869,D3869)/INDEX(Мес_Раб,D3869))</f>
        <v/>
      </c>
    </row>
    <row r="3870">
      <c r="A3870" t="inlineStr">
        <is>
          <t>Егоров</t>
        </is>
      </c>
      <c r="B3870" t="n">
        <v>15</v>
      </c>
      <c r="C3870" s="18">
        <f>'Календарь'!A157</f>
        <v/>
      </c>
      <c r="D3870">
        <f>MONTH(C3870)</f>
        <v/>
      </c>
      <c r="E3870">
        <f>'Календарь'!D157</f>
        <v/>
      </c>
      <c r="F3870">
        <f>INT((C3870-Нед_Начало)/7)+1</f>
        <v/>
      </c>
      <c r="G3870">
        <f>IF(E3870=0,0,INDEX('Планы менеджеров'!$B$5:$M$16,B3870,D3870)/INDEX(Мес_Раб,D3870))</f>
        <v/>
      </c>
    </row>
    <row r="3871">
      <c r="A3871" t="inlineStr">
        <is>
          <t>Егоров</t>
        </is>
      </c>
      <c r="B3871" t="n">
        <v>15</v>
      </c>
      <c r="C3871" s="18">
        <f>'Календарь'!A158</f>
        <v/>
      </c>
      <c r="D3871">
        <f>MONTH(C3871)</f>
        <v/>
      </c>
      <c r="E3871">
        <f>'Календарь'!D158</f>
        <v/>
      </c>
      <c r="F3871">
        <f>INT((C3871-Нед_Начало)/7)+1</f>
        <v/>
      </c>
      <c r="G3871">
        <f>IF(E3871=0,0,INDEX('Планы менеджеров'!$B$5:$M$16,B3871,D3871)/INDEX(Мес_Раб,D3871))</f>
        <v/>
      </c>
    </row>
    <row r="3872">
      <c r="A3872" t="inlineStr">
        <is>
          <t>Егоров</t>
        </is>
      </c>
      <c r="B3872" t="n">
        <v>15</v>
      </c>
      <c r="C3872" s="18">
        <f>'Календарь'!A159</f>
        <v/>
      </c>
      <c r="D3872">
        <f>MONTH(C3872)</f>
        <v/>
      </c>
      <c r="E3872">
        <f>'Календарь'!D159</f>
        <v/>
      </c>
      <c r="F3872">
        <f>INT((C3872-Нед_Начало)/7)+1</f>
        <v/>
      </c>
      <c r="G3872">
        <f>IF(E3872=0,0,INDEX('Планы менеджеров'!$B$5:$M$16,B3872,D3872)/INDEX(Мес_Раб,D3872))</f>
        <v/>
      </c>
    </row>
    <row r="3873">
      <c r="A3873" t="inlineStr">
        <is>
          <t>Егоров</t>
        </is>
      </c>
      <c r="B3873" t="n">
        <v>15</v>
      </c>
      <c r="C3873" s="18">
        <f>'Календарь'!A160</f>
        <v/>
      </c>
      <c r="D3873">
        <f>MONTH(C3873)</f>
        <v/>
      </c>
      <c r="E3873">
        <f>'Календарь'!D160</f>
        <v/>
      </c>
      <c r="F3873">
        <f>INT((C3873-Нед_Начало)/7)+1</f>
        <v/>
      </c>
      <c r="G3873">
        <f>IF(E3873=0,0,INDEX('Планы менеджеров'!$B$5:$M$16,B3873,D3873)/INDEX(Мес_Раб,D3873))</f>
        <v/>
      </c>
    </row>
    <row r="3874">
      <c r="A3874" t="inlineStr">
        <is>
          <t>Егоров</t>
        </is>
      </c>
      <c r="B3874" t="n">
        <v>15</v>
      </c>
      <c r="C3874" s="18">
        <f>'Календарь'!A161</f>
        <v/>
      </c>
      <c r="D3874">
        <f>MONTH(C3874)</f>
        <v/>
      </c>
      <c r="E3874">
        <f>'Календарь'!D161</f>
        <v/>
      </c>
      <c r="F3874">
        <f>INT((C3874-Нед_Начало)/7)+1</f>
        <v/>
      </c>
      <c r="G3874">
        <f>IF(E3874=0,0,INDEX('Планы менеджеров'!$B$5:$M$16,B3874,D3874)/INDEX(Мес_Раб,D3874))</f>
        <v/>
      </c>
    </row>
    <row r="3875">
      <c r="A3875" t="inlineStr">
        <is>
          <t>Егоров</t>
        </is>
      </c>
      <c r="B3875" t="n">
        <v>15</v>
      </c>
      <c r="C3875" s="18">
        <f>'Календарь'!A162</f>
        <v/>
      </c>
      <c r="D3875">
        <f>MONTH(C3875)</f>
        <v/>
      </c>
      <c r="E3875">
        <f>'Календарь'!D162</f>
        <v/>
      </c>
      <c r="F3875">
        <f>INT((C3875-Нед_Начало)/7)+1</f>
        <v/>
      </c>
      <c r="G3875">
        <f>IF(E3875=0,0,INDEX('Планы менеджеров'!$B$5:$M$16,B3875,D3875)/INDEX(Мес_Раб,D3875))</f>
        <v/>
      </c>
    </row>
    <row r="3876">
      <c r="A3876" t="inlineStr">
        <is>
          <t>Егоров</t>
        </is>
      </c>
      <c r="B3876" t="n">
        <v>15</v>
      </c>
      <c r="C3876" s="18">
        <f>'Календарь'!A163</f>
        <v/>
      </c>
      <c r="D3876">
        <f>MONTH(C3876)</f>
        <v/>
      </c>
      <c r="E3876">
        <f>'Календарь'!D163</f>
        <v/>
      </c>
      <c r="F3876">
        <f>INT((C3876-Нед_Начало)/7)+1</f>
        <v/>
      </c>
      <c r="G3876">
        <f>IF(E3876=0,0,INDEX('Планы менеджеров'!$B$5:$M$16,B3876,D3876)/INDEX(Мес_Раб,D3876))</f>
        <v/>
      </c>
    </row>
    <row r="3877">
      <c r="A3877" t="inlineStr">
        <is>
          <t>Егоров</t>
        </is>
      </c>
      <c r="B3877" t="n">
        <v>15</v>
      </c>
      <c r="C3877" s="18">
        <f>'Календарь'!A164</f>
        <v/>
      </c>
      <c r="D3877">
        <f>MONTH(C3877)</f>
        <v/>
      </c>
      <c r="E3877">
        <f>'Календарь'!D164</f>
        <v/>
      </c>
      <c r="F3877">
        <f>INT((C3877-Нед_Начало)/7)+1</f>
        <v/>
      </c>
      <c r="G3877">
        <f>IF(E3877=0,0,INDEX('Планы менеджеров'!$B$5:$M$16,B3877,D3877)/INDEX(Мес_Раб,D3877))</f>
        <v/>
      </c>
    </row>
    <row r="3878">
      <c r="A3878" t="inlineStr">
        <is>
          <t>Егоров</t>
        </is>
      </c>
      <c r="B3878" t="n">
        <v>15</v>
      </c>
      <c r="C3878" s="18">
        <f>'Календарь'!A165</f>
        <v/>
      </c>
      <c r="D3878">
        <f>MONTH(C3878)</f>
        <v/>
      </c>
      <c r="E3878">
        <f>'Календарь'!D165</f>
        <v/>
      </c>
      <c r="F3878">
        <f>INT((C3878-Нед_Начало)/7)+1</f>
        <v/>
      </c>
      <c r="G3878">
        <f>IF(E3878=0,0,INDEX('Планы менеджеров'!$B$5:$M$16,B3878,D3878)/INDEX(Мес_Раб,D3878))</f>
        <v/>
      </c>
    </row>
    <row r="3879">
      <c r="A3879" t="inlineStr">
        <is>
          <t>Егоров</t>
        </is>
      </c>
      <c r="B3879" t="n">
        <v>15</v>
      </c>
      <c r="C3879" s="18">
        <f>'Календарь'!A166</f>
        <v/>
      </c>
      <c r="D3879">
        <f>MONTH(C3879)</f>
        <v/>
      </c>
      <c r="E3879">
        <f>'Календарь'!D166</f>
        <v/>
      </c>
      <c r="F3879">
        <f>INT((C3879-Нед_Начало)/7)+1</f>
        <v/>
      </c>
      <c r="G3879">
        <f>IF(E3879=0,0,INDEX('Планы менеджеров'!$B$5:$M$16,B3879,D3879)/INDEX(Мес_Раб,D3879))</f>
        <v/>
      </c>
    </row>
    <row r="3880">
      <c r="A3880" t="inlineStr">
        <is>
          <t>Егоров</t>
        </is>
      </c>
      <c r="B3880" t="n">
        <v>15</v>
      </c>
      <c r="C3880" s="18">
        <f>'Календарь'!A167</f>
        <v/>
      </c>
      <c r="D3880">
        <f>MONTH(C3880)</f>
        <v/>
      </c>
      <c r="E3880">
        <f>'Календарь'!D167</f>
        <v/>
      </c>
      <c r="F3880">
        <f>INT((C3880-Нед_Начало)/7)+1</f>
        <v/>
      </c>
      <c r="G3880">
        <f>IF(E3880=0,0,INDEX('Планы менеджеров'!$B$5:$M$16,B3880,D3880)/INDEX(Мес_Раб,D3880))</f>
        <v/>
      </c>
    </row>
    <row r="3881">
      <c r="A3881" t="inlineStr">
        <is>
          <t>Егоров</t>
        </is>
      </c>
      <c r="B3881" t="n">
        <v>15</v>
      </c>
      <c r="C3881" s="18">
        <f>'Календарь'!A168</f>
        <v/>
      </c>
      <c r="D3881">
        <f>MONTH(C3881)</f>
        <v/>
      </c>
      <c r="E3881">
        <f>'Календарь'!D168</f>
        <v/>
      </c>
      <c r="F3881">
        <f>INT((C3881-Нед_Начало)/7)+1</f>
        <v/>
      </c>
      <c r="G3881">
        <f>IF(E3881=0,0,INDEX('Планы менеджеров'!$B$5:$M$16,B3881,D3881)/INDEX(Мес_Раб,D3881))</f>
        <v/>
      </c>
    </row>
    <row r="3882">
      <c r="A3882" t="inlineStr">
        <is>
          <t>Егоров</t>
        </is>
      </c>
      <c r="B3882" t="n">
        <v>15</v>
      </c>
      <c r="C3882" s="18">
        <f>'Календарь'!A169</f>
        <v/>
      </c>
      <c r="D3882">
        <f>MONTH(C3882)</f>
        <v/>
      </c>
      <c r="E3882">
        <f>'Календарь'!D169</f>
        <v/>
      </c>
      <c r="F3882">
        <f>INT((C3882-Нед_Начало)/7)+1</f>
        <v/>
      </c>
      <c r="G3882">
        <f>IF(E3882=0,0,INDEX('Планы менеджеров'!$B$5:$M$16,B3882,D3882)/INDEX(Мес_Раб,D3882))</f>
        <v/>
      </c>
    </row>
    <row r="3883">
      <c r="A3883" t="inlineStr">
        <is>
          <t>Егоров</t>
        </is>
      </c>
      <c r="B3883" t="n">
        <v>15</v>
      </c>
      <c r="C3883" s="18">
        <f>'Календарь'!A170</f>
        <v/>
      </c>
      <c r="D3883">
        <f>MONTH(C3883)</f>
        <v/>
      </c>
      <c r="E3883">
        <f>'Календарь'!D170</f>
        <v/>
      </c>
      <c r="F3883">
        <f>INT((C3883-Нед_Начало)/7)+1</f>
        <v/>
      </c>
      <c r="G3883">
        <f>IF(E3883=0,0,INDEX('Планы менеджеров'!$B$5:$M$16,B3883,D3883)/INDEX(Мес_Раб,D3883))</f>
        <v/>
      </c>
    </row>
    <row r="3884">
      <c r="A3884" t="inlineStr">
        <is>
          <t>Егоров</t>
        </is>
      </c>
      <c r="B3884" t="n">
        <v>15</v>
      </c>
      <c r="C3884" s="18">
        <f>'Календарь'!A171</f>
        <v/>
      </c>
      <c r="D3884">
        <f>MONTH(C3884)</f>
        <v/>
      </c>
      <c r="E3884">
        <f>'Календарь'!D171</f>
        <v/>
      </c>
      <c r="F3884">
        <f>INT((C3884-Нед_Начало)/7)+1</f>
        <v/>
      </c>
      <c r="G3884">
        <f>IF(E3884=0,0,INDEX('Планы менеджеров'!$B$5:$M$16,B3884,D3884)/INDEX(Мес_Раб,D3884))</f>
        <v/>
      </c>
    </row>
    <row r="3885">
      <c r="A3885" t="inlineStr">
        <is>
          <t>Егоров</t>
        </is>
      </c>
      <c r="B3885" t="n">
        <v>15</v>
      </c>
      <c r="C3885" s="18">
        <f>'Календарь'!A172</f>
        <v/>
      </c>
      <c r="D3885">
        <f>MONTH(C3885)</f>
        <v/>
      </c>
      <c r="E3885">
        <f>'Календарь'!D172</f>
        <v/>
      </c>
      <c r="F3885">
        <f>INT((C3885-Нед_Начало)/7)+1</f>
        <v/>
      </c>
      <c r="G3885">
        <f>IF(E3885=0,0,INDEX('Планы менеджеров'!$B$5:$M$16,B3885,D3885)/INDEX(Мес_Раб,D3885))</f>
        <v/>
      </c>
    </row>
    <row r="3886">
      <c r="A3886" t="inlineStr">
        <is>
          <t>Егоров</t>
        </is>
      </c>
      <c r="B3886" t="n">
        <v>15</v>
      </c>
      <c r="C3886" s="18">
        <f>'Календарь'!A173</f>
        <v/>
      </c>
      <c r="D3886">
        <f>MONTH(C3886)</f>
        <v/>
      </c>
      <c r="E3886">
        <f>'Календарь'!D173</f>
        <v/>
      </c>
      <c r="F3886">
        <f>INT((C3886-Нед_Начало)/7)+1</f>
        <v/>
      </c>
      <c r="G3886">
        <f>IF(E3886=0,0,INDEX('Планы менеджеров'!$B$5:$M$16,B3886,D3886)/INDEX(Мес_Раб,D3886))</f>
        <v/>
      </c>
    </row>
    <row r="3887">
      <c r="A3887" t="inlineStr">
        <is>
          <t>Егоров</t>
        </is>
      </c>
      <c r="B3887" t="n">
        <v>15</v>
      </c>
      <c r="C3887" s="18">
        <f>'Календарь'!A174</f>
        <v/>
      </c>
      <c r="D3887">
        <f>MONTH(C3887)</f>
        <v/>
      </c>
      <c r="E3887">
        <f>'Календарь'!D174</f>
        <v/>
      </c>
      <c r="F3887">
        <f>INT((C3887-Нед_Начало)/7)+1</f>
        <v/>
      </c>
      <c r="G3887">
        <f>IF(E3887=0,0,INDEX('Планы менеджеров'!$B$5:$M$16,B3887,D3887)/INDEX(Мес_Раб,D3887))</f>
        <v/>
      </c>
    </row>
    <row r="3888">
      <c r="A3888" t="inlineStr">
        <is>
          <t>Егоров</t>
        </is>
      </c>
      <c r="B3888" t="n">
        <v>15</v>
      </c>
      <c r="C3888" s="18">
        <f>'Календарь'!A175</f>
        <v/>
      </c>
      <c r="D3888">
        <f>MONTH(C3888)</f>
        <v/>
      </c>
      <c r="E3888">
        <f>'Календарь'!D175</f>
        <v/>
      </c>
      <c r="F3888">
        <f>INT((C3888-Нед_Начало)/7)+1</f>
        <v/>
      </c>
      <c r="G3888">
        <f>IF(E3888=0,0,INDEX('Планы менеджеров'!$B$5:$M$16,B3888,D3888)/INDEX(Мес_Раб,D3888))</f>
        <v/>
      </c>
    </row>
    <row r="3889">
      <c r="A3889" t="inlineStr">
        <is>
          <t>Егоров</t>
        </is>
      </c>
      <c r="B3889" t="n">
        <v>15</v>
      </c>
      <c r="C3889" s="18">
        <f>'Календарь'!A176</f>
        <v/>
      </c>
      <c r="D3889">
        <f>MONTH(C3889)</f>
        <v/>
      </c>
      <c r="E3889">
        <f>'Календарь'!D176</f>
        <v/>
      </c>
      <c r="F3889">
        <f>INT((C3889-Нед_Начало)/7)+1</f>
        <v/>
      </c>
      <c r="G3889">
        <f>IF(E3889=0,0,INDEX('Планы менеджеров'!$B$5:$M$16,B3889,D3889)/INDEX(Мес_Раб,D3889))</f>
        <v/>
      </c>
    </row>
    <row r="3890">
      <c r="A3890" t="inlineStr">
        <is>
          <t>Егоров</t>
        </is>
      </c>
      <c r="B3890" t="n">
        <v>15</v>
      </c>
      <c r="C3890" s="18">
        <f>'Календарь'!A177</f>
        <v/>
      </c>
      <c r="D3890">
        <f>MONTH(C3890)</f>
        <v/>
      </c>
      <c r="E3890">
        <f>'Календарь'!D177</f>
        <v/>
      </c>
      <c r="F3890">
        <f>INT((C3890-Нед_Начало)/7)+1</f>
        <v/>
      </c>
      <c r="G3890">
        <f>IF(E3890=0,0,INDEX('Планы менеджеров'!$B$5:$M$16,B3890,D3890)/INDEX(Мес_Раб,D3890))</f>
        <v/>
      </c>
    </row>
    <row r="3891">
      <c r="A3891" t="inlineStr">
        <is>
          <t>Егоров</t>
        </is>
      </c>
      <c r="B3891" t="n">
        <v>15</v>
      </c>
      <c r="C3891" s="18">
        <f>'Календарь'!A178</f>
        <v/>
      </c>
      <c r="D3891">
        <f>MONTH(C3891)</f>
        <v/>
      </c>
      <c r="E3891">
        <f>'Календарь'!D178</f>
        <v/>
      </c>
      <c r="F3891">
        <f>INT((C3891-Нед_Начало)/7)+1</f>
        <v/>
      </c>
      <c r="G3891">
        <f>IF(E3891=0,0,INDEX('Планы менеджеров'!$B$5:$M$16,B3891,D3891)/INDEX(Мес_Раб,D3891))</f>
        <v/>
      </c>
    </row>
    <row r="3892">
      <c r="A3892" t="inlineStr">
        <is>
          <t>Егоров</t>
        </is>
      </c>
      <c r="B3892" t="n">
        <v>15</v>
      </c>
      <c r="C3892" s="18">
        <f>'Календарь'!A179</f>
        <v/>
      </c>
      <c r="D3892">
        <f>MONTH(C3892)</f>
        <v/>
      </c>
      <c r="E3892">
        <f>'Календарь'!D179</f>
        <v/>
      </c>
      <c r="F3892">
        <f>INT((C3892-Нед_Начало)/7)+1</f>
        <v/>
      </c>
      <c r="G3892">
        <f>IF(E3892=0,0,INDEX('Планы менеджеров'!$B$5:$M$16,B3892,D3892)/INDEX(Мес_Раб,D3892))</f>
        <v/>
      </c>
    </row>
    <row r="3893">
      <c r="A3893" t="inlineStr">
        <is>
          <t>Егоров</t>
        </is>
      </c>
      <c r="B3893" t="n">
        <v>15</v>
      </c>
      <c r="C3893" s="18">
        <f>'Календарь'!A180</f>
        <v/>
      </c>
      <c r="D3893">
        <f>MONTH(C3893)</f>
        <v/>
      </c>
      <c r="E3893">
        <f>'Календарь'!D180</f>
        <v/>
      </c>
      <c r="F3893">
        <f>INT((C3893-Нед_Начало)/7)+1</f>
        <v/>
      </c>
      <c r="G3893">
        <f>IF(E3893=0,0,INDEX('Планы менеджеров'!$B$5:$M$16,B3893,D3893)/INDEX(Мес_Раб,D3893))</f>
        <v/>
      </c>
    </row>
    <row r="3894">
      <c r="A3894" t="inlineStr">
        <is>
          <t>Егоров</t>
        </is>
      </c>
      <c r="B3894" t="n">
        <v>15</v>
      </c>
      <c r="C3894" s="18">
        <f>'Календарь'!A181</f>
        <v/>
      </c>
      <c r="D3894">
        <f>MONTH(C3894)</f>
        <v/>
      </c>
      <c r="E3894">
        <f>'Календарь'!D181</f>
        <v/>
      </c>
      <c r="F3894">
        <f>INT((C3894-Нед_Начало)/7)+1</f>
        <v/>
      </c>
      <c r="G3894">
        <f>IF(E3894=0,0,INDEX('Планы менеджеров'!$B$5:$M$16,B3894,D3894)/INDEX(Мес_Раб,D3894))</f>
        <v/>
      </c>
    </row>
    <row r="3895">
      <c r="A3895" t="inlineStr">
        <is>
          <t>Егоров</t>
        </is>
      </c>
      <c r="B3895" t="n">
        <v>15</v>
      </c>
      <c r="C3895" s="18">
        <f>'Календарь'!A182</f>
        <v/>
      </c>
      <c r="D3895">
        <f>MONTH(C3895)</f>
        <v/>
      </c>
      <c r="E3895">
        <f>'Календарь'!D182</f>
        <v/>
      </c>
      <c r="F3895">
        <f>INT((C3895-Нед_Начало)/7)+1</f>
        <v/>
      </c>
      <c r="G3895">
        <f>IF(E3895=0,0,INDEX('Планы менеджеров'!$B$5:$M$16,B3895,D3895)/INDEX(Мес_Раб,D3895))</f>
        <v/>
      </c>
    </row>
    <row r="3896">
      <c r="A3896" t="inlineStr">
        <is>
          <t>Егоров</t>
        </is>
      </c>
      <c r="B3896" t="n">
        <v>15</v>
      </c>
      <c r="C3896" s="18">
        <f>'Календарь'!A183</f>
        <v/>
      </c>
      <c r="D3896">
        <f>MONTH(C3896)</f>
        <v/>
      </c>
      <c r="E3896">
        <f>'Календарь'!D183</f>
        <v/>
      </c>
      <c r="F3896">
        <f>INT((C3896-Нед_Начало)/7)+1</f>
        <v/>
      </c>
      <c r="G3896">
        <f>IF(E3896=0,0,INDEX('Планы менеджеров'!$B$5:$M$16,B3896,D3896)/INDEX(Мес_Раб,D3896))</f>
        <v/>
      </c>
    </row>
    <row r="3897">
      <c r="A3897" t="inlineStr">
        <is>
          <t>Егоров</t>
        </is>
      </c>
      <c r="B3897" t="n">
        <v>15</v>
      </c>
      <c r="C3897" s="18">
        <f>'Календарь'!A184</f>
        <v/>
      </c>
      <c r="D3897">
        <f>MONTH(C3897)</f>
        <v/>
      </c>
      <c r="E3897">
        <f>'Календарь'!D184</f>
        <v/>
      </c>
      <c r="F3897">
        <f>INT((C3897-Нед_Начало)/7)+1</f>
        <v/>
      </c>
      <c r="G3897">
        <f>IF(E3897=0,0,INDEX('Планы менеджеров'!$B$5:$M$16,B3897,D3897)/INDEX(Мес_Раб,D3897))</f>
        <v/>
      </c>
    </row>
    <row r="3898">
      <c r="A3898" t="inlineStr">
        <is>
          <t>Егоров</t>
        </is>
      </c>
      <c r="B3898" t="n">
        <v>15</v>
      </c>
      <c r="C3898" s="18">
        <f>'Календарь'!A185</f>
        <v/>
      </c>
      <c r="D3898">
        <f>MONTH(C3898)</f>
        <v/>
      </c>
      <c r="E3898">
        <f>'Календарь'!D185</f>
        <v/>
      </c>
      <c r="F3898">
        <f>INT((C3898-Нед_Начало)/7)+1</f>
        <v/>
      </c>
      <c r="G3898">
        <f>IF(E3898=0,0,INDEX('Планы менеджеров'!$B$5:$M$16,B3898,D3898)/INDEX(Мес_Раб,D3898))</f>
        <v/>
      </c>
    </row>
    <row r="3899">
      <c r="A3899" t="inlineStr">
        <is>
          <t>Егоров</t>
        </is>
      </c>
      <c r="B3899" t="n">
        <v>15</v>
      </c>
      <c r="C3899" s="18">
        <f>'Календарь'!A186</f>
        <v/>
      </c>
      <c r="D3899">
        <f>MONTH(C3899)</f>
        <v/>
      </c>
      <c r="E3899">
        <f>'Календарь'!D186</f>
        <v/>
      </c>
      <c r="F3899">
        <f>INT((C3899-Нед_Начало)/7)+1</f>
        <v/>
      </c>
      <c r="G3899">
        <f>IF(E3899=0,0,INDEX('Планы менеджеров'!$B$5:$M$16,B3899,D3899)/INDEX(Мес_Раб,D3899))</f>
        <v/>
      </c>
    </row>
    <row r="3900">
      <c r="A3900" t="inlineStr">
        <is>
          <t>Егоров</t>
        </is>
      </c>
      <c r="B3900" t="n">
        <v>15</v>
      </c>
      <c r="C3900" s="18">
        <f>'Календарь'!A187</f>
        <v/>
      </c>
      <c r="D3900">
        <f>MONTH(C3900)</f>
        <v/>
      </c>
      <c r="E3900">
        <f>'Календарь'!D187</f>
        <v/>
      </c>
      <c r="F3900">
        <f>INT((C3900-Нед_Начало)/7)+1</f>
        <v/>
      </c>
      <c r="G3900">
        <f>IF(E3900=0,0,INDEX('Планы менеджеров'!$B$5:$M$16,B3900,D3900)/INDEX(Мес_Раб,D3900))</f>
        <v/>
      </c>
    </row>
    <row r="3901">
      <c r="A3901" t="inlineStr">
        <is>
          <t>Егоров</t>
        </is>
      </c>
      <c r="B3901" t="n">
        <v>15</v>
      </c>
      <c r="C3901" s="18">
        <f>'Календарь'!A188</f>
        <v/>
      </c>
      <c r="D3901">
        <f>MONTH(C3901)</f>
        <v/>
      </c>
      <c r="E3901">
        <f>'Календарь'!D188</f>
        <v/>
      </c>
      <c r="F3901">
        <f>INT((C3901-Нед_Начало)/7)+1</f>
        <v/>
      </c>
      <c r="G3901">
        <f>IF(E3901=0,0,INDEX('Планы менеджеров'!$B$5:$M$16,B3901,D3901)/INDEX(Мес_Раб,D3901))</f>
        <v/>
      </c>
    </row>
    <row r="3902">
      <c r="A3902" t="inlineStr">
        <is>
          <t>Егоров</t>
        </is>
      </c>
      <c r="B3902" t="n">
        <v>15</v>
      </c>
      <c r="C3902" s="18">
        <f>'Календарь'!A189</f>
        <v/>
      </c>
      <c r="D3902">
        <f>MONTH(C3902)</f>
        <v/>
      </c>
      <c r="E3902">
        <f>'Календарь'!D189</f>
        <v/>
      </c>
      <c r="F3902">
        <f>INT((C3902-Нед_Начало)/7)+1</f>
        <v/>
      </c>
      <c r="G3902">
        <f>IF(E3902=0,0,INDEX('Планы менеджеров'!$B$5:$M$16,B3902,D3902)/INDEX(Мес_Раб,D3902))</f>
        <v/>
      </c>
    </row>
    <row r="3903">
      <c r="A3903" t="inlineStr">
        <is>
          <t>Егоров</t>
        </is>
      </c>
      <c r="B3903" t="n">
        <v>15</v>
      </c>
      <c r="C3903" s="18">
        <f>'Календарь'!A190</f>
        <v/>
      </c>
      <c r="D3903">
        <f>MONTH(C3903)</f>
        <v/>
      </c>
      <c r="E3903">
        <f>'Календарь'!D190</f>
        <v/>
      </c>
      <c r="F3903">
        <f>INT((C3903-Нед_Начало)/7)+1</f>
        <v/>
      </c>
      <c r="G3903">
        <f>IF(E3903=0,0,INDEX('Планы менеджеров'!$B$5:$M$16,B3903,D3903)/INDEX(Мес_Раб,D3903))</f>
        <v/>
      </c>
    </row>
    <row r="3904">
      <c r="A3904" t="inlineStr">
        <is>
          <t>Егоров</t>
        </is>
      </c>
      <c r="B3904" t="n">
        <v>15</v>
      </c>
      <c r="C3904" s="18">
        <f>'Календарь'!A191</f>
        <v/>
      </c>
      <c r="D3904">
        <f>MONTH(C3904)</f>
        <v/>
      </c>
      <c r="E3904">
        <f>'Календарь'!D191</f>
        <v/>
      </c>
      <c r="F3904">
        <f>INT((C3904-Нед_Начало)/7)+1</f>
        <v/>
      </c>
      <c r="G3904">
        <f>IF(E3904=0,0,INDEX('Планы менеджеров'!$B$5:$M$16,B3904,D3904)/INDEX(Мес_Раб,D3904))</f>
        <v/>
      </c>
    </row>
    <row r="3905">
      <c r="A3905" t="inlineStr">
        <is>
          <t>Егоров</t>
        </is>
      </c>
      <c r="B3905" t="n">
        <v>15</v>
      </c>
      <c r="C3905" s="18">
        <f>'Календарь'!A192</f>
        <v/>
      </c>
      <c r="D3905">
        <f>MONTH(C3905)</f>
        <v/>
      </c>
      <c r="E3905">
        <f>'Календарь'!D192</f>
        <v/>
      </c>
      <c r="F3905">
        <f>INT((C3905-Нед_Начало)/7)+1</f>
        <v/>
      </c>
      <c r="G3905">
        <f>IF(E3905=0,0,INDEX('Планы менеджеров'!$B$5:$M$16,B3905,D3905)/INDEX(Мес_Раб,D3905))</f>
        <v/>
      </c>
    </row>
    <row r="3906">
      <c r="A3906" t="inlineStr">
        <is>
          <t>Егоров</t>
        </is>
      </c>
      <c r="B3906" t="n">
        <v>15</v>
      </c>
      <c r="C3906" s="18">
        <f>'Календарь'!A193</f>
        <v/>
      </c>
      <c r="D3906">
        <f>MONTH(C3906)</f>
        <v/>
      </c>
      <c r="E3906">
        <f>'Календарь'!D193</f>
        <v/>
      </c>
      <c r="F3906">
        <f>INT((C3906-Нед_Начало)/7)+1</f>
        <v/>
      </c>
      <c r="G3906">
        <f>IF(E3906=0,0,INDEX('Планы менеджеров'!$B$5:$M$16,B3906,D3906)/INDEX(Мес_Раб,D3906))</f>
        <v/>
      </c>
    </row>
    <row r="3907">
      <c r="A3907" t="inlineStr">
        <is>
          <t>Егоров</t>
        </is>
      </c>
      <c r="B3907" t="n">
        <v>15</v>
      </c>
      <c r="C3907" s="18">
        <f>'Календарь'!A194</f>
        <v/>
      </c>
      <c r="D3907">
        <f>MONTH(C3907)</f>
        <v/>
      </c>
      <c r="E3907">
        <f>'Календарь'!D194</f>
        <v/>
      </c>
      <c r="F3907">
        <f>INT((C3907-Нед_Начало)/7)+1</f>
        <v/>
      </c>
      <c r="G3907">
        <f>IF(E3907=0,0,INDEX('Планы менеджеров'!$B$5:$M$16,B3907,D3907)/INDEX(Мес_Раб,D3907))</f>
        <v/>
      </c>
    </row>
    <row r="3908">
      <c r="A3908" t="inlineStr">
        <is>
          <t>Егоров</t>
        </is>
      </c>
      <c r="B3908" t="n">
        <v>15</v>
      </c>
      <c r="C3908" s="18">
        <f>'Календарь'!A195</f>
        <v/>
      </c>
      <c r="D3908">
        <f>MONTH(C3908)</f>
        <v/>
      </c>
      <c r="E3908">
        <f>'Календарь'!D195</f>
        <v/>
      </c>
      <c r="F3908">
        <f>INT((C3908-Нед_Начало)/7)+1</f>
        <v/>
      </c>
      <c r="G3908">
        <f>IF(E3908=0,0,INDEX('Планы менеджеров'!$B$5:$M$16,B3908,D3908)/INDEX(Мес_Раб,D3908))</f>
        <v/>
      </c>
    </row>
    <row r="3909">
      <c r="A3909" t="inlineStr">
        <is>
          <t>Егоров</t>
        </is>
      </c>
      <c r="B3909" t="n">
        <v>15</v>
      </c>
      <c r="C3909" s="18">
        <f>'Календарь'!A196</f>
        <v/>
      </c>
      <c r="D3909">
        <f>MONTH(C3909)</f>
        <v/>
      </c>
      <c r="E3909">
        <f>'Календарь'!D196</f>
        <v/>
      </c>
      <c r="F3909">
        <f>INT((C3909-Нед_Начало)/7)+1</f>
        <v/>
      </c>
      <c r="G3909">
        <f>IF(E3909=0,0,INDEX('Планы менеджеров'!$B$5:$M$16,B3909,D3909)/INDEX(Мес_Раб,D3909))</f>
        <v/>
      </c>
    </row>
    <row r="3910">
      <c r="A3910" t="inlineStr">
        <is>
          <t>Егоров</t>
        </is>
      </c>
      <c r="B3910" t="n">
        <v>15</v>
      </c>
      <c r="C3910" s="18">
        <f>'Календарь'!A197</f>
        <v/>
      </c>
      <c r="D3910">
        <f>MONTH(C3910)</f>
        <v/>
      </c>
      <c r="E3910">
        <f>'Календарь'!D197</f>
        <v/>
      </c>
      <c r="F3910">
        <f>INT((C3910-Нед_Начало)/7)+1</f>
        <v/>
      </c>
      <c r="G3910">
        <f>IF(E3910=0,0,INDEX('Планы менеджеров'!$B$5:$M$16,B3910,D3910)/INDEX(Мес_Раб,D3910))</f>
        <v/>
      </c>
    </row>
    <row r="3911">
      <c r="A3911" t="inlineStr">
        <is>
          <t>Егоров</t>
        </is>
      </c>
      <c r="B3911" t="n">
        <v>15</v>
      </c>
      <c r="C3911" s="18">
        <f>'Календарь'!A198</f>
        <v/>
      </c>
      <c r="D3911">
        <f>MONTH(C3911)</f>
        <v/>
      </c>
      <c r="E3911">
        <f>'Календарь'!D198</f>
        <v/>
      </c>
      <c r="F3911">
        <f>INT((C3911-Нед_Начало)/7)+1</f>
        <v/>
      </c>
      <c r="G3911">
        <f>IF(E3911=0,0,INDEX('Планы менеджеров'!$B$5:$M$16,B3911,D3911)/INDEX(Мес_Раб,D3911))</f>
        <v/>
      </c>
    </row>
    <row r="3912">
      <c r="A3912" t="inlineStr">
        <is>
          <t>Егоров</t>
        </is>
      </c>
      <c r="B3912" t="n">
        <v>15</v>
      </c>
      <c r="C3912" s="18">
        <f>'Календарь'!A199</f>
        <v/>
      </c>
      <c r="D3912">
        <f>MONTH(C3912)</f>
        <v/>
      </c>
      <c r="E3912">
        <f>'Календарь'!D199</f>
        <v/>
      </c>
      <c r="F3912">
        <f>INT((C3912-Нед_Начало)/7)+1</f>
        <v/>
      </c>
      <c r="G3912">
        <f>IF(E3912=0,0,INDEX('Планы менеджеров'!$B$5:$M$16,B3912,D3912)/INDEX(Мес_Раб,D3912))</f>
        <v/>
      </c>
    </row>
    <row r="3913">
      <c r="A3913" t="inlineStr">
        <is>
          <t>Егоров</t>
        </is>
      </c>
      <c r="B3913" t="n">
        <v>15</v>
      </c>
      <c r="C3913" s="18">
        <f>'Календарь'!A200</f>
        <v/>
      </c>
      <c r="D3913">
        <f>MONTH(C3913)</f>
        <v/>
      </c>
      <c r="E3913">
        <f>'Календарь'!D200</f>
        <v/>
      </c>
      <c r="F3913">
        <f>INT((C3913-Нед_Начало)/7)+1</f>
        <v/>
      </c>
      <c r="G3913">
        <f>IF(E3913=0,0,INDEX('Планы менеджеров'!$B$5:$M$16,B3913,D3913)/INDEX(Мес_Раб,D3913))</f>
        <v/>
      </c>
    </row>
    <row r="3914">
      <c r="A3914" t="inlineStr">
        <is>
          <t>Егоров</t>
        </is>
      </c>
      <c r="B3914" t="n">
        <v>15</v>
      </c>
      <c r="C3914" s="18">
        <f>'Календарь'!A201</f>
        <v/>
      </c>
      <c r="D3914">
        <f>MONTH(C3914)</f>
        <v/>
      </c>
      <c r="E3914">
        <f>'Календарь'!D201</f>
        <v/>
      </c>
      <c r="F3914">
        <f>INT((C3914-Нед_Начало)/7)+1</f>
        <v/>
      </c>
      <c r="G3914">
        <f>IF(E3914=0,0,INDEX('Планы менеджеров'!$B$5:$M$16,B3914,D3914)/INDEX(Мес_Раб,D3914))</f>
        <v/>
      </c>
    </row>
    <row r="3915">
      <c r="A3915" t="inlineStr">
        <is>
          <t>Егоров</t>
        </is>
      </c>
      <c r="B3915" t="n">
        <v>15</v>
      </c>
      <c r="C3915" s="18">
        <f>'Календарь'!A202</f>
        <v/>
      </c>
      <c r="D3915">
        <f>MONTH(C3915)</f>
        <v/>
      </c>
      <c r="E3915">
        <f>'Календарь'!D202</f>
        <v/>
      </c>
      <c r="F3915">
        <f>INT((C3915-Нед_Начало)/7)+1</f>
        <v/>
      </c>
      <c r="G3915">
        <f>IF(E3915=0,0,INDEX('Планы менеджеров'!$B$5:$M$16,B3915,D3915)/INDEX(Мес_Раб,D3915))</f>
        <v/>
      </c>
    </row>
    <row r="3916">
      <c r="A3916" t="inlineStr">
        <is>
          <t>Егоров</t>
        </is>
      </c>
      <c r="B3916" t="n">
        <v>15</v>
      </c>
      <c r="C3916" s="18">
        <f>'Календарь'!A203</f>
        <v/>
      </c>
      <c r="D3916">
        <f>MONTH(C3916)</f>
        <v/>
      </c>
      <c r="E3916">
        <f>'Календарь'!D203</f>
        <v/>
      </c>
      <c r="F3916">
        <f>INT((C3916-Нед_Начало)/7)+1</f>
        <v/>
      </c>
      <c r="G3916">
        <f>IF(E3916=0,0,INDEX('Планы менеджеров'!$B$5:$M$16,B3916,D3916)/INDEX(Мес_Раб,D3916))</f>
        <v/>
      </c>
    </row>
    <row r="3917">
      <c r="A3917" t="inlineStr">
        <is>
          <t>Егоров</t>
        </is>
      </c>
      <c r="B3917" t="n">
        <v>15</v>
      </c>
      <c r="C3917" s="18">
        <f>'Календарь'!A204</f>
        <v/>
      </c>
      <c r="D3917">
        <f>MONTH(C3917)</f>
        <v/>
      </c>
      <c r="E3917">
        <f>'Календарь'!D204</f>
        <v/>
      </c>
      <c r="F3917">
        <f>INT((C3917-Нед_Начало)/7)+1</f>
        <v/>
      </c>
      <c r="G3917">
        <f>IF(E3917=0,0,INDEX('Планы менеджеров'!$B$5:$M$16,B3917,D3917)/INDEX(Мес_Раб,D3917))</f>
        <v/>
      </c>
    </row>
    <row r="3918">
      <c r="A3918" t="inlineStr">
        <is>
          <t>Егоров</t>
        </is>
      </c>
      <c r="B3918" t="n">
        <v>15</v>
      </c>
      <c r="C3918" s="18">
        <f>'Календарь'!A205</f>
        <v/>
      </c>
      <c r="D3918">
        <f>MONTH(C3918)</f>
        <v/>
      </c>
      <c r="E3918">
        <f>'Календарь'!D205</f>
        <v/>
      </c>
      <c r="F3918">
        <f>INT((C3918-Нед_Начало)/7)+1</f>
        <v/>
      </c>
      <c r="G3918">
        <f>IF(E3918=0,0,INDEX('Планы менеджеров'!$B$5:$M$16,B3918,D3918)/INDEX(Мес_Раб,D3918))</f>
        <v/>
      </c>
    </row>
    <row r="3919">
      <c r="A3919" t="inlineStr">
        <is>
          <t>Егоров</t>
        </is>
      </c>
      <c r="B3919" t="n">
        <v>15</v>
      </c>
      <c r="C3919" s="18">
        <f>'Календарь'!A206</f>
        <v/>
      </c>
      <c r="D3919">
        <f>MONTH(C3919)</f>
        <v/>
      </c>
      <c r="E3919">
        <f>'Календарь'!D206</f>
        <v/>
      </c>
      <c r="F3919">
        <f>INT((C3919-Нед_Начало)/7)+1</f>
        <v/>
      </c>
      <c r="G3919">
        <f>IF(E3919=0,0,INDEX('Планы менеджеров'!$B$5:$M$16,B3919,D3919)/INDEX(Мес_Раб,D3919))</f>
        <v/>
      </c>
    </row>
    <row r="3920">
      <c r="A3920" t="inlineStr">
        <is>
          <t>Егоров</t>
        </is>
      </c>
      <c r="B3920" t="n">
        <v>15</v>
      </c>
      <c r="C3920" s="18">
        <f>'Календарь'!A207</f>
        <v/>
      </c>
      <c r="D3920">
        <f>MONTH(C3920)</f>
        <v/>
      </c>
      <c r="E3920">
        <f>'Календарь'!D207</f>
        <v/>
      </c>
      <c r="F3920">
        <f>INT((C3920-Нед_Начало)/7)+1</f>
        <v/>
      </c>
      <c r="G3920">
        <f>IF(E3920=0,0,INDEX('Планы менеджеров'!$B$5:$M$16,B3920,D3920)/INDEX(Мес_Раб,D3920))</f>
        <v/>
      </c>
    </row>
    <row r="3921">
      <c r="A3921" t="inlineStr">
        <is>
          <t>Егоров</t>
        </is>
      </c>
      <c r="B3921" t="n">
        <v>15</v>
      </c>
      <c r="C3921" s="18">
        <f>'Календарь'!A208</f>
        <v/>
      </c>
      <c r="D3921">
        <f>MONTH(C3921)</f>
        <v/>
      </c>
      <c r="E3921">
        <f>'Календарь'!D208</f>
        <v/>
      </c>
      <c r="F3921">
        <f>INT((C3921-Нед_Начало)/7)+1</f>
        <v/>
      </c>
      <c r="G3921">
        <f>IF(E3921=0,0,INDEX('Планы менеджеров'!$B$5:$M$16,B3921,D3921)/INDEX(Мес_Раб,D3921))</f>
        <v/>
      </c>
    </row>
    <row r="3922">
      <c r="A3922" t="inlineStr">
        <is>
          <t>Егоров</t>
        </is>
      </c>
      <c r="B3922" t="n">
        <v>15</v>
      </c>
      <c r="C3922" s="18">
        <f>'Календарь'!A209</f>
        <v/>
      </c>
      <c r="D3922">
        <f>MONTH(C3922)</f>
        <v/>
      </c>
      <c r="E3922">
        <f>'Календарь'!D209</f>
        <v/>
      </c>
      <c r="F3922">
        <f>INT((C3922-Нед_Начало)/7)+1</f>
        <v/>
      </c>
      <c r="G3922">
        <f>IF(E3922=0,0,INDEX('Планы менеджеров'!$B$5:$M$16,B3922,D3922)/INDEX(Мес_Раб,D3922))</f>
        <v/>
      </c>
    </row>
    <row r="3923">
      <c r="A3923" t="inlineStr">
        <is>
          <t>Егоров</t>
        </is>
      </c>
      <c r="B3923" t="n">
        <v>15</v>
      </c>
      <c r="C3923" s="18">
        <f>'Календарь'!A210</f>
        <v/>
      </c>
      <c r="D3923">
        <f>MONTH(C3923)</f>
        <v/>
      </c>
      <c r="E3923">
        <f>'Календарь'!D210</f>
        <v/>
      </c>
      <c r="F3923">
        <f>INT((C3923-Нед_Начало)/7)+1</f>
        <v/>
      </c>
      <c r="G3923">
        <f>IF(E3923=0,0,INDEX('Планы менеджеров'!$B$5:$M$16,B3923,D3923)/INDEX(Мес_Раб,D3923))</f>
        <v/>
      </c>
    </row>
    <row r="3924">
      <c r="A3924" t="inlineStr">
        <is>
          <t>Егоров</t>
        </is>
      </c>
      <c r="B3924" t="n">
        <v>15</v>
      </c>
      <c r="C3924" s="18">
        <f>'Календарь'!A211</f>
        <v/>
      </c>
      <c r="D3924">
        <f>MONTH(C3924)</f>
        <v/>
      </c>
      <c r="E3924">
        <f>'Календарь'!D211</f>
        <v/>
      </c>
      <c r="F3924">
        <f>INT((C3924-Нед_Начало)/7)+1</f>
        <v/>
      </c>
      <c r="G3924">
        <f>IF(E3924=0,0,INDEX('Планы менеджеров'!$B$5:$M$16,B3924,D3924)/INDEX(Мес_Раб,D3924))</f>
        <v/>
      </c>
    </row>
    <row r="3925">
      <c r="A3925" t="inlineStr">
        <is>
          <t>Егоров</t>
        </is>
      </c>
      <c r="B3925" t="n">
        <v>15</v>
      </c>
      <c r="C3925" s="18">
        <f>'Календарь'!A212</f>
        <v/>
      </c>
      <c r="D3925">
        <f>MONTH(C3925)</f>
        <v/>
      </c>
      <c r="E3925">
        <f>'Календарь'!D212</f>
        <v/>
      </c>
      <c r="F3925">
        <f>INT((C3925-Нед_Начало)/7)+1</f>
        <v/>
      </c>
      <c r="G3925">
        <f>IF(E3925=0,0,INDEX('Планы менеджеров'!$B$5:$M$16,B3925,D3925)/INDEX(Мес_Раб,D3925))</f>
        <v/>
      </c>
    </row>
    <row r="3926">
      <c r="A3926" t="inlineStr">
        <is>
          <t>Егоров</t>
        </is>
      </c>
      <c r="B3926" t="n">
        <v>15</v>
      </c>
      <c r="C3926" s="18">
        <f>'Календарь'!A213</f>
        <v/>
      </c>
      <c r="D3926">
        <f>MONTH(C3926)</f>
        <v/>
      </c>
      <c r="E3926">
        <f>'Календарь'!D213</f>
        <v/>
      </c>
      <c r="F3926">
        <f>INT((C3926-Нед_Начало)/7)+1</f>
        <v/>
      </c>
      <c r="G3926">
        <f>IF(E3926=0,0,INDEX('Планы менеджеров'!$B$5:$M$16,B3926,D3926)/INDEX(Мес_Раб,D3926))</f>
        <v/>
      </c>
    </row>
    <row r="3927">
      <c r="A3927" t="inlineStr">
        <is>
          <t>Егоров</t>
        </is>
      </c>
      <c r="B3927" t="n">
        <v>15</v>
      </c>
      <c r="C3927" s="18">
        <f>'Календарь'!A214</f>
        <v/>
      </c>
      <c r="D3927">
        <f>MONTH(C3927)</f>
        <v/>
      </c>
      <c r="E3927">
        <f>'Календарь'!D214</f>
        <v/>
      </c>
      <c r="F3927">
        <f>INT((C3927-Нед_Начало)/7)+1</f>
        <v/>
      </c>
      <c r="G3927">
        <f>IF(E3927=0,0,INDEX('Планы менеджеров'!$B$5:$M$16,B3927,D3927)/INDEX(Мес_Раб,D3927))</f>
        <v/>
      </c>
    </row>
    <row r="3928">
      <c r="A3928" t="inlineStr">
        <is>
          <t>Егоров</t>
        </is>
      </c>
      <c r="B3928" t="n">
        <v>15</v>
      </c>
      <c r="C3928" s="18">
        <f>'Календарь'!A215</f>
        <v/>
      </c>
      <c r="D3928">
        <f>MONTH(C3928)</f>
        <v/>
      </c>
      <c r="E3928">
        <f>'Календарь'!D215</f>
        <v/>
      </c>
      <c r="F3928">
        <f>INT((C3928-Нед_Начало)/7)+1</f>
        <v/>
      </c>
      <c r="G3928">
        <f>IF(E3928=0,0,INDEX('Планы менеджеров'!$B$5:$M$16,B3928,D3928)/INDEX(Мес_Раб,D3928))</f>
        <v/>
      </c>
    </row>
    <row r="3929">
      <c r="A3929" t="inlineStr">
        <is>
          <t>Егоров</t>
        </is>
      </c>
      <c r="B3929" t="n">
        <v>15</v>
      </c>
      <c r="C3929" s="18">
        <f>'Календарь'!A216</f>
        <v/>
      </c>
      <c r="D3929">
        <f>MONTH(C3929)</f>
        <v/>
      </c>
      <c r="E3929">
        <f>'Календарь'!D216</f>
        <v/>
      </c>
      <c r="F3929">
        <f>INT((C3929-Нед_Начало)/7)+1</f>
        <v/>
      </c>
      <c r="G3929">
        <f>IF(E3929=0,0,INDEX('Планы менеджеров'!$B$5:$M$16,B3929,D3929)/INDEX(Мес_Раб,D3929))</f>
        <v/>
      </c>
    </row>
    <row r="3930">
      <c r="A3930" t="inlineStr">
        <is>
          <t>Егоров</t>
        </is>
      </c>
      <c r="B3930" t="n">
        <v>15</v>
      </c>
      <c r="C3930" s="18">
        <f>'Календарь'!A217</f>
        <v/>
      </c>
      <c r="D3930">
        <f>MONTH(C3930)</f>
        <v/>
      </c>
      <c r="E3930">
        <f>'Календарь'!D217</f>
        <v/>
      </c>
      <c r="F3930">
        <f>INT((C3930-Нед_Начало)/7)+1</f>
        <v/>
      </c>
      <c r="G3930">
        <f>IF(E3930=0,0,INDEX('Планы менеджеров'!$B$5:$M$16,B3930,D3930)/INDEX(Мес_Раб,D3930))</f>
        <v/>
      </c>
    </row>
    <row r="3931">
      <c r="A3931" t="inlineStr">
        <is>
          <t>Егоров</t>
        </is>
      </c>
      <c r="B3931" t="n">
        <v>15</v>
      </c>
      <c r="C3931" s="18">
        <f>'Календарь'!A218</f>
        <v/>
      </c>
      <c r="D3931">
        <f>MONTH(C3931)</f>
        <v/>
      </c>
      <c r="E3931">
        <f>'Календарь'!D218</f>
        <v/>
      </c>
      <c r="F3931">
        <f>INT((C3931-Нед_Начало)/7)+1</f>
        <v/>
      </c>
      <c r="G3931">
        <f>IF(E3931=0,0,INDEX('Планы менеджеров'!$B$5:$M$16,B3931,D3931)/INDEX(Мес_Раб,D3931))</f>
        <v/>
      </c>
    </row>
    <row r="3932">
      <c r="A3932" t="inlineStr">
        <is>
          <t>Егоров</t>
        </is>
      </c>
      <c r="B3932" t="n">
        <v>15</v>
      </c>
      <c r="C3932" s="18">
        <f>'Календарь'!A219</f>
        <v/>
      </c>
      <c r="D3932">
        <f>MONTH(C3932)</f>
        <v/>
      </c>
      <c r="E3932">
        <f>'Календарь'!D219</f>
        <v/>
      </c>
      <c r="F3932">
        <f>INT((C3932-Нед_Начало)/7)+1</f>
        <v/>
      </c>
      <c r="G3932">
        <f>IF(E3932=0,0,INDEX('Планы менеджеров'!$B$5:$M$16,B3932,D3932)/INDEX(Мес_Раб,D3932))</f>
        <v/>
      </c>
    </row>
    <row r="3933">
      <c r="A3933" t="inlineStr">
        <is>
          <t>Егоров</t>
        </is>
      </c>
      <c r="B3933" t="n">
        <v>15</v>
      </c>
      <c r="C3933" s="18">
        <f>'Календарь'!A220</f>
        <v/>
      </c>
      <c r="D3933">
        <f>MONTH(C3933)</f>
        <v/>
      </c>
      <c r="E3933">
        <f>'Календарь'!D220</f>
        <v/>
      </c>
      <c r="F3933">
        <f>INT((C3933-Нед_Начало)/7)+1</f>
        <v/>
      </c>
      <c r="G3933">
        <f>IF(E3933=0,0,INDEX('Планы менеджеров'!$B$5:$M$16,B3933,D3933)/INDEX(Мес_Раб,D3933))</f>
        <v/>
      </c>
    </row>
    <row r="3934">
      <c r="A3934" t="inlineStr">
        <is>
          <t>Егоров</t>
        </is>
      </c>
      <c r="B3934" t="n">
        <v>15</v>
      </c>
      <c r="C3934" s="18">
        <f>'Календарь'!A221</f>
        <v/>
      </c>
      <c r="D3934">
        <f>MONTH(C3934)</f>
        <v/>
      </c>
      <c r="E3934">
        <f>'Календарь'!D221</f>
        <v/>
      </c>
      <c r="F3934">
        <f>INT((C3934-Нед_Начало)/7)+1</f>
        <v/>
      </c>
      <c r="G3934">
        <f>IF(E3934=0,0,INDEX('Планы менеджеров'!$B$5:$M$16,B3934,D3934)/INDEX(Мес_Раб,D3934))</f>
        <v/>
      </c>
    </row>
    <row r="3935">
      <c r="A3935" t="inlineStr">
        <is>
          <t>Егоров</t>
        </is>
      </c>
      <c r="B3935" t="n">
        <v>15</v>
      </c>
      <c r="C3935" s="18">
        <f>'Календарь'!A222</f>
        <v/>
      </c>
      <c r="D3935">
        <f>MONTH(C3935)</f>
        <v/>
      </c>
      <c r="E3935">
        <f>'Календарь'!D222</f>
        <v/>
      </c>
      <c r="F3935">
        <f>INT((C3935-Нед_Начало)/7)+1</f>
        <v/>
      </c>
      <c r="G3935">
        <f>IF(E3935=0,0,INDEX('Планы менеджеров'!$B$5:$M$16,B3935,D3935)/INDEX(Мес_Раб,D3935))</f>
        <v/>
      </c>
    </row>
    <row r="3936">
      <c r="A3936" t="inlineStr">
        <is>
          <t>Егоров</t>
        </is>
      </c>
      <c r="B3936" t="n">
        <v>15</v>
      </c>
      <c r="C3936" s="18">
        <f>'Календарь'!A223</f>
        <v/>
      </c>
      <c r="D3936">
        <f>MONTH(C3936)</f>
        <v/>
      </c>
      <c r="E3936">
        <f>'Календарь'!D223</f>
        <v/>
      </c>
      <c r="F3936">
        <f>INT((C3936-Нед_Начало)/7)+1</f>
        <v/>
      </c>
      <c r="G3936">
        <f>IF(E3936=0,0,INDEX('Планы менеджеров'!$B$5:$M$16,B3936,D3936)/INDEX(Мес_Раб,D3936))</f>
        <v/>
      </c>
    </row>
    <row r="3937">
      <c r="A3937" t="inlineStr">
        <is>
          <t>Егоров</t>
        </is>
      </c>
      <c r="B3937" t="n">
        <v>15</v>
      </c>
      <c r="C3937" s="18">
        <f>'Календарь'!A224</f>
        <v/>
      </c>
      <c r="D3937">
        <f>MONTH(C3937)</f>
        <v/>
      </c>
      <c r="E3937">
        <f>'Календарь'!D224</f>
        <v/>
      </c>
      <c r="F3937">
        <f>INT((C3937-Нед_Начало)/7)+1</f>
        <v/>
      </c>
      <c r="G3937">
        <f>IF(E3937=0,0,INDEX('Планы менеджеров'!$B$5:$M$16,B3937,D3937)/INDEX(Мес_Раб,D3937))</f>
        <v/>
      </c>
    </row>
    <row r="3938">
      <c r="A3938" t="inlineStr">
        <is>
          <t>Егоров</t>
        </is>
      </c>
      <c r="B3938" t="n">
        <v>15</v>
      </c>
      <c r="C3938" s="18">
        <f>'Календарь'!A225</f>
        <v/>
      </c>
      <c r="D3938">
        <f>MONTH(C3938)</f>
        <v/>
      </c>
      <c r="E3938">
        <f>'Календарь'!D225</f>
        <v/>
      </c>
      <c r="F3938">
        <f>INT((C3938-Нед_Начало)/7)+1</f>
        <v/>
      </c>
      <c r="G3938">
        <f>IF(E3938=0,0,INDEX('Планы менеджеров'!$B$5:$M$16,B3938,D3938)/INDEX(Мес_Раб,D3938))</f>
        <v/>
      </c>
    </row>
    <row r="3939">
      <c r="A3939" t="inlineStr">
        <is>
          <t>Егоров</t>
        </is>
      </c>
      <c r="B3939" t="n">
        <v>15</v>
      </c>
      <c r="C3939" s="18">
        <f>'Календарь'!A226</f>
        <v/>
      </c>
      <c r="D3939">
        <f>MONTH(C3939)</f>
        <v/>
      </c>
      <c r="E3939">
        <f>'Календарь'!D226</f>
        <v/>
      </c>
      <c r="F3939">
        <f>INT((C3939-Нед_Начало)/7)+1</f>
        <v/>
      </c>
      <c r="G3939">
        <f>IF(E3939=0,0,INDEX('Планы менеджеров'!$B$5:$M$16,B3939,D3939)/INDEX(Мес_Раб,D3939))</f>
        <v/>
      </c>
    </row>
    <row r="3940">
      <c r="A3940" t="inlineStr">
        <is>
          <t>Егоров</t>
        </is>
      </c>
      <c r="B3940" t="n">
        <v>15</v>
      </c>
      <c r="C3940" s="18">
        <f>'Календарь'!A227</f>
        <v/>
      </c>
      <c r="D3940">
        <f>MONTH(C3940)</f>
        <v/>
      </c>
      <c r="E3940">
        <f>'Календарь'!D227</f>
        <v/>
      </c>
      <c r="F3940">
        <f>INT((C3940-Нед_Начало)/7)+1</f>
        <v/>
      </c>
      <c r="G3940">
        <f>IF(E3940=0,0,INDEX('Планы менеджеров'!$B$5:$M$16,B3940,D3940)/INDEX(Мес_Раб,D3940))</f>
        <v/>
      </c>
    </row>
    <row r="3941">
      <c r="A3941" t="inlineStr">
        <is>
          <t>Егоров</t>
        </is>
      </c>
      <c r="B3941" t="n">
        <v>15</v>
      </c>
      <c r="C3941" s="18">
        <f>'Календарь'!A228</f>
        <v/>
      </c>
      <c r="D3941">
        <f>MONTH(C3941)</f>
        <v/>
      </c>
      <c r="E3941">
        <f>'Календарь'!D228</f>
        <v/>
      </c>
      <c r="F3941">
        <f>INT((C3941-Нед_Начало)/7)+1</f>
        <v/>
      </c>
      <c r="G3941">
        <f>IF(E3941=0,0,INDEX('Планы менеджеров'!$B$5:$M$16,B3941,D3941)/INDEX(Мес_Раб,D3941))</f>
        <v/>
      </c>
    </row>
    <row r="3942">
      <c r="A3942" t="inlineStr">
        <is>
          <t>Егоров</t>
        </is>
      </c>
      <c r="B3942" t="n">
        <v>15</v>
      </c>
      <c r="C3942" s="18">
        <f>'Календарь'!A229</f>
        <v/>
      </c>
      <c r="D3942">
        <f>MONTH(C3942)</f>
        <v/>
      </c>
      <c r="E3942">
        <f>'Календарь'!D229</f>
        <v/>
      </c>
      <c r="F3942">
        <f>INT((C3942-Нед_Начало)/7)+1</f>
        <v/>
      </c>
      <c r="G3942">
        <f>IF(E3942=0,0,INDEX('Планы менеджеров'!$B$5:$M$16,B3942,D3942)/INDEX(Мес_Раб,D3942))</f>
        <v/>
      </c>
    </row>
    <row r="3943">
      <c r="A3943" t="inlineStr">
        <is>
          <t>Егоров</t>
        </is>
      </c>
      <c r="B3943" t="n">
        <v>15</v>
      </c>
      <c r="C3943" s="18">
        <f>'Календарь'!A230</f>
        <v/>
      </c>
      <c r="D3943">
        <f>MONTH(C3943)</f>
        <v/>
      </c>
      <c r="E3943">
        <f>'Календарь'!D230</f>
        <v/>
      </c>
      <c r="F3943">
        <f>INT((C3943-Нед_Начало)/7)+1</f>
        <v/>
      </c>
      <c r="G3943">
        <f>IF(E3943=0,0,INDEX('Планы менеджеров'!$B$5:$M$16,B3943,D3943)/INDEX(Мес_Раб,D3943))</f>
        <v/>
      </c>
    </row>
    <row r="3944">
      <c r="A3944" t="inlineStr">
        <is>
          <t>Егоров</t>
        </is>
      </c>
      <c r="B3944" t="n">
        <v>15</v>
      </c>
      <c r="C3944" s="18">
        <f>'Календарь'!A231</f>
        <v/>
      </c>
      <c r="D3944">
        <f>MONTH(C3944)</f>
        <v/>
      </c>
      <c r="E3944">
        <f>'Календарь'!D231</f>
        <v/>
      </c>
      <c r="F3944">
        <f>INT((C3944-Нед_Начало)/7)+1</f>
        <v/>
      </c>
      <c r="G3944">
        <f>IF(E3944=0,0,INDEX('Планы менеджеров'!$B$5:$M$16,B3944,D3944)/INDEX(Мес_Раб,D3944))</f>
        <v/>
      </c>
    </row>
    <row r="3945">
      <c r="A3945" t="inlineStr">
        <is>
          <t>Егоров</t>
        </is>
      </c>
      <c r="B3945" t="n">
        <v>15</v>
      </c>
      <c r="C3945" s="18">
        <f>'Календарь'!A232</f>
        <v/>
      </c>
      <c r="D3945">
        <f>MONTH(C3945)</f>
        <v/>
      </c>
      <c r="E3945">
        <f>'Календарь'!D232</f>
        <v/>
      </c>
      <c r="F3945">
        <f>INT((C3945-Нед_Начало)/7)+1</f>
        <v/>
      </c>
      <c r="G3945">
        <f>IF(E3945=0,0,INDEX('Планы менеджеров'!$B$5:$M$16,B3945,D3945)/INDEX(Мес_Раб,D3945))</f>
        <v/>
      </c>
    </row>
    <row r="3946">
      <c r="A3946" t="inlineStr">
        <is>
          <t>Егоров</t>
        </is>
      </c>
      <c r="B3946" t="n">
        <v>15</v>
      </c>
      <c r="C3946" s="18">
        <f>'Календарь'!A233</f>
        <v/>
      </c>
      <c r="D3946">
        <f>MONTH(C3946)</f>
        <v/>
      </c>
      <c r="E3946">
        <f>'Календарь'!D233</f>
        <v/>
      </c>
      <c r="F3946">
        <f>INT((C3946-Нед_Начало)/7)+1</f>
        <v/>
      </c>
      <c r="G3946">
        <f>IF(E3946=0,0,INDEX('Планы менеджеров'!$B$5:$M$16,B3946,D3946)/INDEX(Мес_Раб,D3946))</f>
        <v/>
      </c>
    </row>
    <row r="3947">
      <c r="A3947" t="inlineStr">
        <is>
          <t>Егоров</t>
        </is>
      </c>
      <c r="B3947" t="n">
        <v>15</v>
      </c>
      <c r="C3947" s="18">
        <f>'Календарь'!A234</f>
        <v/>
      </c>
      <c r="D3947">
        <f>MONTH(C3947)</f>
        <v/>
      </c>
      <c r="E3947">
        <f>'Календарь'!D234</f>
        <v/>
      </c>
      <c r="F3947">
        <f>INT((C3947-Нед_Начало)/7)+1</f>
        <v/>
      </c>
      <c r="G3947">
        <f>IF(E3947=0,0,INDEX('Планы менеджеров'!$B$5:$M$16,B3947,D3947)/INDEX(Мес_Раб,D3947))</f>
        <v/>
      </c>
    </row>
    <row r="3948">
      <c r="A3948" t="inlineStr">
        <is>
          <t>Егоров</t>
        </is>
      </c>
      <c r="B3948" t="n">
        <v>15</v>
      </c>
      <c r="C3948" s="18">
        <f>'Календарь'!A235</f>
        <v/>
      </c>
      <c r="D3948">
        <f>MONTH(C3948)</f>
        <v/>
      </c>
      <c r="E3948">
        <f>'Календарь'!D235</f>
        <v/>
      </c>
      <c r="F3948">
        <f>INT((C3948-Нед_Начало)/7)+1</f>
        <v/>
      </c>
      <c r="G3948">
        <f>IF(E3948=0,0,INDEX('Планы менеджеров'!$B$5:$M$16,B3948,D3948)/INDEX(Мес_Раб,D3948))</f>
        <v/>
      </c>
    </row>
    <row r="3949">
      <c r="A3949" t="inlineStr">
        <is>
          <t>Егоров</t>
        </is>
      </c>
      <c r="B3949" t="n">
        <v>15</v>
      </c>
      <c r="C3949" s="18">
        <f>'Календарь'!A236</f>
        <v/>
      </c>
      <c r="D3949">
        <f>MONTH(C3949)</f>
        <v/>
      </c>
      <c r="E3949">
        <f>'Календарь'!D236</f>
        <v/>
      </c>
      <c r="F3949">
        <f>INT((C3949-Нед_Начало)/7)+1</f>
        <v/>
      </c>
      <c r="G3949">
        <f>IF(E3949=0,0,INDEX('Планы менеджеров'!$B$5:$M$16,B3949,D3949)/INDEX(Мес_Раб,D3949))</f>
        <v/>
      </c>
    </row>
    <row r="3950">
      <c r="A3950" t="inlineStr">
        <is>
          <t>Егоров</t>
        </is>
      </c>
      <c r="B3950" t="n">
        <v>15</v>
      </c>
      <c r="C3950" s="18">
        <f>'Календарь'!A237</f>
        <v/>
      </c>
      <c r="D3950">
        <f>MONTH(C3950)</f>
        <v/>
      </c>
      <c r="E3950">
        <f>'Календарь'!D237</f>
        <v/>
      </c>
      <c r="F3950">
        <f>INT((C3950-Нед_Начало)/7)+1</f>
        <v/>
      </c>
      <c r="G3950">
        <f>IF(E3950=0,0,INDEX('Планы менеджеров'!$B$5:$M$16,B3950,D3950)/INDEX(Мес_Раб,D3950))</f>
        <v/>
      </c>
    </row>
    <row r="3951">
      <c r="A3951" t="inlineStr">
        <is>
          <t>Егоров</t>
        </is>
      </c>
      <c r="B3951" t="n">
        <v>15</v>
      </c>
      <c r="C3951" s="18">
        <f>'Календарь'!A238</f>
        <v/>
      </c>
      <c r="D3951">
        <f>MONTH(C3951)</f>
        <v/>
      </c>
      <c r="E3951">
        <f>'Календарь'!D238</f>
        <v/>
      </c>
      <c r="F3951">
        <f>INT((C3951-Нед_Начало)/7)+1</f>
        <v/>
      </c>
      <c r="G3951">
        <f>IF(E3951=0,0,INDEX('Планы менеджеров'!$B$5:$M$16,B3951,D3951)/INDEX(Мес_Раб,D3951))</f>
        <v/>
      </c>
    </row>
    <row r="3952">
      <c r="A3952" t="inlineStr">
        <is>
          <t>Егоров</t>
        </is>
      </c>
      <c r="B3952" t="n">
        <v>15</v>
      </c>
      <c r="C3952" s="18">
        <f>'Календарь'!A239</f>
        <v/>
      </c>
      <c r="D3952">
        <f>MONTH(C3952)</f>
        <v/>
      </c>
      <c r="E3952">
        <f>'Календарь'!D239</f>
        <v/>
      </c>
      <c r="F3952">
        <f>INT((C3952-Нед_Начало)/7)+1</f>
        <v/>
      </c>
      <c r="G3952">
        <f>IF(E3952=0,0,INDEX('Планы менеджеров'!$B$5:$M$16,B3952,D3952)/INDEX(Мес_Раб,D3952))</f>
        <v/>
      </c>
    </row>
    <row r="3953">
      <c r="A3953" t="inlineStr">
        <is>
          <t>Егоров</t>
        </is>
      </c>
      <c r="B3953" t="n">
        <v>15</v>
      </c>
      <c r="C3953" s="18">
        <f>'Календарь'!A240</f>
        <v/>
      </c>
      <c r="D3953">
        <f>MONTH(C3953)</f>
        <v/>
      </c>
      <c r="E3953">
        <f>'Календарь'!D240</f>
        <v/>
      </c>
      <c r="F3953">
        <f>INT((C3953-Нед_Начало)/7)+1</f>
        <v/>
      </c>
      <c r="G3953">
        <f>IF(E3953=0,0,INDEX('Планы менеджеров'!$B$5:$M$16,B3953,D3953)/INDEX(Мес_Раб,D3953))</f>
        <v/>
      </c>
    </row>
    <row r="3954">
      <c r="A3954" t="inlineStr">
        <is>
          <t>Егоров</t>
        </is>
      </c>
      <c r="B3954" t="n">
        <v>15</v>
      </c>
      <c r="C3954" s="18">
        <f>'Календарь'!A241</f>
        <v/>
      </c>
      <c r="D3954">
        <f>MONTH(C3954)</f>
        <v/>
      </c>
      <c r="E3954">
        <f>'Календарь'!D241</f>
        <v/>
      </c>
      <c r="F3954">
        <f>INT((C3954-Нед_Начало)/7)+1</f>
        <v/>
      </c>
      <c r="G3954">
        <f>IF(E3954=0,0,INDEX('Планы менеджеров'!$B$5:$M$16,B3954,D3954)/INDEX(Мес_Раб,D3954))</f>
        <v/>
      </c>
    </row>
    <row r="3955">
      <c r="A3955" t="inlineStr">
        <is>
          <t>Егоров</t>
        </is>
      </c>
      <c r="B3955" t="n">
        <v>15</v>
      </c>
      <c r="C3955" s="18">
        <f>'Календарь'!A242</f>
        <v/>
      </c>
      <c r="D3955">
        <f>MONTH(C3955)</f>
        <v/>
      </c>
      <c r="E3955">
        <f>'Календарь'!D242</f>
        <v/>
      </c>
      <c r="F3955">
        <f>INT((C3955-Нед_Начало)/7)+1</f>
        <v/>
      </c>
      <c r="G3955">
        <f>IF(E3955=0,0,INDEX('Планы менеджеров'!$B$5:$M$16,B3955,D3955)/INDEX(Мес_Раб,D3955))</f>
        <v/>
      </c>
    </row>
    <row r="3956">
      <c r="A3956" t="inlineStr">
        <is>
          <t>Егоров</t>
        </is>
      </c>
      <c r="B3956" t="n">
        <v>15</v>
      </c>
      <c r="C3956" s="18">
        <f>'Календарь'!A243</f>
        <v/>
      </c>
      <c r="D3956">
        <f>MONTH(C3956)</f>
        <v/>
      </c>
      <c r="E3956">
        <f>'Календарь'!D243</f>
        <v/>
      </c>
      <c r="F3956">
        <f>INT((C3956-Нед_Начало)/7)+1</f>
        <v/>
      </c>
      <c r="G3956">
        <f>IF(E3956=0,0,INDEX('Планы менеджеров'!$B$5:$M$16,B3956,D3956)/INDEX(Мес_Раб,D3956))</f>
        <v/>
      </c>
    </row>
    <row r="3957">
      <c r="A3957" t="inlineStr">
        <is>
          <t>Егоров</t>
        </is>
      </c>
      <c r="B3957" t="n">
        <v>15</v>
      </c>
      <c r="C3957" s="18">
        <f>'Календарь'!A244</f>
        <v/>
      </c>
      <c r="D3957">
        <f>MONTH(C3957)</f>
        <v/>
      </c>
      <c r="E3957">
        <f>'Календарь'!D244</f>
        <v/>
      </c>
      <c r="F3957">
        <f>INT((C3957-Нед_Начало)/7)+1</f>
        <v/>
      </c>
      <c r="G3957">
        <f>IF(E3957=0,0,INDEX('Планы менеджеров'!$B$5:$M$16,B3957,D3957)/INDEX(Мес_Раб,D3957))</f>
        <v/>
      </c>
    </row>
    <row r="3958">
      <c r="A3958" t="inlineStr">
        <is>
          <t>Егоров</t>
        </is>
      </c>
      <c r="B3958" t="n">
        <v>15</v>
      </c>
      <c r="C3958" s="18">
        <f>'Календарь'!A245</f>
        <v/>
      </c>
      <c r="D3958">
        <f>MONTH(C3958)</f>
        <v/>
      </c>
      <c r="E3958">
        <f>'Календарь'!D245</f>
        <v/>
      </c>
      <c r="F3958">
        <f>INT((C3958-Нед_Начало)/7)+1</f>
        <v/>
      </c>
      <c r="G3958">
        <f>IF(E3958=0,0,INDEX('Планы менеджеров'!$B$5:$M$16,B3958,D3958)/INDEX(Мес_Раб,D3958))</f>
        <v/>
      </c>
    </row>
    <row r="3959">
      <c r="A3959" t="inlineStr">
        <is>
          <t>Егоров</t>
        </is>
      </c>
      <c r="B3959" t="n">
        <v>15</v>
      </c>
      <c r="C3959" s="18">
        <f>'Календарь'!A246</f>
        <v/>
      </c>
      <c r="D3959">
        <f>MONTH(C3959)</f>
        <v/>
      </c>
      <c r="E3959">
        <f>'Календарь'!D246</f>
        <v/>
      </c>
      <c r="F3959">
        <f>INT((C3959-Нед_Начало)/7)+1</f>
        <v/>
      </c>
      <c r="G3959">
        <f>IF(E3959=0,0,INDEX('Планы менеджеров'!$B$5:$M$16,B3959,D3959)/INDEX(Мес_Раб,D3959))</f>
        <v/>
      </c>
    </row>
    <row r="3960">
      <c r="A3960" t="inlineStr">
        <is>
          <t>Егоров</t>
        </is>
      </c>
      <c r="B3960" t="n">
        <v>15</v>
      </c>
      <c r="C3960" s="18">
        <f>'Календарь'!A247</f>
        <v/>
      </c>
      <c r="D3960">
        <f>MONTH(C3960)</f>
        <v/>
      </c>
      <c r="E3960">
        <f>'Календарь'!D247</f>
        <v/>
      </c>
      <c r="F3960">
        <f>INT((C3960-Нед_Начало)/7)+1</f>
        <v/>
      </c>
      <c r="G3960">
        <f>IF(E3960=0,0,INDEX('Планы менеджеров'!$B$5:$M$16,B3960,D3960)/INDEX(Мес_Раб,D3960))</f>
        <v/>
      </c>
    </row>
    <row r="3961">
      <c r="A3961" t="inlineStr">
        <is>
          <t>Егоров</t>
        </is>
      </c>
      <c r="B3961" t="n">
        <v>15</v>
      </c>
      <c r="C3961" s="18">
        <f>'Календарь'!A248</f>
        <v/>
      </c>
      <c r="D3961">
        <f>MONTH(C3961)</f>
        <v/>
      </c>
      <c r="E3961">
        <f>'Календарь'!D248</f>
        <v/>
      </c>
      <c r="F3961">
        <f>INT((C3961-Нед_Начало)/7)+1</f>
        <v/>
      </c>
      <c r="G3961">
        <f>IF(E3961=0,0,INDEX('Планы менеджеров'!$B$5:$M$16,B3961,D3961)/INDEX(Мес_Раб,D3961))</f>
        <v/>
      </c>
    </row>
    <row r="3962">
      <c r="A3962" t="inlineStr">
        <is>
          <t>Егоров</t>
        </is>
      </c>
      <c r="B3962" t="n">
        <v>15</v>
      </c>
      <c r="C3962" s="18">
        <f>'Календарь'!A249</f>
        <v/>
      </c>
      <c r="D3962">
        <f>MONTH(C3962)</f>
        <v/>
      </c>
      <c r="E3962">
        <f>'Календарь'!D249</f>
        <v/>
      </c>
      <c r="F3962">
        <f>INT((C3962-Нед_Начало)/7)+1</f>
        <v/>
      </c>
      <c r="G3962">
        <f>IF(E3962=0,0,INDEX('Планы менеджеров'!$B$5:$M$16,B3962,D3962)/INDEX(Мес_Раб,D3962))</f>
        <v/>
      </c>
    </row>
    <row r="3963">
      <c r="A3963" t="inlineStr">
        <is>
          <t>Егоров</t>
        </is>
      </c>
      <c r="B3963" t="n">
        <v>15</v>
      </c>
      <c r="C3963" s="18">
        <f>'Календарь'!A250</f>
        <v/>
      </c>
      <c r="D3963">
        <f>MONTH(C3963)</f>
        <v/>
      </c>
      <c r="E3963">
        <f>'Календарь'!D250</f>
        <v/>
      </c>
      <c r="F3963">
        <f>INT((C3963-Нед_Начало)/7)+1</f>
        <v/>
      </c>
      <c r="G3963">
        <f>IF(E3963=0,0,INDEX('Планы менеджеров'!$B$5:$M$16,B3963,D3963)/INDEX(Мес_Раб,D3963))</f>
        <v/>
      </c>
    </row>
    <row r="3964">
      <c r="A3964" t="inlineStr">
        <is>
          <t>Егоров</t>
        </is>
      </c>
      <c r="B3964" t="n">
        <v>15</v>
      </c>
      <c r="C3964" s="18">
        <f>'Календарь'!A251</f>
        <v/>
      </c>
      <c r="D3964">
        <f>MONTH(C3964)</f>
        <v/>
      </c>
      <c r="E3964">
        <f>'Календарь'!D251</f>
        <v/>
      </c>
      <c r="F3964">
        <f>INT((C3964-Нед_Начало)/7)+1</f>
        <v/>
      </c>
      <c r="G3964">
        <f>IF(E3964=0,0,INDEX('Планы менеджеров'!$B$5:$M$16,B3964,D3964)/INDEX(Мес_Раб,D3964))</f>
        <v/>
      </c>
    </row>
    <row r="3965">
      <c r="A3965" t="inlineStr">
        <is>
          <t>Егоров</t>
        </is>
      </c>
      <c r="B3965" t="n">
        <v>15</v>
      </c>
      <c r="C3965" s="18">
        <f>'Календарь'!A252</f>
        <v/>
      </c>
      <c r="D3965">
        <f>MONTH(C3965)</f>
        <v/>
      </c>
      <c r="E3965">
        <f>'Календарь'!D252</f>
        <v/>
      </c>
      <c r="F3965">
        <f>INT((C3965-Нед_Начало)/7)+1</f>
        <v/>
      </c>
      <c r="G3965">
        <f>IF(E3965=0,0,INDEX('Планы менеджеров'!$B$5:$M$16,B3965,D3965)/INDEX(Мес_Раб,D3965))</f>
        <v/>
      </c>
    </row>
    <row r="3966">
      <c r="A3966" t="inlineStr">
        <is>
          <t>Егоров</t>
        </is>
      </c>
      <c r="B3966" t="n">
        <v>15</v>
      </c>
      <c r="C3966" s="18">
        <f>'Календарь'!A253</f>
        <v/>
      </c>
      <c r="D3966">
        <f>MONTH(C3966)</f>
        <v/>
      </c>
      <c r="E3966">
        <f>'Календарь'!D253</f>
        <v/>
      </c>
      <c r="F3966">
        <f>INT((C3966-Нед_Начало)/7)+1</f>
        <v/>
      </c>
      <c r="G3966">
        <f>IF(E3966=0,0,INDEX('Планы менеджеров'!$B$5:$M$16,B3966,D3966)/INDEX(Мес_Раб,D3966))</f>
        <v/>
      </c>
    </row>
    <row r="3967">
      <c r="A3967" t="inlineStr">
        <is>
          <t>Егоров</t>
        </is>
      </c>
      <c r="B3967" t="n">
        <v>15</v>
      </c>
      <c r="C3967" s="18">
        <f>'Календарь'!A254</f>
        <v/>
      </c>
      <c r="D3967">
        <f>MONTH(C3967)</f>
        <v/>
      </c>
      <c r="E3967">
        <f>'Календарь'!D254</f>
        <v/>
      </c>
      <c r="F3967">
        <f>INT((C3967-Нед_Начало)/7)+1</f>
        <v/>
      </c>
      <c r="G3967">
        <f>IF(E3967=0,0,INDEX('Планы менеджеров'!$B$5:$M$16,B3967,D3967)/INDEX(Мес_Раб,D3967))</f>
        <v/>
      </c>
    </row>
    <row r="3968">
      <c r="A3968" t="inlineStr">
        <is>
          <t>Егоров</t>
        </is>
      </c>
      <c r="B3968" t="n">
        <v>15</v>
      </c>
      <c r="C3968" s="18">
        <f>'Календарь'!A255</f>
        <v/>
      </c>
      <c r="D3968">
        <f>MONTH(C3968)</f>
        <v/>
      </c>
      <c r="E3968">
        <f>'Календарь'!D255</f>
        <v/>
      </c>
      <c r="F3968">
        <f>INT((C3968-Нед_Начало)/7)+1</f>
        <v/>
      </c>
      <c r="G3968">
        <f>IF(E3968=0,0,INDEX('Планы менеджеров'!$B$5:$M$16,B3968,D3968)/INDEX(Мес_Раб,D3968))</f>
        <v/>
      </c>
    </row>
    <row r="3969">
      <c r="A3969" t="inlineStr">
        <is>
          <t>Егоров</t>
        </is>
      </c>
      <c r="B3969" t="n">
        <v>15</v>
      </c>
      <c r="C3969" s="18">
        <f>'Календарь'!A256</f>
        <v/>
      </c>
      <c r="D3969">
        <f>MONTH(C3969)</f>
        <v/>
      </c>
      <c r="E3969">
        <f>'Календарь'!D256</f>
        <v/>
      </c>
      <c r="F3969">
        <f>INT((C3969-Нед_Начало)/7)+1</f>
        <v/>
      </c>
      <c r="G3969">
        <f>IF(E3969=0,0,INDEX('Планы менеджеров'!$B$5:$M$16,B3969,D3969)/INDEX(Мес_Раб,D3969))</f>
        <v/>
      </c>
    </row>
    <row r="3970">
      <c r="A3970" t="inlineStr">
        <is>
          <t>Егоров</t>
        </is>
      </c>
      <c r="B3970" t="n">
        <v>15</v>
      </c>
      <c r="C3970" s="18">
        <f>'Календарь'!A257</f>
        <v/>
      </c>
      <c r="D3970">
        <f>MONTH(C3970)</f>
        <v/>
      </c>
      <c r="E3970">
        <f>'Календарь'!D257</f>
        <v/>
      </c>
      <c r="F3970">
        <f>INT((C3970-Нед_Начало)/7)+1</f>
        <v/>
      </c>
      <c r="G3970">
        <f>IF(E3970=0,0,INDEX('Планы менеджеров'!$B$5:$M$16,B3970,D3970)/INDEX(Мес_Раб,D3970))</f>
        <v/>
      </c>
    </row>
    <row r="3971">
      <c r="A3971" t="inlineStr">
        <is>
          <t>Егоров</t>
        </is>
      </c>
      <c r="B3971" t="n">
        <v>15</v>
      </c>
      <c r="C3971" s="18">
        <f>'Календарь'!A258</f>
        <v/>
      </c>
      <c r="D3971">
        <f>MONTH(C3971)</f>
        <v/>
      </c>
      <c r="E3971">
        <f>'Календарь'!D258</f>
        <v/>
      </c>
      <c r="F3971">
        <f>INT((C3971-Нед_Начало)/7)+1</f>
        <v/>
      </c>
      <c r="G3971">
        <f>IF(E3971=0,0,INDEX('Планы менеджеров'!$B$5:$M$16,B3971,D3971)/INDEX(Мес_Раб,D3971))</f>
        <v/>
      </c>
    </row>
    <row r="3972">
      <c r="A3972" t="inlineStr">
        <is>
          <t>Егоров</t>
        </is>
      </c>
      <c r="B3972" t="n">
        <v>15</v>
      </c>
      <c r="C3972" s="18">
        <f>'Календарь'!A259</f>
        <v/>
      </c>
      <c r="D3972">
        <f>MONTH(C3972)</f>
        <v/>
      </c>
      <c r="E3972">
        <f>'Календарь'!D259</f>
        <v/>
      </c>
      <c r="F3972">
        <f>INT((C3972-Нед_Начало)/7)+1</f>
        <v/>
      </c>
      <c r="G3972">
        <f>IF(E3972=0,0,INDEX('Планы менеджеров'!$B$5:$M$16,B3972,D3972)/INDEX(Мес_Раб,D3972))</f>
        <v/>
      </c>
    </row>
    <row r="3973">
      <c r="A3973" t="inlineStr">
        <is>
          <t>Егоров</t>
        </is>
      </c>
      <c r="B3973" t="n">
        <v>15</v>
      </c>
      <c r="C3973" s="18">
        <f>'Календарь'!A260</f>
        <v/>
      </c>
      <c r="D3973">
        <f>MONTH(C3973)</f>
        <v/>
      </c>
      <c r="E3973">
        <f>'Календарь'!D260</f>
        <v/>
      </c>
      <c r="F3973">
        <f>INT((C3973-Нед_Начало)/7)+1</f>
        <v/>
      </c>
      <c r="G3973">
        <f>IF(E3973=0,0,INDEX('Планы менеджеров'!$B$5:$M$16,B3973,D3973)/INDEX(Мес_Раб,D3973))</f>
        <v/>
      </c>
    </row>
    <row r="3974">
      <c r="A3974" t="inlineStr">
        <is>
          <t>Егоров</t>
        </is>
      </c>
      <c r="B3974" t="n">
        <v>15</v>
      </c>
      <c r="C3974" s="18">
        <f>'Календарь'!A261</f>
        <v/>
      </c>
      <c r="D3974">
        <f>MONTH(C3974)</f>
        <v/>
      </c>
      <c r="E3974">
        <f>'Календарь'!D261</f>
        <v/>
      </c>
      <c r="F3974">
        <f>INT((C3974-Нед_Начало)/7)+1</f>
        <v/>
      </c>
      <c r="G3974">
        <f>IF(E3974=0,0,INDEX('Планы менеджеров'!$B$5:$M$16,B3974,D3974)/INDEX(Мес_Раб,D3974))</f>
        <v/>
      </c>
    </row>
    <row r="3975">
      <c r="A3975" t="inlineStr">
        <is>
          <t>Егоров</t>
        </is>
      </c>
      <c r="B3975" t="n">
        <v>15</v>
      </c>
      <c r="C3975" s="18">
        <f>'Календарь'!A262</f>
        <v/>
      </c>
      <c r="D3975">
        <f>MONTH(C3975)</f>
        <v/>
      </c>
      <c r="E3975">
        <f>'Календарь'!D262</f>
        <v/>
      </c>
      <c r="F3975">
        <f>INT((C3975-Нед_Начало)/7)+1</f>
        <v/>
      </c>
      <c r="G3975">
        <f>IF(E3975=0,0,INDEX('Планы менеджеров'!$B$5:$M$16,B3975,D3975)/INDEX(Мес_Раб,D3975))</f>
        <v/>
      </c>
    </row>
    <row r="3976">
      <c r="A3976" t="inlineStr">
        <is>
          <t>Егоров</t>
        </is>
      </c>
      <c r="B3976" t="n">
        <v>15</v>
      </c>
      <c r="C3976" s="18">
        <f>'Календарь'!A263</f>
        <v/>
      </c>
      <c r="D3976">
        <f>MONTH(C3976)</f>
        <v/>
      </c>
      <c r="E3976">
        <f>'Календарь'!D263</f>
        <v/>
      </c>
      <c r="F3976">
        <f>INT((C3976-Нед_Начало)/7)+1</f>
        <v/>
      </c>
      <c r="G3976">
        <f>IF(E3976=0,0,INDEX('Планы менеджеров'!$B$5:$M$16,B3976,D3976)/INDEX(Мес_Раб,D3976))</f>
        <v/>
      </c>
    </row>
    <row r="3977">
      <c r="A3977" t="inlineStr">
        <is>
          <t>Егоров</t>
        </is>
      </c>
      <c r="B3977" t="n">
        <v>15</v>
      </c>
      <c r="C3977" s="18">
        <f>'Календарь'!A264</f>
        <v/>
      </c>
      <c r="D3977">
        <f>MONTH(C3977)</f>
        <v/>
      </c>
      <c r="E3977">
        <f>'Календарь'!D264</f>
        <v/>
      </c>
      <c r="F3977">
        <f>INT((C3977-Нед_Начало)/7)+1</f>
        <v/>
      </c>
      <c r="G3977">
        <f>IF(E3977=0,0,INDEX('Планы менеджеров'!$B$5:$M$16,B3977,D3977)/INDEX(Мес_Раб,D3977))</f>
        <v/>
      </c>
    </row>
    <row r="3978">
      <c r="A3978" t="inlineStr">
        <is>
          <t>Егоров</t>
        </is>
      </c>
      <c r="B3978" t="n">
        <v>15</v>
      </c>
      <c r="C3978" s="18">
        <f>'Календарь'!A265</f>
        <v/>
      </c>
      <c r="D3978">
        <f>MONTH(C3978)</f>
        <v/>
      </c>
      <c r="E3978">
        <f>'Календарь'!D265</f>
        <v/>
      </c>
      <c r="F3978">
        <f>INT((C3978-Нед_Начало)/7)+1</f>
        <v/>
      </c>
      <c r="G3978">
        <f>IF(E3978=0,0,INDEX('Планы менеджеров'!$B$5:$M$16,B3978,D3978)/INDEX(Мес_Раб,D3978))</f>
        <v/>
      </c>
    </row>
    <row r="3979">
      <c r="A3979" t="inlineStr">
        <is>
          <t>Егоров</t>
        </is>
      </c>
      <c r="B3979" t="n">
        <v>15</v>
      </c>
      <c r="C3979" s="18">
        <f>'Календарь'!A266</f>
        <v/>
      </c>
      <c r="D3979">
        <f>MONTH(C3979)</f>
        <v/>
      </c>
      <c r="E3979">
        <f>'Календарь'!D266</f>
        <v/>
      </c>
      <c r="F3979">
        <f>INT((C3979-Нед_Начало)/7)+1</f>
        <v/>
      </c>
      <c r="G3979">
        <f>IF(E3979=0,0,INDEX('Планы менеджеров'!$B$5:$M$16,B3979,D3979)/INDEX(Мес_Раб,D3979))</f>
        <v/>
      </c>
    </row>
    <row r="3980">
      <c r="A3980" t="inlineStr">
        <is>
          <t>Егоров</t>
        </is>
      </c>
      <c r="B3980" t="n">
        <v>15</v>
      </c>
      <c r="C3980" s="18">
        <f>'Календарь'!A267</f>
        <v/>
      </c>
      <c r="D3980">
        <f>MONTH(C3980)</f>
        <v/>
      </c>
      <c r="E3980">
        <f>'Календарь'!D267</f>
        <v/>
      </c>
      <c r="F3980">
        <f>INT((C3980-Нед_Начало)/7)+1</f>
        <v/>
      </c>
      <c r="G3980">
        <f>IF(E3980=0,0,INDEX('Планы менеджеров'!$B$5:$M$16,B3980,D3980)/INDEX(Мес_Раб,D3980))</f>
        <v/>
      </c>
    </row>
    <row r="3981">
      <c r="A3981" t="inlineStr">
        <is>
          <t>Егоров</t>
        </is>
      </c>
      <c r="B3981" t="n">
        <v>15</v>
      </c>
      <c r="C3981" s="18">
        <f>'Календарь'!A268</f>
        <v/>
      </c>
      <c r="D3981">
        <f>MONTH(C3981)</f>
        <v/>
      </c>
      <c r="E3981">
        <f>'Календарь'!D268</f>
        <v/>
      </c>
      <c r="F3981">
        <f>INT((C3981-Нед_Начало)/7)+1</f>
        <v/>
      </c>
      <c r="G3981">
        <f>IF(E3981=0,0,INDEX('Планы менеджеров'!$B$5:$M$16,B3981,D3981)/INDEX(Мес_Раб,D3981))</f>
        <v/>
      </c>
    </row>
    <row r="3982">
      <c r="A3982" t="inlineStr">
        <is>
          <t>Егоров</t>
        </is>
      </c>
      <c r="B3982" t="n">
        <v>15</v>
      </c>
      <c r="C3982" s="18">
        <f>'Календарь'!A269</f>
        <v/>
      </c>
      <c r="D3982">
        <f>MONTH(C3982)</f>
        <v/>
      </c>
      <c r="E3982">
        <f>'Календарь'!D269</f>
        <v/>
      </c>
      <c r="F3982">
        <f>INT((C3982-Нед_Начало)/7)+1</f>
        <v/>
      </c>
      <c r="G3982">
        <f>IF(E3982=0,0,INDEX('Планы менеджеров'!$B$5:$M$16,B3982,D3982)/INDEX(Мес_Раб,D3982))</f>
        <v/>
      </c>
    </row>
    <row r="3983">
      <c r="A3983" t="inlineStr">
        <is>
          <t>Егоров</t>
        </is>
      </c>
      <c r="B3983" t="n">
        <v>15</v>
      </c>
      <c r="C3983" s="18">
        <f>'Календарь'!A270</f>
        <v/>
      </c>
      <c r="D3983">
        <f>MONTH(C3983)</f>
        <v/>
      </c>
      <c r="E3983">
        <f>'Календарь'!D270</f>
        <v/>
      </c>
      <c r="F3983">
        <f>INT((C3983-Нед_Начало)/7)+1</f>
        <v/>
      </c>
      <c r="G3983">
        <f>IF(E3983=0,0,INDEX('Планы менеджеров'!$B$5:$M$16,B3983,D3983)/INDEX(Мес_Раб,D3983))</f>
        <v/>
      </c>
    </row>
    <row r="3984">
      <c r="A3984" t="inlineStr">
        <is>
          <t>Егоров</t>
        </is>
      </c>
      <c r="B3984" t="n">
        <v>15</v>
      </c>
      <c r="C3984" s="18">
        <f>'Календарь'!A271</f>
        <v/>
      </c>
      <c r="D3984">
        <f>MONTH(C3984)</f>
        <v/>
      </c>
      <c r="E3984">
        <f>'Календарь'!D271</f>
        <v/>
      </c>
      <c r="F3984">
        <f>INT((C3984-Нед_Начало)/7)+1</f>
        <v/>
      </c>
      <c r="G3984">
        <f>IF(E3984=0,0,INDEX('Планы менеджеров'!$B$5:$M$16,B3984,D3984)/INDEX(Мес_Раб,D3984))</f>
        <v/>
      </c>
    </row>
    <row r="3985">
      <c r="A3985" t="inlineStr">
        <is>
          <t>Егоров</t>
        </is>
      </c>
      <c r="B3985" t="n">
        <v>15</v>
      </c>
      <c r="C3985" s="18">
        <f>'Календарь'!A272</f>
        <v/>
      </c>
      <c r="D3985">
        <f>MONTH(C3985)</f>
        <v/>
      </c>
      <c r="E3985">
        <f>'Календарь'!D272</f>
        <v/>
      </c>
      <c r="F3985">
        <f>INT((C3985-Нед_Начало)/7)+1</f>
        <v/>
      </c>
      <c r="G3985">
        <f>IF(E3985=0,0,INDEX('Планы менеджеров'!$B$5:$M$16,B3985,D3985)/INDEX(Мес_Раб,D3985))</f>
        <v/>
      </c>
    </row>
    <row r="3986">
      <c r="A3986" t="inlineStr">
        <is>
          <t>Егоров</t>
        </is>
      </c>
      <c r="B3986" t="n">
        <v>15</v>
      </c>
      <c r="C3986" s="18">
        <f>'Календарь'!A273</f>
        <v/>
      </c>
      <c r="D3986">
        <f>MONTH(C3986)</f>
        <v/>
      </c>
      <c r="E3986">
        <f>'Календарь'!D273</f>
        <v/>
      </c>
      <c r="F3986">
        <f>INT((C3986-Нед_Начало)/7)+1</f>
        <v/>
      </c>
      <c r="G3986">
        <f>IF(E3986=0,0,INDEX('Планы менеджеров'!$B$5:$M$16,B3986,D3986)/INDEX(Мес_Раб,D3986))</f>
        <v/>
      </c>
    </row>
    <row r="3987">
      <c r="A3987" t="inlineStr">
        <is>
          <t>Егоров</t>
        </is>
      </c>
      <c r="B3987" t="n">
        <v>15</v>
      </c>
      <c r="C3987" s="18">
        <f>'Календарь'!A274</f>
        <v/>
      </c>
      <c r="D3987">
        <f>MONTH(C3987)</f>
        <v/>
      </c>
      <c r="E3987">
        <f>'Календарь'!D274</f>
        <v/>
      </c>
      <c r="F3987">
        <f>INT((C3987-Нед_Начало)/7)+1</f>
        <v/>
      </c>
      <c r="G3987">
        <f>IF(E3987=0,0,INDEX('Планы менеджеров'!$B$5:$M$16,B3987,D3987)/INDEX(Мес_Раб,D3987))</f>
        <v/>
      </c>
    </row>
    <row r="3988">
      <c r="A3988" t="inlineStr">
        <is>
          <t>Егоров</t>
        </is>
      </c>
      <c r="B3988" t="n">
        <v>15</v>
      </c>
      <c r="C3988" s="18">
        <f>'Календарь'!A275</f>
        <v/>
      </c>
      <c r="D3988">
        <f>MONTH(C3988)</f>
        <v/>
      </c>
      <c r="E3988">
        <f>'Календарь'!D275</f>
        <v/>
      </c>
      <c r="F3988">
        <f>INT((C3988-Нед_Начало)/7)+1</f>
        <v/>
      </c>
      <c r="G3988">
        <f>IF(E3988=0,0,INDEX('Планы менеджеров'!$B$5:$M$16,B3988,D3988)/INDEX(Мес_Раб,D3988))</f>
        <v/>
      </c>
    </row>
    <row r="3989">
      <c r="A3989" t="inlineStr">
        <is>
          <t>Егоров</t>
        </is>
      </c>
      <c r="B3989" t="n">
        <v>15</v>
      </c>
      <c r="C3989" s="18">
        <f>'Календарь'!A276</f>
        <v/>
      </c>
      <c r="D3989">
        <f>MONTH(C3989)</f>
        <v/>
      </c>
      <c r="E3989">
        <f>'Календарь'!D276</f>
        <v/>
      </c>
      <c r="F3989">
        <f>INT((C3989-Нед_Начало)/7)+1</f>
        <v/>
      </c>
      <c r="G3989">
        <f>IF(E3989=0,0,INDEX('Планы менеджеров'!$B$5:$M$16,B3989,D3989)/INDEX(Мес_Раб,D3989))</f>
        <v/>
      </c>
    </row>
    <row r="3990">
      <c r="A3990" t="inlineStr">
        <is>
          <t>Егоров</t>
        </is>
      </c>
      <c r="B3990" t="n">
        <v>15</v>
      </c>
      <c r="C3990" s="18">
        <f>'Календарь'!A277</f>
        <v/>
      </c>
      <c r="D3990">
        <f>MONTH(C3990)</f>
        <v/>
      </c>
      <c r="E3990">
        <f>'Календарь'!D277</f>
        <v/>
      </c>
      <c r="F3990">
        <f>INT((C3990-Нед_Начало)/7)+1</f>
        <v/>
      </c>
      <c r="G3990">
        <f>IF(E3990=0,0,INDEX('Планы менеджеров'!$B$5:$M$16,B3990,D3990)/INDEX(Мес_Раб,D3990))</f>
        <v/>
      </c>
    </row>
    <row r="3991">
      <c r="A3991" t="inlineStr">
        <is>
          <t>Егоров</t>
        </is>
      </c>
      <c r="B3991" t="n">
        <v>15</v>
      </c>
      <c r="C3991" s="18">
        <f>'Календарь'!A278</f>
        <v/>
      </c>
      <c r="D3991">
        <f>MONTH(C3991)</f>
        <v/>
      </c>
      <c r="E3991">
        <f>'Календарь'!D278</f>
        <v/>
      </c>
      <c r="F3991">
        <f>INT((C3991-Нед_Начало)/7)+1</f>
        <v/>
      </c>
      <c r="G3991">
        <f>IF(E3991=0,0,INDEX('Планы менеджеров'!$B$5:$M$16,B3991,D3991)/INDEX(Мес_Раб,D3991))</f>
        <v/>
      </c>
    </row>
    <row r="3992">
      <c r="A3992" t="inlineStr">
        <is>
          <t>Егоров</t>
        </is>
      </c>
      <c r="B3992" t="n">
        <v>15</v>
      </c>
      <c r="C3992" s="18">
        <f>'Календарь'!A279</f>
        <v/>
      </c>
      <c r="D3992">
        <f>MONTH(C3992)</f>
        <v/>
      </c>
      <c r="E3992">
        <f>'Календарь'!D279</f>
        <v/>
      </c>
      <c r="F3992">
        <f>INT((C3992-Нед_Начало)/7)+1</f>
        <v/>
      </c>
      <c r="G3992">
        <f>IF(E3992=0,0,INDEX('Планы менеджеров'!$B$5:$M$16,B3992,D3992)/INDEX(Мес_Раб,D3992))</f>
        <v/>
      </c>
    </row>
    <row r="3993">
      <c r="A3993" t="inlineStr">
        <is>
          <t>Егоров</t>
        </is>
      </c>
      <c r="B3993" t="n">
        <v>15</v>
      </c>
      <c r="C3993" s="18">
        <f>'Календарь'!A280</f>
        <v/>
      </c>
      <c r="D3993">
        <f>MONTH(C3993)</f>
        <v/>
      </c>
      <c r="E3993">
        <f>'Календарь'!D280</f>
        <v/>
      </c>
      <c r="F3993">
        <f>INT((C3993-Нед_Начало)/7)+1</f>
        <v/>
      </c>
      <c r="G3993">
        <f>IF(E3993=0,0,INDEX('Планы менеджеров'!$B$5:$M$16,B3993,D3993)/INDEX(Мес_Раб,D3993))</f>
        <v/>
      </c>
    </row>
    <row r="3994">
      <c r="A3994" t="inlineStr">
        <is>
          <t>Егоров</t>
        </is>
      </c>
      <c r="B3994" t="n">
        <v>15</v>
      </c>
      <c r="C3994" s="18">
        <f>'Календарь'!A281</f>
        <v/>
      </c>
      <c r="D3994">
        <f>MONTH(C3994)</f>
        <v/>
      </c>
      <c r="E3994">
        <f>'Календарь'!D281</f>
        <v/>
      </c>
      <c r="F3994">
        <f>INT((C3994-Нед_Начало)/7)+1</f>
        <v/>
      </c>
      <c r="G3994">
        <f>IF(E3994=0,0,INDEX('Планы менеджеров'!$B$5:$M$16,B3994,D3994)/INDEX(Мес_Раб,D3994))</f>
        <v/>
      </c>
    </row>
    <row r="3995">
      <c r="A3995" t="inlineStr">
        <is>
          <t>Егоров</t>
        </is>
      </c>
      <c r="B3995" t="n">
        <v>15</v>
      </c>
      <c r="C3995" s="18">
        <f>'Календарь'!A282</f>
        <v/>
      </c>
      <c r="D3995">
        <f>MONTH(C3995)</f>
        <v/>
      </c>
      <c r="E3995">
        <f>'Календарь'!D282</f>
        <v/>
      </c>
      <c r="F3995">
        <f>INT((C3995-Нед_Начало)/7)+1</f>
        <v/>
      </c>
      <c r="G3995">
        <f>IF(E3995=0,0,INDEX('Планы менеджеров'!$B$5:$M$16,B3995,D3995)/INDEX(Мес_Раб,D3995))</f>
        <v/>
      </c>
    </row>
    <row r="3996">
      <c r="A3996" t="inlineStr">
        <is>
          <t>Егоров</t>
        </is>
      </c>
      <c r="B3996" t="n">
        <v>15</v>
      </c>
      <c r="C3996" s="18">
        <f>'Календарь'!A283</f>
        <v/>
      </c>
      <c r="D3996">
        <f>MONTH(C3996)</f>
        <v/>
      </c>
      <c r="E3996">
        <f>'Календарь'!D283</f>
        <v/>
      </c>
      <c r="F3996">
        <f>INT((C3996-Нед_Начало)/7)+1</f>
        <v/>
      </c>
      <c r="G3996">
        <f>IF(E3996=0,0,INDEX('Планы менеджеров'!$B$5:$M$16,B3996,D3996)/INDEX(Мес_Раб,D3996))</f>
        <v/>
      </c>
    </row>
    <row r="3997">
      <c r="A3997" t="inlineStr">
        <is>
          <t>Егоров</t>
        </is>
      </c>
      <c r="B3997" t="n">
        <v>15</v>
      </c>
      <c r="C3997" s="18">
        <f>'Календарь'!A284</f>
        <v/>
      </c>
      <c r="D3997">
        <f>MONTH(C3997)</f>
        <v/>
      </c>
      <c r="E3997">
        <f>'Календарь'!D284</f>
        <v/>
      </c>
      <c r="F3997">
        <f>INT((C3997-Нед_Начало)/7)+1</f>
        <v/>
      </c>
      <c r="G3997">
        <f>IF(E3997=0,0,INDEX('Планы менеджеров'!$B$5:$M$16,B3997,D3997)/INDEX(Мес_Раб,D3997))</f>
        <v/>
      </c>
    </row>
    <row r="3998">
      <c r="A3998" t="inlineStr">
        <is>
          <t>Егоров</t>
        </is>
      </c>
      <c r="B3998" t="n">
        <v>15</v>
      </c>
      <c r="C3998" s="18">
        <f>'Календарь'!A285</f>
        <v/>
      </c>
      <c r="D3998">
        <f>MONTH(C3998)</f>
        <v/>
      </c>
      <c r="E3998">
        <f>'Календарь'!D285</f>
        <v/>
      </c>
      <c r="F3998">
        <f>INT((C3998-Нед_Начало)/7)+1</f>
        <v/>
      </c>
      <c r="G3998">
        <f>IF(E3998=0,0,INDEX('Планы менеджеров'!$B$5:$M$16,B3998,D3998)/INDEX(Мес_Раб,D3998))</f>
        <v/>
      </c>
    </row>
    <row r="3999">
      <c r="A3999" t="inlineStr">
        <is>
          <t>Егоров</t>
        </is>
      </c>
      <c r="B3999" t="n">
        <v>15</v>
      </c>
      <c r="C3999" s="18">
        <f>'Календарь'!A286</f>
        <v/>
      </c>
      <c r="D3999">
        <f>MONTH(C3999)</f>
        <v/>
      </c>
      <c r="E3999">
        <f>'Календарь'!D286</f>
        <v/>
      </c>
      <c r="F3999">
        <f>INT((C3999-Нед_Начало)/7)+1</f>
        <v/>
      </c>
      <c r="G3999">
        <f>IF(E3999=0,0,INDEX('Планы менеджеров'!$B$5:$M$16,B3999,D3999)/INDEX(Мес_Раб,D3999))</f>
        <v/>
      </c>
    </row>
    <row r="4000">
      <c r="A4000" t="inlineStr">
        <is>
          <t>Егоров</t>
        </is>
      </c>
      <c r="B4000" t="n">
        <v>15</v>
      </c>
      <c r="C4000" s="18">
        <f>'Календарь'!A287</f>
        <v/>
      </c>
      <c r="D4000">
        <f>MONTH(C4000)</f>
        <v/>
      </c>
      <c r="E4000">
        <f>'Календарь'!D287</f>
        <v/>
      </c>
      <c r="F4000">
        <f>INT((C4000-Нед_Начало)/7)+1</f>
        <v/>
      </c>
      <c r="G4000">
        <f>IF(E4000=0,0,INDEX('Планы менеджеров'!$B$5:$M$16,B4000,D4000)/INDEX(Мес_Раб,D4000))</f>
        <v/>
      </c>
    </row>
    <row r="4001">
      <c r="A4001" t="inlineStr">
        <is>
          <t>Егоров</t>
        </is>
      </c>
      <c r="B4001" t="n">
        <v>15</v>
      </c>
      <c r="C4001" s="18">
        <f>'Календарь'!A288</f>
        <v/>
      </c>
      <c r="D4001">
        <f>MONTH(C4001)</f>
        <v/>
      </c>
      <c r="E4001">
        <f>'Календарь'!D288</f>
        <v/>
      </c>
      <c r="F4001">
        <f>INT((C4001-Нед_Начало)/7)+1</f>
        <v/>
      </c>
      <c r="G4001">
        <f>IF(E4001=0,0,INDEX('Планы менеджеров'!$B$5:$M$16,B4001,D4001)/INDEX(Мес_Раб,D4001))</f>
        <v/>
      </c>
    </row>
    <row r="4002">
      <c r="A4002" t="inlineStr">
        <is>
          <t>Егоров</t>
        </is>
      </c>
      <c r="B4002" t="n">
        <v>15</v>
      </c>
      <c r="C4002" s="18">
        <f>'Календарь'!A289</f>
        <v/>
      </c>
      <c r="D4002">
        <f>MONTH(C4002)</f>
        <v/>
      </c>
      <c r="E4002">
        <f>'Календарь'!D289</f>
        <v/>
      </c>
      <c r="F4002">
        <f>INT((C4002-Нед_Начало)/7)+1</f>
        <v/>
      </c>
      <c r="G4002">
        <f>IF(E4002=0,0,INDEX('Планы менеджеров'!$B$5:$M$16,B4002,D4002)/INDEX(Мес_Раб,D4002))</f>
        <v/>
      </c>
    </row>
    <row r="4003">
      <c r="A4003" t="inlineStr">
        <is>
          <t>Егоров</t>
        </is>
      </c>
      <c r="B4003" t="n">
        <v>15</v>
      </c>
      <c r="C4003" s="18">
        <f>'Календарь'!A290</f>
        <v/>
      </c>
      <c r="D4003">
        <f>MONTH(C4003)</f>
        <v/>
      </c>
      <c r="E4003">
        <f>'Календарь'!D290</f>
        <v/>
      </c>
      <c r="F4003">
        <f>INT((C4003-Нед_Начало)/7)+1</f>
        <v/>
      </c>
      <c r="G4003">
        <f>IF(E4003=0,0,INDEX('Планы менеджеров'!$B$5:$M$16,B4003,D4003)/INDEX(Мес_Раб,D4003))</f>
        <v/>
      </c>
    </row>
    <row r="4004">
      <c r="A4004" t="inlineStr">
        <is>
          <t>Егоров</t>
        </is>
      </c>
      <c r="B4004" t="n">
        <v>15</v>
      </c>
      <c r="C4004" s="18">
        <f>'Календарь'!A291</f>
        <v/>
      </c>
      <c r="D4004">
        <f>MONTH(C4004)</f>
        <v/>
      </c>
      <c r="E4004">
        <f>'Календарь'!D291</f>
        <v/>
      </c>
      <c r="F4004">
        <f>INT((C4004-Нед_Начало)/7)+1</f>
        <v/>
      </c>
      <c r="G4004">
        <f>IF(E4004=0,0,INDEX('Планы менеджеров'!$B$5:$M$16,B4004,D4004)/INDEX(Мес_Раб,D4004))</f>
        <v/>
      </c>
    </row>
    <row r="4005">
      <c r="A4005" t="inlineStr">
        <is>
          <t>Егоров</t>
        </is>
      </c>
      <c r="B4005" t="n">
        <v>15</v>
      </c>
      <c r="C4005" s="18">
        <f>'Календарь'!A292</f>
        <v/>
      </c>
      <c r="D4005">
        <f>MONTH(C4005)</f>
        <v/>
      </c>
      <c r="E4005">
        <f>'Календарь'!D292</f>
        <v/>
      </c>
      <c r="F4005">
        <f>INT((C4005-Нед_Начало)/7)+1</f>
        <v/>
      </c>
      <c r="G4005">
        <f>IF(E4005=0,0,INDEX('Планы менеджеров'!$B$5:$M$16,B4005,D4005)/INDEX(Мес_Раб,D4005))</f>
        <v/>
      </c>
    </row>
    <row r="4006">
      <c r="A4006" t="inlineStr">
        <is>
          <t>Егоров</t>
        </is>
      </c>
      <c r="B4006" t="n">
        <v>15</v>
      </c>
      <c r="C4006" s="18">
        <f>'Календарь'!A293</f>
        <v/>
      </c>
      <c r="D4006">
        <f>MONTH(C4006)</f>
        <v/>
      </c>
      <c r="E4006">
        <f>'Календарь'!D293</f>
        <v/>
      </c>
      <c r="F4006">
        <f>INT((C4006-Нед_Начало)/7)+1</f>
        <v/>
      </c>
      <c r="G4006">
        <f>IF(E4006=0,0,INDEX('Планы менеджеров'!$B$5:$M$16,B4006,D4006)/INDEX(Мес_Раб,D4006))</f>
        <v/>
      </c>
    </row>
    <row r="4007">
      <c r="A4007" t="inlineStr">
        <is>
          <t>Егоров</t>
        </is>
      </c>
      <c r="B4007" t="n">
        <v>15</v>
      </c>
      <c r="C4007" s="18">
        <f>'Календарь'!A294</f>
        <v/>
      </c>
      <c r="D4007">
        <f>MONTH(C4007)</f>
        <v/>
      </c>
      <c r="E4007">
        <f>'Календарь'!D294</f>
        <v/>
      </c>
      <c r="F4007">
        <f>INT((C4007-Нед_Начало)/7)+1</f>
        <v/>
      </c>
      <c r="G4007">
        <f>IF(E4007=0,0,INDEX('Планы менеджеров'!$B$5:$M$16,B4007,D4007)/INDEX(Мес_Раб,D4007))</f>
        <v/>
      </c>
    </row>
    <row r="4008">
      <c r="A4008" t="inlineStr">
        <is>
          <t>Егоров</t>
        </is>
      </c>
      <c r="B4008" t="n">
        <v>15</v>
      </c>
      <c r="C4008" s="18">
        <f>'Календарь'!A295</f>
        <v/>
      </c>
      <c r="D4008">
        <f>MONTH(C4008)</f>
        <v/>
      </c>
      <c r="E4008">
        <f>'Календарь'!D295</f>
        <v/>
      </c>
      <c r="F4008">
        <f>INT((C4008-Нед_Начало)/7)+1</f>
        <v/>
      </c>
      <c r="G4008">
        <f>IF(E4008=0,0,INDEX('Планы менеджеров'!$B$5:$M$16,B4008,D4008)/INDEX(Мес_Раб,D4008))</f>
        <v/>
      </c>
    </row>
    <row r="4009">
      <c r="A4009" t="inlineStr">
        <is>
          <t>Егоров</t>
        </is>
      </c>
      <c r="B4009" t="n">
        <v>15</v>
      </c>
      <c r="C4009" s="18">
        <f>'Календарь'!A296</f>
        <v/>
      </c>
      <c r="D4009">
        <f>MONTH(C4009)</f>
        <v/>
      </c>
      <c r="E4009">
        <f>'Календарь'!D296</f>
        <v/>
      </c>
      <c r="F4009">
        <f>INT((C4009-Нед_Начало)/7)+1</f>
        <v/>
      </c>
      <c r="G4009">
        <f>IF(E4009=0,0,INDEX('Планы менеджеров'!$B$5:$M$16,B4009,D4009)/INDEX(Мес_Раб,D4009))</f>
        <v/>
      </c>
    </row>
    <row r="4010">
      <c r="A4010" t="inlineStr">
        <is>
          <t>Егоров</t>
        </is>
      </c>
      <c r="B4010" t="n">
        <v>15</v>
      </c>
      <c r="C4010" s="18">
        <f>'Календарь'!A297</f>
        <v/>
      </c>
      <c r="D4010">
        <f>MONTH(C4010)</f>
        <v/>
      </c>
      <c r="E4010">
        <f>'Календарь'!D297</f>
        <v/>
      </c>
      <c r="F4010">
        <f>INT((C4010-Нед_Начало)/7)+1</f>
        <v/>
      </c>
      <c r="G4010">
        <f>IF(E4010=0,0,INDEX('Планы менеджеров'!$B$5:$M$16,B4010,D4010)/INDEX(Мес_Раб,D4010))</f>
        <v/>
      </c>
    </row>
    <row r="4011">
      <c r="A4011" t="inlineStr">
        <is>
          <t>Егоров</t>
        </is>
      </c>
      <c r="B4011" t="n">
        <v>15</v>
      </c>
      <c r="C4011" s="18">
        <f>'Календарь'!A298</f>
        <v/>
      </c>
      <c r="D4011">
        <f>MONTH(C4011)</f>
        <v/>
      </c>
      <c r="E4011">
        <f>'Календарь'!D298</f>
        <v/>
      </c>
      <c r="F4011">
        <f>INT((C4011-Нед_Начало)/7)+1</f>
        <v/>
      </c>
      <c r="G4011">
        <f>IF(E4011=0,0,INDEX('Планы менеджеров'!$B$5:$M$16,B4011,D4011)/INDEX(Мес_Раб,D4011))</f>
        <v/>
      </c>
    </row>
    <row r="4012">
      <c r="A4012" t="inlineStr">
        <is>
          <t>Егоров</t>
        </is>
      </c>
      <c r="B4012" t="n">
        <v>15</v>
      </c>
      <c r="C4012" s="18">
        <f>'Календарь'!A299</f>
        <v/>
      </c>
      <c r="D4012">
        <f>MONTH(C4012)</f>
        <v/>
      </c>
      <c r="E4012">
        <f>'Календарь'!D299</f>
        <v/>
      </c>
      <c r="F4012">
        <f>INT((C4012-Нед_Начало)/7)+1</f>
        <v/>
      </c>
      <c r="G4012">
        <f>IF(E4012=0,0,INDEX('Планы менеджеров'!$B$5:$M$16,B4012,D4012)/INDEX(Мес_Раб,D4012))</f>
        <v/>
      </c>
    </row>
    <row r="4013">
      <c r="A4013" t="inlineStr">
        <is>
          <t>Егоров</t>
        </is>
      </c>
      <c r="B4013" t="n">
        <v>15</v>
      </c>
      <c r="C4013" s="18">
        <f>'Календарь'!A300</f>
        <v/>
      </c>
      <c r="D4013">
        <f>MONTH(C4013)</f>
        <v/>
      </c>
      <c r="E4013">
        <f>'Календарь'!D300</f>
        <v/>
      </c>
      <c r="F4013">
        <f>INT((C4013-Нед_Начало)/7)+1</f>
        <v/>
      </c>
      <c r="G4013">
        <f>IF(E4013=0,0,INDEX('Планы менеджеров'!$B$5:$M$16,B4013,D4013)/INDEX(Мес_Раб,D4013))</f>
        <v/>
      </c>
    </row>
    <row r="4014">
      <c r="A4014" t="inlineStr">
        <is>
          <t>Егоров</t>
        </is>
      </c>
      <c r="B4014" t="n">
        <v>15</v>
      </c>
      <c r="C4014" s="18">
        <f>'Календарь'!A301</f>
        <v/>
      </c>
      <c r="D4014">
        <f>MONTH(C4014)</f>
        <v/>
      </c>
      <c r="E4014">
        <f>'Календарь'!D301</f>
        <v/>
      </c>
      <c r="F4014">
        <f>INT((C4014-Нед_Начало)/7)+1</f>
        <v/>
      </c>
      <c r="G4014">
        <f>IF(E4014=0,0,INDEX('Планы менеджеров'!$B$5:$M$16,B4014,D4014)/INDEX(Мес_Раб,D4014))</f>
        <v/>
      </c>
    </row>
    <row r="4015">
      <c r="A4015" t="inlineStr">
        <is>
          <t>Егоров</t>
        </is>
      </c>
      <c r="B4015" t="n">
        <v>15</v>
      </c>
      <c r="C4015" s="18">
        <f>'Календарь'!A302</f>
        <v/>
      </c>
      <c r="D4015">
        <f>MONTH(C4015)</f>
        <v/>
      </c>
      <c r="E4015">
        <f>'Календарь'!D302</f>
        <v/>
      </c>
      <c r="F4015">
        <f>INT((C4015-Нед_Начало)/7)+1</f>
        <v/>
      </c>
      <c r="G4015">
        <f>IF(E4015=0,0,INDEX('Планы менеджеров'!$B$5:$M$16,B4015,D4015)/INDEX(Мес_Раб,D4015))</f>
        <v/>
      </c>
    </row>
    <row r="4016">
      <c r="A4016" t="inlineStr">
        <is>
          <t>Егоров</t>
        </is>
      </c>
      <c r="B4016" t="n">
        <v>15</v>
      </c>
      <c r="C4016" s="18">
        <f>'Календарь'!A303</f>
        <v/>
      </c>
      <c r="D4016">
        <f>MONTH(C4016)</f>
        <v/>
      </c>
      <c r="E4016">
        <f>'Календарь'!D303</f>
        <v/>
      </c>
      <c r="F4016">
        <f>INT((C4016-Нед_Начало)/7)+1</f>
        <v/>
      </c>
      <c r="G4016">
        <f>IF(E4016=0,0,INDEX('Планы менеджеров'!$B$5:$M$16,B4016,D4016)/INDEX(Мес_Раб,D4016))</f>
        <v/>
      </c>
    </row>
    <row r="4017">
      <c r="A4017" t="inlineStr">
        <is>
          <t>Егоров</t>
        </is>
      </c>
      <c r="B4017" t="n">
        <v>15</v>
      </c>
      <c r="C4017" s="18">
        <f>'Календарь'!A304</f>
        <v/>
      </c>
      <c r="D4017">
        <f>MONTH(C4017)</f>
        <v/>
      </c>
      <c r="E4017">
        <f>'Календарь'!D304</f>
        <v/>
      </c>
      <c r="F4017">
        <f>INT((C4017-Нед_Начало)/7)+1</f>
        <v/>
      </c>
      <c r="G4017">
        <f>IF(E4017=0,0,INDEX('Планы менеджеров'!$B$5:$M$16,B4017,D4017)/INDEX(Мес_Раб,D4017))</f>
        <v/>
      </c>
    </row>
    <row r="4018">
      <c r="A4018" t="inlineStr">
        <is>
          <t>Егоров</t>
        </is>
      </c>
      <c r="B4018" t="n">
        <v>15</v>
      </c>
      <c r="C4018" s="18">
        <f>'Календарь'!A305</f>
        <v/>
      </c>
      <c r="D4018">
        <f>MONTH(C4018)</f>
        <v/>
      </c>
      <c r="E4018">
        <f>'Календарь'!D305</f>
        <v/>
      </c>
      <c r="F4018">
        <f>INT((C4018-Нед_Начало)/7)+1</f>
        <v/>
      </c>
      <c r="G4018">
        <f>IF(E4018=0,0,INDEX('Планы менеджеров'!$B$5:$M$16,B4018,D4018)/INDEX(Мес_Раб,D4018))</f>
        <v/>
      </c>
    </row>
    <row r="4019">
      <c r="A4019" t="inlineStr">
        <is>
          <t>Егоров</t>
        </is>
      </c>
      <c r="B4019" t="n">
        <v>15</v>
      </c>
      <c r="C4019" s="18">
        <f>'Календарь'!A306</f>
        <v/>
      </c>
      <c r="D4019">
        <f>MONTH(C4019)</f>
        <v/>
      </c>
      <c r="E4019">
        <f>'Календарь'!D306</f>
        <v/>
      </c>
      <c r="F4019">
        <f>INT((C4019-Нед_Начало)/7)+1</f>
        <v/>
      </c>
      <c r="G4019">
        <f>IF(E4019=0,0,INDEX('Планы менеджеров'!$B$5:$M$16,B4019,D4019)/INDEX(Мес_Раб,D4019))</f>
        <v/>
      </c>
    </row>
    <row r="4020">
      <c r="A4020" t="inlineStr">
        <is>
          <t>Егоров</t>
        </is>
      </c>
      <c r="B4020" t="n">
        <v>15</v>
      </c>
      <c r="C4020" s="18">
        <f>'Календарь'!A307</f>
        <v/>
      </c>
      <c r="D4020">
        <f>MONTH(C4020)</f>
        <v/>
      </c>
      <c r="E4020">
        <f>'Календарь'!D307</f>
        <v/>
      </c>
      <c r="F4020">
        <f>INT((C4020-Нед_Начало)/7)+1</f>
        <v/>
      </c>
      <c r="G4020">
        <f>IF(E4020=0,0,INDEX('Планы менеджеров'!$B$5:$M$16,B4020,D4020)/INDEX(Мес_Раб,D4020))</f>
        <v/>
      </c>
    </row>
    <row r="4021">
      <c r="A4021" t="inlineStr">
        <is>
          <t>Егоров</t>
        </is>
      </c>
      <c r="B4021" t="n">
        <v>15</v>
      </c>
      <c r="C4021" s="18">
        <f>'Календарь'!A308</f>
        <v/>
      </c>
      <c r="D4021">
        <f>MONTH(C4021)</f>
        <v/>
      </c>
      <c r="E4021">
        <f>'Календарь'!D308</f>
        <v/>
      </c>
      <c r="F4021">
        <f>INT((C4021-Нед_Начало)/7)+1</f>
        <v/>
      </c>
      <c r="G4021">
        <f>IF(E4021=0,0,INDEX('Планы менеджеров'!$B$5:$M$16,B4021,D4021)/INDEX(Мес_Раб,D4021))</f>
        <v/>
      </c>
    </row>
    <row r="4022">
      <c r="A4022" t="inlineStr">
        <is>
          <t>Егоров</t>
        </is>
      </c>
      <c r="B4022" t="n">
        <v>15</v>
      </c>
      <c r="C4022" s="18">
        <f>'Календарь'!A309</f>
        <v/>
      </c>
      <c r="D4022">
        <f>MONTH(C4022)</f>
        <v/>
      </c>
      <c r="E4022">
        <f>'Календарь'!D309</f>
        <v/>
      </c>
      <c r="F4022">
        <f>INT((C4022-Нед_Начало)/7)+1</f>
        <v/>
      </c>
      <c r="G4022">
        <f>IF(E4022=0,0,INDEX('Планы менеджеров'!$B$5:$M$16,B4022,D4022)/INDEX(Мес_Раб,D4022))</f>
        <v/>
      </c>
    </row>
    <row r="4023">
      <c r="A4023" t="inlineStr">
        <is>
          <t>Егоров</t>
        </is>
      </c>
      <c r="B4023" t="n">
        <v>15</v>
      </c>
      <c r="C4023" s="18">
        <f>'Календарь'!A310</f>
        <v/>
      </c>
      <c r="D4023">
        <f>MONTH(C4023)</f>
        <v/>
      </c>
      <c r="E4023">
        <f>'Календарь'!D310</f>
        <v/>
      </c>
      <c r="F4023">
        <f>INT((C4023-Нед_Начало)/7)+1</f>
        <v/>
      </c>
      <c r="G4023">
        <f>IF(E4023=0,0,INDEX('Планы менеджеров'!$B$5:$M$16,B4023,D4023)/INDEX(Мес_Раб,D4023))</f>
        <v/>
      </c>
    </row>
    <row r="4024">
      <c r="A4024" t="inlineStr">
        <is>
          <t>Егоров</t>
        </is>
      </c>
      <c r="B4024" t="n">
        <v>15</v>
      </c>
      <c r="C4024" s="18">
        <f>'Календарь'!A311</f>
        <v/>
      </c>
      <c r="D4024">
        <f>MONTH(C4024)</f>
        <v/>
      </c>
      <c r="E4024">
        <f>'Календарь'!D311</f>
        <v/>
      </c>
      <c r="F4024">
        <f>INT((C4024-Нед_Начало)/7)+1</f>
        <v/>
      </c>
      <c r="G4024">
        <f>IF(E4024=0,0,INDEX('Планы менеджеров'!$B$5:$M$16,B4024,D4024)/INDEX(Мес_Раб,D4024))</f>
        <v/>
      </c>
    </row>
    <row r="4025">
      <c r="A4025" t="inlineStr">
        <is>
          <t>Егоров</t>
        </is>
      </c>
      <c r="B4025" t="n">
        <v>15</v>
      </c>
      <c r="C4025" s="18">
        <f>'Календарь'!A312</f>
        <v/>
      </c>
      <c r="D4025">
        <f>MONTH(C4025)</f>
        <v/>
      </c>
      <c r="E4025">
        <f>'Календарь'!D312</f>
        <v/>
      </c>
      <c r="F4025">
        <f>INT((C4025-Нед_Начало)/7)+1</f>
        <v/>
      </c>
      <c r="G4025">
        <f>IF(E4025=0,0,INDEX('Планы менеджеров'!$B$5:$M$16,B4025,D4025)/INDEX(Мес_Раб,D4025))</f>
        <v/>
      </c>
    </row>
    <row r="4026">
      <c r="A4026" t="inlineStr">
        <is>
          <t>Егоров</t>
        </is>
      </c>
      <c r="B4026" t="n">
        <v>15</v>
      </c>
      <c r="C4026" s="18">
        <f>'Календарь'!A313</f>
        <v/>
      </c>
      <c r="D4026">
        <f>MONTH(C4026)</f>
        <v/>
      </c>
      <c r="E4026">
        <f>'Календарь'!D313</f>
        <v/>
      </c>
      <c r="F4026">
        <f>INT((C4026-Нед_Начало)/7)+1</f>
        <v/>
      </c>
      <c r="G4026">
        <f>IF(E4026=0,0,INDEX('Планы менеджеров'!$B$5:$M$16,B4026,D4026)/INDEX(Мес_Раб,D4026))</f>
        <v/>
      </c>
    </row>
    <row r="4027">
      <c r="A4027" t="inlineStr">
        <is>
          <t>Егоров</t>
        </is>
      </c>
      <c r="B4027" t="n">
        <v>15</v>
      </c>
      <c r="C4027" s="18">
        <f>'Календарь'!A314</f>
        <v/>
      </c>
      <c r="D4027">
        <f>MONTH(C4027)</f>
        <v/>
      </c>
      <c r="E4027">
        <f>'Календарь'!D314</f>
        <v/>
      </c>
      <c r="F4027">
        <f>INT((C4027-Нед_Начало)/7)+1</f>
        <v/>
      </c>
      <c r="G4027">
        <f>IF(E4027=0,0,INDEX('Планы менеджеров'!$B$5:$M$16,B4027,D4027)/INDEX(Мес_Раб,D4027))</f>
        <v/>
      </c>
    </row>
    <row r="4028">
      <c r="A4028" t="inlineStr">
        <is>
          <t>Егоров</t>
        </is>
      </c>
      <c r="B4028" t="n">
        <v>15</v>
      </c>
      <c r="C4028" s="18">
        <f>'Календарь'!A315</f>
        <v/>
      </c>
      <c r="D4028">
        <f>MONTH(C4028)</f>
        <v/>
      </c>
      <c r="E4028">
        <f>'Календарь'!D315</f>
        <v/>
      </c>
      <c r="F4028">
        <f>INT((C4028-Нед_Начало)/7)+1</f>
        <v/>
      </c>
      <c r="G4028">
        <f>IF(E4028=0,0,INDEX('Планы менеджеров'!$B$5:$M$16,B4028,D4028)/INDEX(Мес_Раб,D4028))</f>
        <v/>
      </c>
    </row>
    <row r="4029">
      <c r="A4029" t="inlineStr">
        <is>
          <t>Егоров</t>
        </is>
      </c>
      <c r="B4029" t="n">
        <v>15</v>
      </c>
      <c r="C4029" s="18">
        <f>'Календарь'!A316</f>
        <v/>
      </c>
      <c r="D4029">
        <f>MONTH(C4029)</f>
        <v/>
      </c>
      <c r="E4029">
        <f>'Календарь'!D316</f>
        <v/>
      </c>
      <c r="F4029">
        <f>INT((C4029-Нед_Начало)/7)+1</f>
        <v/>
      </c>
      <c r="G4029">
        <f>IF(E4029=0,0,INDEX('Планы менеджеров'!$B$5:$M$16,B4029,D4029)/INDEX(Мес_Раб,D4029))</f>
        <v/>
      </c>
    </row>
    <row r="4030">
      <c r="A4030" t="inlineStr">
        <is>
          <t>Егоров</t>
        </is>
      </c>
      <c r="B4030" t="n">
        <v>15</v>
      </c>
      <c r="C4030" s="18">
        <f>'Календарь'!A317</f>
        <v/>
      </c>
      <c r="D4030">
        <f>MONTH(C4030)</f>
        <v/>
      </c>
      <c r="E4030">
        <f>'Календарь'!D317</f>
        <v/>
      </c>
      <c r="F4030">
        <f>INT((C4030-Нед_Начало)/7)+1</f>
        <v/>
      </c>
      <c r="G4030">
        <f>IF(E4030=0,0,INDEX('Планы менеджеров'!$B$5:$M$16,B4030,D4030)/INDEX(Мес_Раб,D4030))</f>
        <v/>
      </c>
    </row>
    <row r="4031">
      <c r="A4031" t="inlineStr">
        <is>
          <t>Егоров</t>
        </is>
      </c>
      <c r="B4031" t="n">
        <v>15</v>
      </c>
      <c r="C4031" s="18">
        <f>'Календарь'!A318</f>
        <v/>
      </c>
      <c r="D4031">
        <f>MONTH(C4031)</f>
        <v/>
      </c>
      <c r="E4031">
        <f>'Календарь'!D318</f>
        <v/>
      </c>
      <c r="F4031">
        <f>INT((C4031-Нед_Начало)/7)+1</f>
        <v/>
      </c>
      <c r="G4031">
        <f>IF(E4031=0,0,INDEX('Планы менеджеров'!$B$5:$M$16,B4031,D4031)/INDEX(Мес_Раб,D4031))</f>
        <v/>
      </c>
    </row>
    <row r="4032">
      <c r="A4032" t="inlineStr">
        <is>
          <t>Егоров</t>
        </is>
      </c>
      <c r="B4032" t="n">
        <v>15</v>
      </c>
      <c r="C4032" s="18">
        <f>'Календарь'!A319</f>
        <v/>
      </c>
      <c r="D4032">
        <f>MONTH(C4032)</f>
        <v/>
      </c>
      <c r="E4032">
        <f>'Календарь'!D319</f>
        <v/>
      </c>
      <c r="F4032">
        <f>INT((C4032-Нед_Начало)/7)+1</f>
        <v/>
      </c>
      <c r="G4032">
        <f>IF(E4032=0,0,INDEX('Планы менеджеров'!$B$5:$M$16,B4032,D4032)/INDEX(Мес_Раб,D4032))</f>
        <v/>
      </c>
    </row>
    <row r="4033">
      <c r="A4033" t="inlineStr">
        <is>
          <t>Егоров</t>
        </is>
      </c>
      <c r="B4033" t="n">
        <v>15</v>
      </c>
      <c r="C4033" s="18">
        <f>'Календарь'!A320</f>
        <v/>
      </c>
      <c r="D4033">
        <f>MONTH(C4033)</f>
        <v/>
      </c>
      <c r="E4033">
        <f>'Календарь'!D320</f>
        <v/>
      </c>
      <c r="F4033">
        <f>INT((C4033-Нед_Начало)/7)+1</f>
        <v/>
      </c>
      <c r="G4033">
        <f>IF(E4033=0,0,INDEX('Планы менеджеров'!$B$5:$M$16,B4033,D4033)/INDEX(Мес_Раб,D4033))</f>
        <v/>
      </c>
    </row>
    <row r="4034">
      <c r="A4034" t="inlineStr">
        <is>
          <t>Егоров</t>
        </is>
      </c>
      <c r="B4034" t="n">
        <v>15</v>
      </c>
      <c r="C4034" s="18">
        <f>'Календарь'!A321</f>
        <v/>
      </c>
      <c r="D4034">
        <f>MONTH(C4034)</f>
        <v/>
      </c>
      <c r="E4034">
        <f>'Календарь'!D321</f>
        <v/>
      </c>
      <c r="F4034">
        <f>INT((C4034-Нед_Начало)/7)+1</f>
        <v/>
      </c>
      <c r="G4034">
        <f>IF(E4034=0,0,INDEX('Планы менеджеров'!$B$5:$M$16,B4034,D4034)/INDEX(Мес_Раб,D4034))</f>
        <v/>
      </c>
    </row>
    <row r="4035">
      <c r="A4035" t="inlineStr">
        <is>
          <t>Егоров</t>
        </is>
      </c>
      <c r="B4035" t="n">
        <v>15</v>
      </c>
      <c r="C4035" s="18">
        <f>'Календарь'!A322</f>
        <v/>
      </c>
      <c r="D4035">
        <f>MONTH(C4035)</f>
        <v/>
      </c>
      <c r="E4035">
        <f>'Календарь'!D322</f>
        <v/>
      </c>
      <c r="F4035">
        <f>INT((C4035-Нед_Начало)/7)+1</f>
        <v/>
      </c>
      <c r="G4035">
        <f>IF(E4035=0,0,INDEX('Планы менеджеров'!$B$5:$M$16,B4035,D4035)/INDEX(Мес_Раб,D4035))</f>
        <v/>
      </c>
    </row>
    <row r="4036">
      <c r="A4036" t="inlineStr">
        <is>
          <t>Егоров</t>
        </is>
      </c>
      <c r="B4036" t="n">
        <v>15</v>
      </c>
      <c r="C4036" s="18">
        <f>'Календарь'!A323</f>
        <v/>
      </c>
      <c r="D4036">
        <f>MONTH(C4036)</f>
        <v/>
      </c>
      <c r="E4036">
        <f>'Календарь'!D323</f>
        <v/>
      </c>
      <c r="F4036">
        <f>INT((C4036-Нед_Начало)/7)+1</f>
        <v/>
      </c>
      <c r="G4036">
        <f>IF(E4036=0,0,INDEX('Планы менеджеров'!$B$5:$M$16,B4036,D4036)/INDEX(Мес_Раб,D4036))</f>
        <v/>
      </c>
    </row>
    <row r="4037">
      <c r="A4037" t="inlineStr">
        <is>
          <t>Егоров</t>
        </is>
      </c>
      <c r="B4037" t="n">
        <v>15</v>
      </c>
      <c r="C4037" s="18">
        <f>'Календарь'!A324</f>
        <v/>
      </c>
      <c r="D4037">
        <f>MONTH(C4037)</f>
        <v/>
      </c>
      <c r="E4037">
        <f>'Календарь'!D324</f>
        <v/>
      </c>
      <c r="F4037">
        <f>INT((C4037-Нед_Начало)/7)+1</f>
        <v/>
      </c>
      <c r="G4037">
        <f>IF(E4037=0,0,INDEX('Планы менеджеров'!$B$5:$M$16,B4037,D4037)/INDEX(Мес_Раб,D4037))</f>
        <v/>
      </c>
    </row>
    <row r="4038">
      <c r="A4038" t="inlineStr">
        <is>
          <t>Егоров</t>
        </is>
      </c>
      <c r="B4038" t="n">
        <v>15</v>
      </c>
      <c r="C4038" s="18">
        <f>'Календарь'!A325</f>
        <v/>
      </c>
      <c r="D4038">
        <f>MONTH(C4038)</f>
        <v/>
      </c>
      <c r="E4038">
        <f>'Календарь'!D325</f>
        <v/>
      </c>
      <c r="F4038">
        <f>INT((C4038-Нед_Начало)/7)+1</f>
        <v/>
      </c>
      <c r="G4038">
        <f>IF(E4038=0,0,INDEX('Планы менеджеров'!$B$5:$M$16,B4038,D4038)/INDEX(Мес_Раб,D4038))</f>
        <v/>
      </c>
    </row>
    <row r="4039">
      <c r="A4039" t="inlineStr">
        <is>
          <t>Егоров</t>
        </is>
      </c>
      <c r="B4039" t="n">
        <v>15</v>
      </c>
      <c r="C4039" s="18">
        <f>'Календарь'!A326</f>
        <v/>
      </c>
      <c r="D4039">
        <f>MONTH(C4039)</f>
        <v/>
      </c>
      <c r="E4039">
        <f>'Календарь'!D326</f>
        <v/>
      </c>
      <c r="F4039">
        <f>INT((C4039-Нед_Начало)/7)+1</f>
        <v/>
      </c>
      <c r="G4039">
        <f>IF(E4039=0,0,INDEX('Планы менеджеров'!$B$5:$M$16,B4039,D4039)/INDEX(Мес_Раб,D4039))</f>
        <v/>
      </c>
    </row>
    <row r="4040">
      <c r="A4040" t="inlineStr">
        <is>
          <t>Егоров</t>
        </is>
      </c>
      <c r="B4040" t="n">
        <v>15</v>
      </c>
      <c r="C4040" s="18">
        <f>'Календарь'!A327</f>
        <v/>
      </c>
      <c r="D4040">
        <f>MONTH(C4040)</f>
        <v/>
      </c>
      <c r="E4040">
        <f>'Календарь'!D327</f>
        <v/>
      </c>
      <c r="F4040">
        <f>INT((C4040-Нед_Начало)/7)+1</f>
        <v/>
      </c>
      <c r="G4040">
        <f>IF(E4040=0,0,INDEX('Планы менеджеров'!$B$5:$M$16,B4040,D4040)/INDEX(Мес_Раб,D4040))</f>
        <v/>
      </c>
    </row>
    <row r="4041">
      <c r="A4041" t="inlineStr">
        <is>
          <t>Егоров</t>
        </is>
      </c>
      <c r="B4041" t="n">
        <v>15</v>
      </c>
      <c r="C4041" s="18">
        <f>'Календарь'!A328</f>
        <v/>
      </c>
      <c r="D4041">
        <f>MONTH(C4041)</f>
        <v/>
      </c>
      <c r="E4041">
        <f>'Календарь'!D328</f>
        <v/>
      </c>
      <c r="F4041">
        <f>INT((C4041-Нед_Начало)/7)+1</f>
        <v/>
      </c>
      <c r="G4041">
        <f>IF(E4041=0,0,INDEX('Планы менеджеров'!$B$5:$M$16,B4041,D4041)/INDEX(Мес_Раб,D4041))</f>
        <v/>
      </c>
    </row>
    <row r="4042">
      <c r="A4042" t="inlineStr">
        <is>
          <t>Егоров</t>
        </is>
      </c>
      <c r="B4042" t="n">
        <v>15</v>
      </c>
      <c r="C4042" s="18">
        <f>'Календарь'!A329</f>
        <v/>
      </c>
      <c r="D4042">
        <f>MONTH(C4042)</f>
        <v/>
      </c>
      <c r="E4042">
        <f>'Календарь'!D329</f>
        <v/>
      </c>
      <c r="F4042">
        <f>INT((C4042-Нед_Начало)/7)+1</f>
        <v/>
      </c>
      <c r="G4042">
        <f>IF(E4042=0,0,INDEX('Планы менеджеров'!$B$5:$M$16,B4042,D4042)/INDEX(Мес_Раб,D4042))</f>
        <v/>
      </c>
    </row>
    <row r="4043">
      <c r="A4043" t="inlineStr">
        <is>
          <t>Егоров</t>
        </is>
      </c>
      <c r="B4043" t="n">
        <v>15</v>
      </c>
      <c r="C4043" s="18">
        <f>'Календарь'!A330</f>
        <v/>
      </c>
      <c r="D4043">
        <f>MONTH(C4043)</f>
        <v/>
      </c>
      <c r="E4043">
        <f>'Календарь'!D330</f>
        <v/>
      </c>
      <c r="F4043">
        <f>INT((C4043-Нед_Начало)/7)+1</f>
        <v/>
      </c>
      <c r="G4043">
        <f>IF(E4043=0,0,INDEX('Планы менеджеров'!$B$5:$M$16,B4043,D4043)/INDEX(Мес_Раб,D4043))</f>
        <v/>
      </c>
    </row>
    <row r="4044">
      <c r="A4044" t="inlineStr">
        <is>
          <t>Егоров</t>
        </is>
      </c>
      <c r="B4044" t="n">
        <v>15</v>
      </c>
      <c r="C4044" s="18">
        <f>'Календарь'!A331</f>
        <v/>
      </c>
      <c r="D4044">
        <f>MONTH(C4044)</f>
        <v/>
      </c>
      <c r="E4044">
        <f>'Календарь'!D331</f>
        <v/>
      </c>
      <c r="F4044">
        <f>INT((C4044-Нед_Начало)/7)+1</f>
        <v/>
      </c>
      <c r="G4044">
        <f>IF(E4044=0,0,INDEX('Планы менеджеров'!$B$5:$M$16,B4044,D4044)/INDEX(Мес_Раб,D4044))</f>
        <v/>
      </c>
    </row>
    <row r="4045">
      <c r="A4045" t="inlineStr">
        <is>
          <t>Егоров</t>
        </is>
      </c>
      <c r="B4045" t="n">
        <v>15</v>
      </c>
      <c r="C4045" s="18">
        <f>'Календарь'!A332</f>
        <v/>
      </c>
      <c r="D4045">
        <f>MONTH(C4045)</f>
        <v/>
      </c>
      <c r="E4045">
        <f>'Календарь'!D332</f>
        <v/>
      </c>
      <c r="F4045">
        <f>INT((C4045-Нед_Начало)/7)+1</f>
        <v/>
      </c>
      <c r="G4045">
        <f>IF(E4045=0,0,INDEX('Планы менеджеров'!$B$5:$M$16,B4045,D4045)/INDEX(Мес_Раб,D4045))</f>
        <v/>
      </c>
    </row>
    <row r="4046">
      <c r="A4046" t="inlineStr">
        <is>
          <t>Егоров</t>
        </is>
      </c>
      <c r="B4046" t="n">
        <v>15</v>
      </c>
      <c r="C4046" s="18">
        <f>'Календарь'!A333</f>
        <v/>
      </c>
      <c r="D4046">
        <f>MONTH(C4046)</f>
        <v/>
      </c>
      <c r="E4046">
        <f>'Календарь'!D333</f>
        <v/>
      </c>
      <c r="F4046">
        <f>INT((C4046-Нед_Начало)/7)+1</f>
        <v/>
      </c>
      <c r="G4046">
        <f>IF(E4046=0,0,INDEX('Планы менеджеров'!$B$5:$M$16,B4046,D4046)/INDEX(Мес_Раб,D4046))</f>
        <v/>
      </c>
    </row>
    <row r="4047">
      <c r="A4047" t="inlineStr">
        <is>
          <t>Егоров</t>
        </is>
      </c>
      <c r="B4047" t="n">
        <v>15</v>
      </c>
      <c r="C4047" s="18">
        <f>'Календарь'!A334</f>
        <v/>
      </c>
      <c r="D4047">
        <f>MONTH(C4047)</f>
        <v/>
      </c>
      <c r="E4047">
        <f>'Календарь'!D334</f>
        <v/>
      </c>
      <c r="F4047">
        <f>INT((C4047-Нед_Начало)/7)+1</f>
        <v/>
      </c>
      <c r="G4047">
        <f>IF(E4047=0,0,INDEX('Планы менеджеров'!$B$5:$M$16,B4047,D4047)/INDEX(Мес_Раб,D4047))</f>
        <v/>
      </c>
    </row>
    <row r="4048">
      <c r="A4048" t="inlineStr">
        <is>
          <t>Егоров</t>
        </is>
      </c>
      <c r="B4048" t="n">
        <v>15</v>
      </c>
      <c r="C4048" s="18">
        <f>'Календарь'!A335</f>
        <v/>
      </c>
      <c r="D4048">
        <f>MONTH(C4048)</f>
        <v/>
      </c>
      <c r="E4048">
        <f>'Календарь'!D335</f>
        <v/>
      </c>
      <c r="F4048">
        <f>INT((C4048-Нед_Начало)/7)+1</f>
        <v/>
      </c>
      <c r="G4048">
        <f>IF(E4048=0,0,INDEX('Планы менеджеров'!$B$5:$M$16,B4048,D4048)/INDEX(Мес_Раб,D4048))</f>
        <v/>
      </c>
    </row>
    <row r="4049">
      <c r="A4049" t="inlineStr">
        <is>
          <t>Егоров</t>
        </is>
      </c>
      <c r="B4049" t="n">
        <v>15</v>
      </c>
      <c r="C4049" s="18">
        <f>'Календарь'!A336</f>
        <v/>
      </c>
      <c r="D4049">
        <f>MONTH(C4049)</f>
        <v/>
      </c>
      <c r="E4049">
        <f>'Календарь'!D336</f>
        <v/>
      </c>
      <c r="F4049">
        <f>INT((C4049-Нед_Начало)/7)+1</f>
        <v/>
      </c>
      <c r="G4049">
        <f>IF(E4049=0,0,INDEX('Планы менеджеров'!$B$5:$M$16,B4049,D4049)/INDEX(Мес_Раб,D4049))</f>
        <v/>
      </c>
    </row>
    <row r="4050">
      <c r="A4050" t="inlineStr">
        <is>
          <t>Егоров</t>
        </is>
      </c>
      <c r="B4050" t="n">
        <v>15</v>
      </c>
      <c r="C4050" s="18">
        <f>'Календарь'!A337</f>
        <v/>
      </c>
      <c r="D4050">
        <f>MONTH(C4050)</f>
        <v/>
      </c>
      <c r="E4050">
        <f>'Календарь'!D337</f>
        <v/>
      </c>
      <c r="F4050">
        <f>INT((C4050-Нед_Начало)/7)+1</f>
        <v/>
      </c>
      <c r="G4050">
        <f>IF(E4050=0,0,INDEX('Планы менеджеров'!$B$5:$M$16,B4050,D4050)/INDEX(Мес_Раб,D4050))</f>
        <v/>
      </c>
    </row>
    <row r="4051">
      <c r="A4051" t="inlineStr">
        <is>
          <t>Егоров</t>
        </is>
      </c>
      <c r="B4051" t="n">
        <v>15</v>
      </c>
      <c r="C4051" s="18">
        <f>'Календарь'!A338</f>
        <v/>
      </c>
      <c r="D4051">
        <f>MONTH(C4051)</f>
        <v/>
      </c>
      <c r="E4051">
        <f>'Календарь'!D338</f>
        <v/>
      </c>
      <c r="F4051">
        <f>INT((C4051-Нед_Начало)/7)+1</f>
        <v/>
      </c>
      <c r="G4051">
        <f>IF(E4051=0,0,INDEX('Планы менеджеров'!$B$5:$M$16,B4051,D4051)/INDEX(Мес_Раб,D4051))</f>
        <v/>
      </c>
    </row>
    <row r="4052">
      <c r="A4052" t="inlineStr">
        <is>
          <t>Егоров</t>
        </is>
      </c>
      <c r="B4052" t="n">
        <v>15</v>
      </c>
      <c r="C4052" s="18">
        <f>'Календарь'!A339</f>
        <v/>
      </c>
      <c r="D4052">
        <f>MONTH(C4052)</f>
        <v/>
      </c>
      <c r="E4052">
        <f>'Календарь'!D339</f>
        <v/>
      </c>
      <c r="F4052">
        <f>INT((C4052-Нед_Начало)/7)+1</f>
        <v/>
      </c>
      <c r="G4052">
        <f>IF(E4052=0,0,INDEX('Планы менеджеров'!$B$5:$M$16,B4052,D4052)/INDEX(Мес_Раб,D4052))</f>
        <v/>
      </c>
    </row>
    <row r="4053">
      <c r="A4053" t="inlineStr">
        <is>
          <t>Егоров</t>
        </is>
      </c>
      <c r="B4053" t="n">
        <v>15</v>
      </c>
      <c r="C4053" s="18">
        <f>'Календарь'!A340</f>
        <v/>
      </c>
      <c r="D4053">
        <f>MONTH(C4053)</f>
        <v/>
      </c>
      <c r="E4053">
        <f>'Календарь'!D340</f>
        <v/>
      </c>
      <c r="F4053">
        <f>INT((C4053-Нед_Начало)/7)+1</f>
        <v/>
      </c>
      <c r="G4053">
        <f>IF(E4053=0,0,INDEX('Планы менеджеров'!$B$5:$M$16,B4053,D4053)/INDEX(Мес_Раб,D4053))</f>
        <v/>
      </c>
    </row>
    <row r="4054">
      <c r="A4054" t="inlineStr">
        <is>
          <t>Егоров</t>
        </is>
      </c>
      <c r="B4054" t="n">
        <v>15</v>
      </c>
      <c r="C4054" s="18">
        <f>'Календарь'!A341</f>
        <v/>
      </c>
      <c r="D4054">
        <f>MONTH(C4054)</f>
        <v/>
      </c>
      <c r="E4054">
        <f>'Календарь'!D341</f>
        <v/>
      </c>
      <c r="F4054">
        <f>INT((C4054-Нед_Начало)/7)+1</f>
        <v/>
      </c>
      <c r="G4054">
        <f>IF(E4054=0,0,INDEX('Планы менеджеров'!$B$5:$M$16,B4054,D4054)/INDEX(Мес_Раб,D4054))</f>
        <v/>
      </c>
    </row>
    <row r="4055">
      <c r="A4055" t="inlineStr">
        <is>
          <t>Егоров</t>
        </is>
      </c>
      <c r="B4055" t="n">
        <v>15</v>
      </c>
      <c r="C4055" s="18">
        <f>'Календарь'!A342</f>
        <v/>
      </c>
      <c r="D4055">
        <f>MONTH(C4055)</f>
        <v/>
      </c>
      <c r="E4055">
        <f>'Календарь'!D342</f>
        <v/>
      </c>
      <c r="F4055">
        <f>INT((C4055-Нед_Начало)/7)+1</f>
        <v/>
      </c>
      <c r="G4055">
        <f>IF(E4055=0,0,INDEX('Планы менеджеров'!$B$5:$M$16,B4055,D4055)/INDEX(Мес_Раб,D4055))</f>
        <v/>
      </c>
    </row>
    <row r="4056">
      <c r="A4056" t="inlineStr">
        <is>
          <t>Егоров</t>
        </is>
      </c>
      <c r="B4056" t="n">
        <v>15</v>
      </c>
      <c r="C4056" s="18">
        <f>'Календарь'!A343</f>
        <v/>
      </c>
      <c r="D4056">
        <f>MONTH(C4056)</f>
        <v/>
      </c>
      <c r="E4056">
        <f>'Календарь'!D343</f>
        <v/>
      </c>
      <c r="F4056">
        <f>INT((C4056-Нед_Начало)/7)+1</f>
        <v/>
      </c>
      <c r="G4056">
        <f>IF(E4056=0,0,INDEX('Планы менеджеров'!$B$5:$M$16,B4056,D4056)/INDEX(Мес_Раб,D4056))</f>
        <v/>
      </c>
    </row>
    <row r="4057">
      <c r="A4057" t="inlineStr">
        <is>
          <t>Егоров</t>
        </is>
      </c>
      <c r="B4057" t="n">
        <v>15</v>
      </c>
      <c r="C4057" s="18">
        <f>'Календарь'!A344</f>
        <v/>
      </c>
      <c r="D4057">
        <f>MONTH(C4057)</f>
        <v/>
      </c>
      <c r="E4057">
        <f>'Календарь'!D344</f>
        <v/>
      </c>
      <c r="F4057">
        <f>INT((C4057-Нед_Начало)/7)+1</f>
        <v/>
      </c>
      <c r="G4057">
        <f>IF(E4057=0,0,INDEX('Планы менеджеров'!$B$5:$M$16,B4057,D4057)/INDEX(Мес_Раб,D4057))</f>
        <v/>
      </c>
    </row>
    <row r="4058">
      <c r="A4058" t="inlineStr">
        <is>
          <t>Егоров</t>
        </is>
      </c>
      <c r="B4058" t="n">
        <v>15</v>
      </c>
      <c r="C4058" s="18">
        <f>'Календарь'!A345</f>
        <v/>
      </c>
      <c r="D4058">
        <f>MONTH(C4058)</f>
        <v/>
      </c>
      <c r="E4058">
        <f>'Календарь'!D345</f>
        <v/>
      </c>
      <c r="F4058">
        <f>INT((C4058-Нед_Начало)/7)+1</f>
        <v/>
      </c>
      <c r="G4058">
        <f>IF(E4058=0,0,INDEX('Планы менеджеров'!$B$5:$M$16,B4058,D4058)/INDEX(Мес_Раб,D4058))</f>
        <v/>
      </c>
    </row>
    <row r="4059">
      <c r="A4059" t="inlineStr">
        <is>
          <t>Егоров</t>
        </is>
      </c>
      <c r="B4059" t="n">
        <v>15</v>
      </c>
      <c r="C4059" s="18">
        <f>'Календарь'!A346</f>
        <v/>
      </c>
      <c r="D4059">
        <f>MONTH(C4059)</f>
        <v/>
      </c>
      <c r="E4059">
        <f>'Календарь'!D346</f>
        <v/>
      </c>
      <c r="F4059">
        <f>INT((C4059-Нед_Начало)/7)+1</f>
        <v/>
      </c>
      <c r="G4059">
        <f>IF(E4059=0,0,INDEX('Планы менеджеров'!$B$5:$M$16,B4059,D4059)/INDEX(Мес_Раб,D4059))</f>
        <v/>
      </c>
    </row>
    <row r="4060">
      <c r="A4060" t="inlineStr">
        <is>
          <t>Егоров</t>
        </is>
      </c>
      <c r="B4060" t="n">
        <v>15</v>
      </c>
      <c r="C4060" s="18">
        <f>'Календарь'!A347</f>
        <v/>
      </c>
      <c r="D4060">
        <f>MONTH(C4060)</f>
        <v/>
      </c>
      <c r="E4060">
        <f>'Календарь'!D347</f>
        <v/>
      </c>
      <c r="F4060">
        <f>INT((C4060-Нед_Начало)/7)+1</f>
        <v/>
      </c>
      <c r="G4060">
        <f>IF(E4060=0,0,INDEX('Планы менеджеров'!$B$5:$M$16,B4060,D4060)/INDEX(Мес_Раб,D4060))</f>
        <v/>
      </c>
    </row>
    <row r="4061">
      <c r="A4061" t="inlineStr">
        <is>
          <t>Егоров</t>
        </is>
      </c>
      <c r="B4061" t="n">
        <v>15</v>
      </c>
      <c r="C4061" s="18">
        <f>'Календарь'!A348</f>
        <v/>
      </c>
      <c r="D4061">
        <f>MONTH(C4061)</f>
        <v/>
      </c>
      <c r="E4061">
        <f>'Календарь'!D348</f>
        <v/>
      </c>
      <c r="F4061">
        <f>INT((C4061-Нед_Начало)/7)+1</f>
        <v/>
      </c>
      <c r="G4061">
        <f>IF(E4061=0,0,INDEX('Планы менеджеров'!$B$5:$M$16,B4061,D4061)/INDEX(Мес_Раб,D4061))</f>
        <v/>
      </c>
    </row>
    <row r="4062">
      <c r="A4062" t="inlineStr">
        <is>
          <t>Егоров</t>
        </is>
      </c>
      <c r="B4062" t="n">
        <v>15</v>
      </c>
      <c r="C4062" s="18">
        <f>'Календарь'!A349</f>
        <v/>
      </c>
      <c r="D4062">
        <f>MONTH(C4062)</f>
        <v/>
      </c>
      <c r="E4062">
        <f>'Календарь'!D349</f>
        <v/>
      </c>
      <c r="F4062">
        <f>INT((C4062-Нед_Начало)/7)+1</f>
        <v/>
      </c>
      <c r="G4062">
        <f>IF(E4062=0,0,INDEX('Планы менеджеров'!$B$5:$M$16,B4062,D4062)/INDEX(Мес_Раб,D4062))</f>
        <v/>
      </c>
    </row>
    <row r="4063">
      <c r="A4063" t="inlineStr">
        <is>
          <t>Егоров</t>
        </is>
      </c>
      <c r="B4063" t="n">
        <v>15</v>
      </c>
      <c r="C4063" s="18">
        <f>'Календарь'!A350</f>
        <v/>
      </c>
      <c r="D4063">
        <f>MONTH(C4063)</f>
        <v/>
      </c>
      <c r="E4063">
        <f>'Календарь'!D350</f>
        <v/>
      </c>
      <c r="F4063">
        <f>INT((C4063-Нед_Начало)/7)+1</f>
        <v/>
      </c>
      <c r="G4063">
        <f>IF(E4063=0,0,INDEX('Планы менеджеров'!$B$5:$M$16,B4063,D4063)/INDEX(Мес_Раб,D4063))</f>
        <v/>
      </c>
    </row>
    <row r="4064">
      <c r="A4064" t="inlineStr">
        <is>
          <t>Егоров</t>
        </is>
      </c>
      <c r="B4064" t="n">
        <v>15</v>
      </c>
      <c r="C4064" s="18">
        <f>'Календарь'!A351</f>
        <v/>
      </c>
      <c r="D4064">
        <f>MONTH(C4064)</f>
        <v/>
      </c>
      <c r="E4064">
        <f>'Календарь'!D351</f>
        <v/>
      </c>
      <c r="F4064">
        <f>INT((C4064-Нед_Начало)/7)+1</f>
        <v/>
      </c>
      <c r="G4064">
        <f>IF(E4064=0,0,INDEX('Планы менеджеров'!$B$5:$M$16,B4064,D4064)/INDEX(Мес_Раб,D4064))</f>
        <v/>
      </c>
    </row>
    <row r="4065">
      <c r="A4065" t="inlineStr">
        <is>
          <t>Егоров</t>
        </is>
      </c>
      <c r="B4065" t="n">
        <v>15</v>
      </c>
      <c r="C4065" s="18">
        <f>'Календарь'!A352</f>
        <v/>
      </c>
      <c r="D4065">
        <f>MONTH(C4065)</f>
        <v/>
      </c>
      <c r="E4065">
        <f>'Календарь'!D352</f>
        <v/>
      </c>
      <c r="F4065">
        <f>INT((C4065-Нед_Начало)/7)+1</f>
        <v/>
      </c>
      <c r="G4065">
        <f>IF(E4065=0,0,INDEX('Планы менеджеров'!$B$5:$M$16,B4065,D4065)/INDEX(Мес_Раб,D4065))</f>
        <v/>
      </c>
    </row>
    <row r="4066">
      <c r="A4066" t="inlineStr">
        <is>
          <t>Егоров</t>
        </is>
      </c>
      <c r="B4066" t="n">
        <v>15</v>
      </c>
      <c r="C4066" s="18">
        <f>'Календарь'!A353</f>
        <v/>
      </c>
      <c r="D4066">
        <f>MONTH(C4066)</f>
        <v/>
      </c>
      <c r="E4066">
        <f>'Календарь'!D353</f>
        <v/>
      </c>
      <c r="F4066">
        <f>INT((C4066-Нед_Начало)/7)+1</f>
        <v/>
      </c>
      <c r="G4066">
        <f>IF(E4066=0,0,INDEX('Планы менеджеров'!$B$5:$M$16,B4066,D4066)/INDEX(Мес_Раб,D4066))</f>
        <v/>
      </c>
    </row>
    <row r="4067">
      <c r="A4067" t="inlineStr">
        <is>
          <t>Егоров</t>
        </is>
      </c>
      <c r="B4067" t="n">
        <v>15</v>
      </c>
      <c r="C4067" s="18">
        <f>'Календарь'!A354</f>
        <v/>
      </c>
      <c r="D4067">
        <f>MONTH(C4067)</f>
        <v/>
      </c>
      <c r="E4067">
        <f>'Календарь'!D354</f>
        <v/>
      </c>
      <c r="F4067">
        <f>INT((C4067-Нед_Начало)/7)+1</f>
        <v/>
      </c>
      <c r="G4067">
        <f>IF(E4067=0,0,INDEX('Планы менеджеров'!$B$5:$M$16,B4067,D4067)/INDEX(Мес_Раб,D4067))</f>
        <v/>
      </c>
    </row>
    <row r="4068">
      <c r="A4068" t="inlineStr">
        <is>
          <t>Егоров</t>
        </is>
      </c>
      <c r="B4068" t="n">
        <v>15</v>
      </c>
      <c r="C4068" s="18">
        <f>'Календарь'!A355</f>
        <v/>
      </c>
      <c r="D4068">
        <f>MONTH(C4068)</f>
        <v/>
      </c>
      <c r="E4068">
        <f>'Календарь'!D355</f>
        <v/>
      </c>
      <c r="F4068">
        <f>INT((C4068-Нед_Начало)/7)+1</f>
        <v/>
      </c>
      <c r="G4068">
        <f>IF(E4068=0,0,INDEX('Планы менеджеров'!$B$5:$M$16,B4068,D4068)/INDEX(Мес_Раб,D4068))</f>
        <v/>
      </c>
    </row>
    <row r="4069">
      <c r="A4069" t="inlineStr">
        <is>
          <t>Егоров</t>
        </is>
      </c>
      <c r="B4069" t="n">
        <v>15</v>
      </c>
      <c r="C4069" s="18">
        <f>'Календарь'!A356</f>
        <v/>
      </c>
      <c r="D4069">
        <f>MONTH(C4069)</f>
        <v/>
      </c>
      <c r="E4069">
        <f>'Календарь'!D356</f>
        <v/>
      </c>
      <c r="F4069">
        <f>INT((C4069-Нед_Начало)/7)+1</f>
        <v/>
      </c>
      <c r="G4069">
        <f>IF(E4069=0,0,INDEX('Планы менеджеров'!$B$5:$M$16,B4069,D4069)/INDEX(Мес_Раб,D4069))</f>
        <v/>
      </c>
    </row>
    <row r="4070">
      <c r="A4070" t="inlineStr">
        <is>
          <t>Егоров</t>
        </is>
      </c>
      <c r="B4070" t="n">
        <v>15</v>
      </c>
      <c r="C4070" s="18">
        <f>'Календарь'!A357</f>
        <v/>
      </c>
      <c r="D4070">
        <f>MONTH(C4070)</f>
        <v/>
      </c>
      <c r="E4070">
        <f>'Календарь'!D357</f>
        <v/>
      </c>
      <c r="F4070">
        <f>INT((C4070-Нед_Начало)/7)+1</f>
        <v/>
      </c>
      <c r="G4070">
        <f>IF(E4070=0,0,INDEX('Планы менеджеров'!$B$5:$M$16,B4070,D4070)/INDEX(Мес_Раб,D4070))</f>
        <v/>
      </c>
    </row>
    <row r="4071">
      <c r="A4071" t="inlineStr">
        <is>
          <t>Егоров</t>
        </is>
      </c>
      <c r="B4071" t="n">
        <v>15</v>
      </c>
      <c r="C4071" s="18">
        <f>'Календарь'!A358</f>
        <v/>
      </c>
      <c r="D4071">
        <f>MONTH(C4071)</f>
        <v/>
      </c>
      <c r="E4071">
        <f>'Календарь'!D358</f>
        <v/>
      </c>
      <c r="F4071">
        <f>INT((C4071-Нед_Начало)/7)+1</f>
        <v/>
      </c>
      <c r="G4071">
        <f>IF(E4071=0,0,INDEX('Планы менеджеров'!$B$5:$M$16,B4071,D4071)/INDEX(Мес_Раб,D4071))</f>
        <v/>
      </c>
    </row>
    <row r="4072">
      <c r="A4072" t="inlineStr">
        <is>
          <t>Егоров</t>
        </is>
      </c>
      <c r="B4072" t="n">
        <v>15</v>
      </c>
      <c r="C4072" s="18">
        <f>'Календарь'!A359</f>
        <v/>
      </c>
      <c r="D4072">
        <f>MONTH(C4072)</f>
        <v/>
      </c>
      <c r="E4072">
        <f>'Календарь'!D359</f>
        <v/>
      </c>
      <c r="F4072">
        <f>INT((C4072-Нед_Начало)/7)+1</f>
        <v/>
      </c>
      <c r="G4072">
        <f>IF(E4072=0,0,INDEX('Планы менеджеров'!$B$5:$M$16,B4072,D4072)/INDEX(Мес_Раб,D4072))</f>
        <v/>
      </c>
    </row>
    <row r="4073">
      <c r="A4073" t="inlineStr">
        <is>
          <t>Егоров</t>
        </is>
      </c>
      <c r="B4073" t="n">
        <v>15</v>
      </c>
      <c r="C4073" s="18">
        <f>'Календарь'!A360</f>
        <v/>
      </c>
      <c r="D4073">
        <f>MONTH(C4073)</f>
        <v/>
      </c>
      <c r="E4073">
        <f>'Календарь'!D360</f>
        <v/>
      </c>
      <c r="F4073">
        <f>INT((C4073-Нед_Начало)/7)+1</f>
        <v/>
      </c>
      <c r="G4073">
        <f>IF(E4073=0,0,INDEX('Планы менеджеров'!$B$5:$M$16,B4073,D4073)/INDEX(Мес_Раб,D4073))</f>
        <v/>
      </c>
    </row>
    <row r="4074">
      <c r="A4074" t="inlineStr">
        <is>
          <t>Егоров</t>
        </is>
      </c>
      <c r="B4074" t="n">
        <v>15</v>
      </c>
      <c r="C4074" s="18">
        <f>'Календарь'!A361</f>
        <v/>
      </c>
      <c r="D4074">
        <f>MONTH(C4074)</f>
        <v/>
      </c>
      <c r="E4074">
        <f>'Календарь'!D361</f>
        <v/>
      </c>
      <c r="F4074">
        <f>INT((C4074-Нед_Начало)/7)+1</f>
        <v/>
      </c>
      <c r="G4074">
        <f>IF(E4074=0,0,INDEX('Планы менеджеров'!$B$5:$M$16,B4074,D4074)/INDEX(Мес_Раб,D4074))</f>
        <v/>
      </c>
    </row>
    <row r="4075">
      <c r="A4075" t="inlineStr">
        <is>
          <t>Егоров</t>
        </is>
      </c>
      <c r="B4075" t="n">
        <v>15</v>
      </c>
      <c r="C4075" s="18">
        <f>'Календарь'!A362</f>
        <v/>
      </c>
      <c r="D4075">
        <f>MONTH(C4075)</f>
        <v/>
      </c>
      <c r="E4075">
        <f>'Календарь'!D362</f>
        <v/>
      </c>
      <c r="F4075">
        <f>INT((C4075-Нед_Начало)/7)+1</f>
        <v/>
      </c>
      <c r="G4075">
        <f>IF(E4075=0,0,INDEX('Планы менеджеров'!$B$5:$M$16,B4075,D4075)/INDEX(Мес_Раб,D4075))</f>
        <v/>
      </c>
    </row>
    <row r="4076">
      <c r="A4076" t="inlineStr">
        <is>
          <t>Егоров</t>
        </is>
      </c>
      <c r="B4076" t="n">
        <v>15</v>
      </c>
      <c r="C4076" s="18">
        <f>'Календарь'!A363</f>
        <v/>
      </c>
      <c r="D4076">
        <f>MONTH(C4076)</f>
        <v/>
      </c>
      <c r="E4076">
        <f>'Календарь'!D363</f>
        <v/>
      </c>
      <c r="F4076">
        <f>INT((C4076-Нед_Начало)/7)+1</f>
        <v/>
      </c>
      <c r="G4076">
        <f>IF(E4076=0,0,INDEX('Планы менеджеров'!$B$5:$M$16,B4076,D4076)/INDEX(Мес_Раб,D4076))</f>
        <v/>
      </c>
    </row>
    <row r="4077">
      <c r="A4077" t="inlineStr">
        <is>
          <t>Егоров</t>
        </is>
      </c>
      <c r="B4077" t="n">
        <v>15</v>
      </c>
      <c r="C4077" s="18">
        <f>'Календарь'!A364</f>
        <v/>
      </c>
      <c r="D4077">
        <f>MONTH(C4077)</f>
        <v/>
      </c>
      <c r="E4077">
        <f>'Календарь'!D364</f>
        <v/>
      </c>
      <c r="F4077">
        <f>INT((C4077-Нед_Начало)/7)+1</f>
        <v/>
      </c>
      <c r="G4077">
        <f>IF(E4077=0,0,INDEX('Планы менеджеров'!$B$5:$M$16,B4077,D4077)/INDEX(Мес_Раб,D4077))</f>
        <v/>
      </c>
    </row>
    <row r="4078">
      <c r="A4078" t="inlineStr">
        <is>
          <t>Егоров</t>
        </is>
      </c>
      <c r="B4078" t="n">
        <v>15</v>
      </c>
      <c r="C4078" s="18">
        <f>'Календарь'!A365</f>
        <v/>
      </c>
      <c r="D4078">
        <f>MONTH(C4078)</f>
        <v/>
      </c>
      <c r="E4078">
        <f>'Календарь'!D365</f>
        <v/>
      </c>
      <c r="F4078">
        <f>INT((C4078-Нед_Начало)/7)+1</f>
        <v/>
      </c>
      <c r="G4078">
        <f>IF(E4078=0,0,INDEX('Планы менеджеров'!$B$5:$M$16,B4078,D4078)/INDEX(Мес_Раб,D4078))</f>
        <v/>
      </c>
    </row>
    <row r="4079">
      <c r="A4079" t="inlineStr">
        <is>
          <t>Егоров</t>
        </is>
      </c>
      <c r="B4079" t="n">
        <v>15</v>
      </c>
      <c r="C4079" s="18">
        <f>'Календарь'!A366</f>
        <v/>
      </c>
      <c r="D4079">
        <f>MONTH(C4079)</f>
        <v/>
      </c>
      <c r="E4079">
        <f>'Календарь'!D366</f>
        <v/>
      </c>
      <c r="F4079">
        <f>INT((C4079-Нед_Начало)/7)+1</f>
        <v/>
      </c>
      <c r="G4079">
        <f>IF(E4079=0,0,INDEX('Планы менеджеров'!$B$5:$M$16,B4079,D4079)/INDEX(Мес_Раб,D4079))</f>
        <v/>
      </c>
    </row>
    <row r="4080">
      <c r="A4080" t="inlineStr">
        <is>
          <t>Егоров</t>
        </is>
      </c>
      <c r="B4080" t="n">
        <v>15</v>
      </c>
      <c r="C4080" s="18">
        <f>'Календарь'!A367</f>
        <v/>
      </c>
      <c r="D4080">
        <f>MONTH(C4080)</f>
        <v/>
      </c>
      <c r="E4080">
        <f>'Календарь'!D367</f>
        <v/>
      </c>
      <c r="F4080">
        <f>INT((C4080-Нед_Начало)/7)+1</f>
        <v/>
      </c>
      <c r="G4080">
        <f>IF(E4080=0,0,INDEX('Планы менеджеров'!$B$5:$M$16,B4080,D4080)/INDEX(Мес_Раб,D4080))</f>
        <v/>
      </c>
    </row>
    <row r="4081">
      <c r="A4081" t="inlineStr">
        <is>
          <t>Егоров</t>
        </is>
      </c>
      <c r="B4081" t="n">
        <v>15</v>
      </c>
      <c r="C4081" s="18">
        <f>'Календарь'!A368</f>
        <v/>
      </c>
      <c r="D4081">
        <f>MONTH(C4081)</f>
        <v/>
      </c>
      <c r="E4081">
        <f>'Календарь'!D368</f>
        <v/>
      </c>
      <c r="F4081">
        <f>INT((C4081-Нед_Начало)/7)+1</f>
        <v/>
      </c>
      <c r="G4081">
        <f>IF(E4081=0,0,INDEX('Планы менеджеров'!$B$5:$M$16,B4081,D4081)/INDEX(Мес_Раб,D4081))</f>
        <v/>
      </c>
    </row>
    <row r="4082">
      <c r="A4082" t="inlineStr">
        <is>
          <t>Егоров</t>
        </is>
      </c>
      <c r="B4082" t="n">
        <v>15</v>
      </c>
      <c r="C4082" s="18">
        <f>'Календарь'!A369</f>
        <v/>
      </c>
      <c r="D4082">
        <f>MONTH(C4082)</f>
        <v/>
      </c>
      <c r="E4082">
        <f>'Календарь'!D369</f>
        <v/>
      </c>
      <c r="F4082">
        <f>INT((C4082-Нед_Начало)/7)+1</f>
        <v/>
      </c>
      <c r="G4082">
        <f>IF(E4082=0,0,INDEX('Планы менеджеров'!$B$5:$M$16,B4082,D4082)/INDEX(Мес_Раб,D4082))</f>
        <v/>
      </c>
    </row>
    <row r="4083">
      <c r="A4083" t="inlineStr">
        <is>
          <t>Егоров</t>
        </is>
      </c>
      <c r="B4083" t="n">
        <v>15</v>
      </c>
      <c r="C4083" s="18">
        <f>'Календарь'!A370</f>
        <v/>
      </c>
      <c r="D4083">
        <f>MONTH(C4083)</f>
        <v/>
      </c>
      <c r="E4083">
        <f>'Календарь'!D370</f>
        <v/>
      </c>
      <c r="F4083">
        <f>INT((C4083-Нед_Начало)/7)+1</f>
        <v/>
      </c>
      <c r="G4083">
        <f>IF(E4083=0,0,INDEX('Планы менеджеров'!$B$5:$M$16,B4083,D4083)/INDEX(Мес_Раб,D4083))</f>
        <v/>
      </c>
    </row>
    <row r="4084">
      <c r="A4084" t="inlineStr">
        <is>
          <t>Егоров</t>
        </is>
      </c>
      <c r="B4084" t="n">
        <v>15</v>
      </c>
      <c r="C4084" s="18">
        <f>'Календарь'!A371</f>
        <v/>
      </c>
      <c r="D4084">
        <f>MONTH(C4084)</f>
        <v/>
      </c>
      <c r="E4084">
        <f>'Календарь'!D371</f>
        <v/>
      </c>
      <c r="F4084">
        <f>INT((C4084-Нед_Начало)/7)+1</f>
        <v/>
      </c>
      <c r="G4084">
        <f>IF(E4084=0,0,INDEX('Планы менеджеров'!$B$5:$M$16,B4084,D4084)/INDEX(Мес_Раб,D4084))</f>
        <v/>
      </c>
    </row>
    <row r="4085">
      <c r="A4085" t="inlineStr">
        <is>
          <t>Егоров</t>
        </is>
      </c>
      <c r="B4085" t="n">
        <v>15</v>
      </c>
      <c r="C4085" s="18">
        <f>'Календарь'!A372</f>
        <v/>
      </c>
      <c r="D4085">
        <f>MONTH(C4085)</f>
        <v/>
      </c>
      <c r="E4085">
        <f>'Календарь'!D372</f>
        <v/>
      </c>
      <c r="F4085">
        <f>INT((C4085-Нед_Начало)/7)+1</f>
        <v/>
      </c>
      <c r="G4085">
        <f>IF(E4085=0,0,INDEX('Планы менеджеров'!$B$5:$M$16,B4085,D4085)/INDEX(Мес_Раб,D4085))</f>
        <v/>
      </c>
    </row>
    <row r="4086">
      <c r="A4086" t="inlineStr">
        <is>
          <t>Павлова</t>
        </is>
      </c>
      <c r="B4086" t="n">
        <v>16</v>
      </c>
      <c r="C4086" s="18">
        <f>'Календарь'!A2</f>
        <v/>
      </c>
      <c r="D4086">
        <f>MONTH(C4086)</f>
        <v/>
      </c>
      <c r="E4086">
        <f>'Календарь'!D2</f>
        <v/>
      </c>
      <c r="F4086">
        <f>INT((C4086-Нед_Начало)/7)+1</f>
        <v/>
      </c>
      <c r="G4086">
        <f>IF(E4086=0,0,INDEX('Планы менеджеров'!$B$5:$M$16,B4086,D4086)/INDEX(Мес_Раб,D4086))</f>
        <v/>
      </c>
    </row>
    <row r="4087">
      <c r="A4087" t="inlineStr">
        <is>
          <t>Павлова</t>
        </is>
      </c>
      <c r="B4087" t="n">
        <v>16</v>
      </c>
      <c r="C4087" s="18">
        <f>'Календарь'!A3</f>
        <v/>
      </c>
      <c r="D4087">
        <f>MONTH(C4087)</f>
        <v/>
      </c>
      <c r="E4087">
        <f>'Календарь'!D3</f>
        <v/>
      </c>
      <c r="F4087">
        <f>INT((C4087-Нед_Начало)/7)+1</f>
        <v/>
      </c>
      <c r="G4087">
        <f>IF(E4087=0,0,INDEX('Планы менеджеров'!$B$5:$M$16,B4087,D4087)/INDEX(Мес_Раб,D4087))</f>
        <v/>
      </c>
    </row>
    <row r="4088">
      <c r="A4088" t="inlineStr">
        <is>
          <t>Павлова</t>
        </is>
      </c>
      <c r="B4088" t="n">
        <v>16</v>
      </c>
      <c r="C4088" s="18">
        <f>'Календарь'!A4</f>
        <v/>
      </c>
      <c r="D4088">
        <f>MONTH(C4088)</f>
        <v/>
      </c>
      <c r="E4088">
        <f>'Календарь'!D4</f>
        <v/>
      </c>
      <c r="F4088">
        <f>INT((C4088-Нед_Начало)/7)+1</f>
        <v/>
      </c>
      <c r="G4088">
        <f>IF(E4088=0,0,INDEX('Планы менеджеров'!$B$5:$M$16,B4088,D4088)/INDEX(Мес_Раб,D4088))</f>
        <v/>
      </c>
    </row>
    <row r="4089">
      <c r="A4089" t="inlineStr">
        <is>
          <t>Павлова</t>
        </is>
      </c>
      <c r="B4089" t="n">
        <v>16</v>
      </c>
      <c r="C4089" s="18">
        <f>'Календарь'!A5</f>
        <v/>
      </c>
      <c r="D4089">
        <f>MONTH(C4089)</f>
        <v/>
      </c>
      <c r="E4089">
        <f>'Календарь'!D5</f>
        <v/>
      </c>
      <c r="F4089">
        <f>INT((C4089-Нед_Начало)/7)+1</f>
        <v/>
      </c>
      <c r="G4089">
        <f>IF(E4089=0,0,INDEX('Планы менеджеров'!$B$5:$M$16,B4089,D4089)/INDEX(Мес_Раб,D4089))</f>
        <v/>
      </c>
    </row>
    <row r="4090">
      <c r="A4090" t="inlineStr">
        <is>
          <t>Павлова</t>
        </is>
      </c>
      <c r="B4090" t="n">
        <v>16</v>
      </c>
      <c r="C4090" s="18">
        <f>'Календарь'!A6</f>
        <v/>
      </c>
      <c r="D4090">
        <f>MONTH(C4090)</f>
        <v/>
      </c>
      <c r="E4090">
        <f>'Календарь'!D6</f>
        <v/>
      </c>
      <c r="F4090">
        <f>INT((C4090-Нед_Начало)/7)+1</f>
        <v/>
      </c>
      <c r="G4090">
        <f>IF(E4090=0,0,INDEX('Планы менеджеров'!$B$5:$M$16,B4090,D4090)/INDEX(Мес_Раб,D4090))</f>
        <v/>
      </c>
    </row>
    <row r="4091">
      <c r="A4091" t="inlineStr">
        <is>
          <t>Павлова</t>
        </is>
      </c>
      <c r="B4091" t="n">
        <v>16</v>
      </c>
      <c r="C4091" s="18">
        <f>'Календарь'!A7</f>
        <v/>
      </c>
      <c r="D4091">
        <f>MONTH(C4091)</f>
        <v/>
      </c>
      <c r="E4091">
        <f>'Календарь'!D7</f>
        <v/>
      </c>
      <c r="F4091">
        <f>INT((C4091-Нед_Начало)/7)+1</f>
        <v/>
      </c>
      <c r="G4091">
        <f>IF(E4091=0,0,INDEX('Планы менеджеров'!$B$5:$M$16,B4091,D4091)/INDEX(Мес_Раб,D4091))</f>
        <v/>
      </c>
    </row>
    <row r="4092">
      <c r="A4092" t="inlineStr">
        <is>
          <t>Павлова</t>
        </is>
      </c>
      <c r="B4092" t="n">
        <v>16</v>
      </c>
      <c r="C4092" s="18">
        <f>'Календарь'!A8</f>
        <v/>
      </c>
      <c r="D4092">
        <f>MONTH(C4092)</f>
        <v/>
      </c>
      <c r="E4092">
        <f>'Календарь'!D8</f>
        <v/>
      </c>
      <c r="F4092">
        <f>INT((C4092-Нед_Начало)/7)+1</f>
        <v/>
      </c>
      <c r="G4092">
        <f>IF(E4092=0,0,INDEX('Планы менеджеров'!$B$5:$M$16,B4092,D4092)/INDEX(Мес_Раб,D4092))</f>
        <v/>
      </c>
    </row>
    <row r="4093">
      <c r="A4093" t="inlineStr">
        <is>
          <t>Павлова</t>
        </is>
      </c>
      <c r="B4093" t="n">
        <v>16</v>
      </c>
      <c r="C4093" s="18">
        <f>'Календарь'!A9</f>
        <v/>
      </c>
      <c r="D4093">
        <f>MONTH(C4093)</f>
        <v/>
      </c>
      <c r="E4093">
        <f>'Календарь'!D9</f>
        <v/>
      </c>
      <c r="F4093">
        <f>INT((C4093-Нед_Начало)/7)+1</f>
        <v/>
      </c>
      <c r="G4093">
        <f>IF(E4093=0,0,INDEX('Планы менеджеров'!$B$5:$M$16,B4093,D4093)/INDEX(Мес_Раб,D4093))</f>
        <v/>
      </c>
    </row>
    <row r="4094">
      <c r="A4094" t="inlineStr">
        <is>
          <t>Павлова</t>
        </is>
      </c>
      <c r="B4094" t="n">
        <v>16</v>
      </c>
      <c r="C4094" s="18">
        <f>'Календарь'!A10</f>
        <v/>
      </c>
      <c r="D4094">
        <f>MONTH(C4094)</f>
        <v/>
      </c>
      <c r="E4094">
        <f>'Календарь'!D10</f>
        <v/>
      </c>
      <c r="F4094">
        <f>INT((C4094-Нед_Начало)/7)+1</f>
        <v/>
      </c>
      <c r="G4094">
        <f>IF(E4094=0,0,INDEX('Планы менеджеров'!$B$5:$M$16,B4094,D4094)/INDEX(Мес_Раб,D4094))</f>
        <v/>
      </c>
    </row>
    <row r="4095">
      <c r="A4095" t="inlineStr">
        <is>
          <t>Павлова</t>
        </is>
      </c>
      <c r="B4095" t="n">
        <v>16</v>
      </c>
      <c r="C4095" s="18">
        <f>'Календарь'!A11</f>
        <v/>
      </c>
      <c r="D4095">
        <f>MONTH(C4095)</f>
        <v/>
      </c>
      <c r="E4095">
        <f>'Календарь'!D11</f>
        <v/>
      </c>
      <c r="F4095">
        <f>INT((C4095-Нед_Начало)/7)+1</f>
        <v/>
      </c>
      <c r="G4095">
        <f>IF(E4095=0,0,INDEX('Планы менеджеров'!$B$5:$M$16,B4095,D4095)/INDEX(Мес_Раб,D4095))</f>
        <v/>
      </c>
    </row>
    <row r="4096">
      <c r="A4096" t="inlineStr">
        <is>
          <t>Павлова</t>
        </is>
      </c>
      <c r="B4096" t="n">
        <v>16</v>
      </c>
      <c r="C4096" s="18">
        <f>'Календарь'!A12</f>
        <v/>
      </c>
      <c r="D4096">
        <f>MONTH(C4096)</f>
        <v/>
      </c>
      <c r="E4096">
        <f>'Календарь'!D12</f>
        <v/>
      </c>
      <c r="F4096">
        <f>INT((C4096-Нед_Начало)/7)+1</f>
        <v/>
      </c>
      <c r="G4096">
        <f>IF(E4096=0,0,INDEX('Планы менеджеров'!$B$5:$M$16,B4096,D4096)/INDEX(Мес_Раб,D4096))</f>
        <v/>
      </c>
    </row>
    <row r="4097">
      <c r="A4097" t="inlineStr">
        <is>
          <t>Павлова</t>
        </is>
      </c>
      <c r="B4097" t="n">
        <v>16</v>
      </c>
      <c r="C4097" s="18">
        <f>'Календарь'!A13</f>
        <v/>
      </c>
      <c r="D4097">
        <f>MONTH(C4097)</f>
        <v/>
      </c>
      <c r="E4097">
        <f>'Календарь'!D13</f>
        <v/>
      </c>
      <c r="F4097">
        <f>INT((C4097-Нед_Начало)/7)+1</f>
        <v/>
      </c>
      <c r="G4097">
        <f>IF(E4097=0,0,INDEX('Планы менеджеров'!$B$5:$M$16,B4097,D4097)/INDEX(Мес_Раб,D4097))</f>
        <v/>
      </c>
    </row>
    <row r="4098">
      <c r="A4098" t="inlineStr">
        <is>
          <t>Павлова</t>
        </is>
      </c>
      <c r="B4098" t="n">
        <v>16</v>
      </c>
      <c r="C4098" s="18">
        <f>'Календарь'!A14</f>
        <v/>
      </c>
      <c r="D4098">
        <f>MONTH(C4098)</f>
        <v/>
      </c>
      <c r="E4098">
        <f>'Календарь'!D14</f>
        <v/>
      </c>
      <c r="F4098">
        <f>INT((C4098-Нед_Начало)/7)+1</f>
        <v/>
      </c>
      <c r="G4098">
        <f>IF(E4098=0,0,INDEX('Планы менеджеров'!$B$5:$M$16,B4098,D4098)/INDEX(Мес_Раб,D4098))</f>
        <v/>
      </c>
    </row>
    <row r="4099">
      <c r="A4099" t="inlineStr">
        <is>
          <t>Павлова</t>
        </is>
      </c>
      <c r="B4099" t="n">
        <v>16</v>
      </c>
      <c r="C4099" s="18">
        <f>'Календарь'!A15</f>
        <v/>
      </c>
      <c r="D4099">
        <f>MONTH(C4099)</f>
        <v/>
      </c>
      <c r="E4099">
        <f>'Календарь'!D15</f>
        <v/>
      </c>
      <c r="F4099">
        <f>INT((C4099-Нед_Начало)/7)+1</f>
        <v/>
      </c>
      <c r="G4099">
        <f>IF(E4099=0,0,INDEX('Планы менеджеров'!$B$5:$M$16,B4099,D4099)/INDEX(Мес_Раб,D4099))</f>
        <v/>
      </c>
    </row>
    <row r="4100">
      <c r="A4100" t="inlineStr">
        <is>
          <t>Павлова</t>
        </is>
      </c>
      <c r="B4100" t="n">
        <v>16</v>
      </c>
      <c r="C4100" s="18">
        <f>'Календарь'!A16</f>
        <v/>
      </c>
      <c r="D4100">
        <f>MONTH(C4100)</f>
        <v/>
      </c>
      <c r="E4100">
        <f>'Календарь'!D16</f>
        <v/>
      </c>
      <c r="F4100">
        <f>INT((C4100-Нед_Начало)/7)+1</f>
        <v/>
      </c>
      <c r="G4100">
        <f>IF(E4100=0,0,INDEX('Планы менеджеров'!$B$5:$M$16,B4100,D4100)/INDEX(Мес_Раб,D4100))</f>
        <v/>
      </c>
    </row>
    <row r="4101">
      <c r="A4101" t="inlineStr">
        <is>
          <t>Павлова</t>
        </is>
      </c>
      <c r="B4101" t="n">
        <v>16</v>
      </c>
      <c r="C4101" s="18">
        <f>'Календарь'!A17</f>
        <v/>
      </c>
      <c r="D4101">
        <f>MONTH(C4101)</f>
        <v/>
      </c>
      <c r="E4101">
        <f>'Календарь'!D17</f>
        <v/>
      </c>
      <c r="F4101">
        <f>INT((C4101-Нед_Начало)/7)+1</f>
        <v/>
      </c>
      <c r="G4101">
        <f>IF(E4101=0,0,INDEX('Планы менеджеров'!$B$5:$M$16,B4101,D4101)/INDEX(Мес_Раб,D4101))</f>
        <v/>
      </c>
    </row>
    <row r="4102">
      <c r="A4102" t="inlineStr">
        <is>
          <t>Павлова</t>
        </is>
      </c>
      <c r="B4102" t="n">
        <v>16</v>
      </c>
      <c r="C4102" s="18">
        <f>'Календарь'!A18</f>
        <v/>
      </c>
      <c r="D4102">
        <f>MONTH(C4102)</f>
        <v/>
      </c>
      <c r="E4102">
        <f>'Календарь'!D18</f>
        <v/>
      </c>
      <c r="F4102">
        <f>INT((C4102-Нед_Начало)/7)+1</f>
        <v/>
      </c>
      <c r="G4102">
        <f>IF(E4102=0,0,INDEX('Планы менеджеров'!$B$5:$M$16,B4102,D4102)/INDEX(Мес_Раб,D4102))</f>
        <v/>
      </c>
    </row>
    <row r="4103">
      <c r="A4103" t="inlineStr">
        <is>
          <t>Павлова</t>
        </is>
      </c>
      <c r="B4103" t="n">
        <v>16</v>
      </c>
      <c r="C4103" s="18">
        <f>'Календарь'!A19</f>
        <v/>
      </c>
      <c r="D4103">
        <f>MONTH(C4103)</f>
        <v/>
      </c>
      <c r="E4103">
        <f>'Календарь'!D19</f>
        <v/>
      </c>
      <c r="F4103">
        <f>INT((C4103-Нед_Начало)/7)+1</f>
        <v/>
      </c>
      <c r="G4103">
        <f>IF(E4103=0,0,INDEX('Планы менеджеров'!$B$5:$M$16,B4103,D4103)/INDEX(Мес_Раб,D4103))</f>
        <v/>
      </c>
    </row>
    <row r="4104">
      <c r="A4104" t="inlineStr">
        <is>
          <t>Павлова</t>
        </is>
      </c>
      <c r="B4104" t="n">
        <v>16</v>
      </c>
      <c r="C4104" s="18">
        <f>'Календарь'!A20</f>
        <v/>
      </c>
      <c r="D4104">
        <f>MONTH(C4104)</f>
        <v/>
      </c>
      <c r="E4104">
        <f>'Календарь'!D20</f>
        <v/>
      </c>
      <c r="F4104">
        <f>INT((C4104-Нед_Начало)/7)+1</f>
        <v/>
      </c>
      <c r="G4104">
        <f>IF(E4104=0,0,INDEX('Планы менеджеров'!$B$5:$M$16,B4104,D4104)/INDEX(Мес_Раб,D4104))</f>
        <v/>
      </c>
    </row>
    <row r="4105">
      <c r="A4105" t="inlineStr">
        <is>
          <t>Павлова</t>
        </is>
      </c>
      <c r="B4105" t="n">
        <v>16</v>
      </c>
      <c r="C4105" s="18">
        <f>'Календарь'!A21</f>
        <v/>
      </c>
      <c r="D4105">
        <f>MONTH(C4105)</f>
        <v/>
      </c>
      <c r="E4105">
        <f>'Календарь'!D21</f>
        <v/>
      </c>
      <c r="F4105">
        <f>INT((C4105-Нед_Начало)/7)+1</f>
        <v/>
      </c>
      <c r="G4105">
        <f>IF(E4105=0,0,INDEX('Планы менеджеров'!$B$5:$M$16,B4105,D4105)/INDEX(Мес_Раб,D4105))</f>
        <v/>
      </c>
    </row>
    <row r="4106">
      <c r="A4106" t="inlineStr">
        <is>
          <t>Павлова</t>
        </is>
      </c>
      <c r="B4106" t="n">
        <v>16</v>
      </c>
      <c r="C4106" s="18">
        <f>'Календарь'!A22</f>
        <v/>
      </c>
      <c r="D4106">
        <f>MONTH(C4106)</f>
        <v/>
      </c>
      <c r="E4106">
        <f>'Календарь'!D22</f>
        <v/>
      </c>
      <c r="F4106">
        <f>INT((C4106-Нед_Начало)/7)+1</f>
        <v/>
      </c>
      <c r="G4106">
        <f>IF(E4106=0,0,INDEX('Планы менеджеров'!$B$5:$M$16,B4106,D4106)/INDEX(Мес_Раб,D4106))</f>
        <v/>
      </c>
    </row>
    <row r="4107">
      <c r="A4107" t="inlineStr">
        <is>
          <t>Павлова</t>
        </is>
      </c>
      <c r="B4107" t="n">
        <v>16</v>
      </c>
      <c r="C4107" s="18">
        <f>'Календарь'!A23</f>
        <v/>
      </c>
      <c r="D4107">
        <f>MONTH(C4107)</f>
        <v/>
      </c>
      <c r="E4107">
        <f>'Календарь'!D23</f>
        <v/>
      </c>
      <c r="F4107">
        <f>INT((C4107-Нед_Начало)/7)+1</f>
        <v/>
      </c>
      <c r="G4107">
        <f>IF(E4107=0,0,INDEX('Планы менеджеров'!$B$5:$M$16,B4107,D4107)/INDEX(Мес_Раб,D4107))</f>
        <v/>
      </c>
    </row>
    <row r="4108">
      <c r="A4108" t="inlineStr">
        <is>
          <t>Павлова</t>
        </is>
      </c>
      <c r="B4108" t="n">
        <v>16</v>
      </c>
      <c r="C4108" s="18">
        <f>'Календарь'!A24</f>
        <v/>
      </c>
      <c r="D4108">
        <f>MONTH(C4108)</f>
        <v/>
      </c>
      <c r="E4108">
        <f>'Календарь'!D24</f>
        <v/>
      </c>
      <c r="F4108">
        <f>INT((C4108-Нед_Начало)/7)+1</f>
        <v/>
      </c>
      <c r="G4108">
        <f>IF(E4108=0,0,INDEX('Планы менеджеров'!$B$5:$M$16,B4108,D4108)/INDEX(Мес_Раб,D4108))</f>
        <v/>
      </c>
    </row>
    <row r="4109">
      <c r="A4109" t="inlineStr">
        <is>
          <t>Павлова</t>
        </is>
      </c>
      <c r="B4109" t="n">
        <v>16</v>
      </c>
      <c r="C4109" s="18">
        <f>'Календарь'!A25</f>
        <v/>
      </c>
      <c r="D4109">
        <f>MONTH(C4109)</f>
        <v/>
      </c>
      <c r="E4109">
        <f>'Календарь'!D25</f>
        <v/>
      </c>
      <c r="F4109">
        <f>INT((C4109-Нед_Начало)/7)+1</f>
        <v/>
      </c>
      <c r="G4109">
        <f>IF(E4109=0,0,INDEX('Планы менеджеров'!$B$5:$M$16,B4109,D4109)/INDEX(Мес_Раб,D4109))</f>
        <v/>
      </c>
    </row>
    <row r="4110">
      <c r="A4110" t="inlineStr">
        <is>
          <t>Павлова</t>
        </is>
      </c>
      <c r="B4110" t="n">
        <v>16</v>
      </c>
      <c r="C4110" s="18">
        <f>'Календарь'!A26</f>
        <v/>
      </c>
      <c r="D4110">
        <f>MONTH(C4110)</f>
        <v/>
      </c>
      <c r="E4110">
        <f>'Календарь'!D26</f>
        <v/>
      </c>
      <c r="F4110">
        <f>INT((C4110-Нед_Начало)/7)+1</f>
        <v/>
      </c>
      <c r="G4110">
        <f>IF(E4110=0,0,INDEX('Планы менеджеров'!$B$5:$M$16,B4110,D4110)/INDEX(Мес_Раб,D4110))</f>
        <v/>
      </c>
    </row>
    <row r="4111">
      <c r="A4111" t="inlineStr">
        <is>
          <t>Павлова</t>
        </is>
      </c>
      <c r="B4111" t="n">
        <v>16</v>
      </c>
      <c r="C4111" s="18">
        <f>'Календарь'!A27</f>
        <v/>
      </c>
      <c r="D4111">
        <f>MONTH(C4111)</f>
        <v/>
      </c>
      <c r="E4111">
        <f>'Календарь'!D27</f>
        <v/>
      </c>
      <c r="F4111">
        <f>INT((C4111-Нед_Начало)/7)+1</f>
        <v/>
      </c>
      <c r="G4111">
        <f>IF(E4111=0,0,INDEX('Планы менеджеров'!$B$5:$M$16,B4111,D4111)/INDEX(Мес_Раб,D4111))</f>
        <v/>
      </c>
    </row>
    <row r="4112">
      <c r="A4112" t="inlineStr">
        <is>
          <t>Павлова</t>
        </is>
      </c>
      <c r="B4112" t="n">
        <v>16</v>
      </c>
      <c r="C4112" s="18">
        <f>'Календарь'!A28</f>
        <v/>
      </c>
      <c r="D4112">
        <f>MONTH(C4112)</f>
        <v/>
      </c>
      <c r="E4112">
        <f>'Календарь'!D28</f>
        <v/>
      </c>
      <c r="F4112">
        <f>INT((C4112-Нед_Начало)/7)+1</f>
        <v/>
      </c>
      <c r="G4112">
        <f>IF(E4112=0,0,INDEX('Планы менеджеров'!$B$5:$M$16,B4112,D4112)/INDEX(Мес_Раб,D4112))</f>
        <v/>
      </c>
    </row>
    <row r="4113">
      <c r="A4113" t="inlineStr">
        <is>
          <t>Павлова</t>
        </is>
      </c>
      <c r="B4113" t="n">
        <v>16</v>
      </c>
      <c r="C4113" s="18">
        <f>'Календарь'!A29</f>
        <v/>
      </c>
      <c r="D4113">
        <f>MONTH(C4113)</f>
        <v/>
      </c>
      <c r="E4113">
        <f>'Календарь'!D29</f>
        <v/>
      </c>
      <c r="F4113">
        <f>INT((C4113-Нед_Начало)/7)+1</f>
        <v/>
      </c>
      <c r="G4113">
        <f>IF(E4113=0,0,INDEX('Планы менеджеров'!$B$5:$M$16,B4113,D4113)/INDEX(Мес_Раб,D4113))</f>
        <v/>
      </c>
    </row>
    <row r="4114">
      <c r="A4114" t="inlineStr">
        <is>
          <t>Павлова</t>
        </is>
      </c>
      <c r="B4114" t="n">
        <v>16</v>
      </c>
      <c r="C4114" s="18">
        <f>'Календарь'!A30</f>
        <v/>
      </c>
      <c r="D4114">
        <f>MONTH(C4114)</f>
        <v/>
      </c>
      <c r="E4114">
        <f>'Календарь'!D30</f>
        <v/>
      </c>
      <c r="F4114">
        <f>INT((C4114-Нед_Начало)/7)+1</f>
        <v/>
      </c>
      <c r="G4114">
        <f>IF(E4114=0,0,INDEX('Планы менеджеров'!$B$5:$M$16,B4114,D4114)/INDEX(Мес_Раб,D4114))</f>
        <v/>
      </c>
    </row>
    <row r="4115">
      <c r="A4115" t="inlineStr">
        <is>
          <t>Павлова</t>
        </is>
      </c>
      <c r="B4115" t="n">
        <v>16</v>
      </c>
      <c r="C4115" s="18">
        <f>'Календарь'!A31</f>
        <v/>
      </c>
      <c r="D4115">
        <f>MONTH(C4115)</f>
        <v/>
      </c>
      <c r="E4115">
        <f>'Календарь'!D31</f>
        <v/>
      </c>
      <c r="F4115">
        <f>INT((C4115-Нед_Начало)/7)+1</f>
        <v/>
      </c>
      <c r="G4115">
        <f>IF(E4115=0,0,INDEX('Планы менеджеров'!$B$5:$M$16,B4115,D4115)/INDEX(Мес_Раб,D4115))</f>
        <v/>
      </c>
    </row>
    <row r="4116">
      <c r="A4116" t="inlineStr">
        <is>
          <t>Павлова</t>
        </is>
      </c>
      <c r="B4116" t="n">
        <v>16</v>
      </c>
      <c r="C4116" s="18">
        <f>'Календарь'!A32</f>
        <v/>
      </c>
      <c r="D4116">
        <f>MONTH(C4116)</f>
        <v/>
      </c>
      <c r="E4116">
        <f>'Календарь'!D32</f>
        <v/>
      </c>
      <c r="F4116">
        <f>INT((C4116-Нед_Начало)/7)+1</f>
        <v/>
      </c>
      <c r="G4116">
        <f>IF(E4116=0,0,INDEX('Планы менеджеров'!$B$5:$M$16,B4116,D4116)/INDEX(Мес_Раб,D4116))</f>
        <v/>
      </c>
    </row>
    <row r="4117">
      <c r="A4117" t="inlineStr">
        <is>
          <t>Павлова</t>
        </is>
      </c>
      <c r="B4117" t="n">
        <v>16</v>
      </c>
      <c r="C4117" s="18">
        <f>'Календарь'!A33</f>
        <v/>
      </c>
      <c r="D4117">
        <f>MONTH(C4117)</f>
        <v/>
      </c>
      <c r="E4117">
        <f>'Календарь'!D33</f>
        <v/>
      </c>
      <c r="F4117">
        <f>INT((C4117-Нед_Начало)/7)+1</f>
        <v/>
      </c>
      <c r="G4117">
        <f>IF(E4117=0,0,INDEX('Планы менеджеров'!$B$5:$M$16,B4117,D4117)/INDEX(Мес_Раб,D4117))</f>
        <v/>
      </c>
    </row>
    <row r="4118">
      <c r="A4118" t="inlineStr">
        <is>
          <t>Павлова</t>
        </is>
      </c>
      <c r="B4118" t="n">
        <v>16</v>
      </c>
      <c r="C4118" s="18">
        <f>'Календарь'!A34</f>
        <v/>
      </c>
      <c r="D4118">
        <f>MONTH(C4118)</f>
        <v/>
      </c>
      <c r="E4118">
        <f>'Календарь'!D34</f>
        <v/>
      </c>
      <c r="F4118">
        <f>INT((C4118-Нед_Начало)/7)+1</f>
        <v/>
      </c>
      <c r="G4118">
        <f>IF(E4118=0,0,INDEX('Планы менеджеров'!$B$5:$M$16,B4118,D4118)/INDEX(Мес_Раб,D4118))</f>
        <v/>
      </c>
    </row>
    <row r="4119">
      <c r="A4119" t="inlineStr">
        <is>
          <t>Павлова</t>
        </is>
      </c>
      <c r="B4119" t="n">
        <v>16</v>
      </c>
      <c r="C4119" s="18">
        <f>'Календарь'!A35</f>
        <v/>
      </c>
      <c r="D4119">
        <f>MONTH(C4119)</f>
        <v/>
      </c>
      <c r="E4119">
        <f>'Календарь'!D35</f>
        <v/>
      </c>
      <c r="F4119">
        <f>INT((C4119-Нед_Начало)/7)+1</f>
        <v/>
      </c>
      <c r="G4119">
        <f>IF(E4119=0,0,INDEX('Планы менеджеров'!$B$5:$M$16,B4119,D4119)/INDEX(Мес_Раб,D4119))</f>
        <v/>
      </c>
    </row>
    <row r="4120">
      <c r="A4120" t="inlineStr">
        <is>
          <t>Павлова</t>
        </is>
      </c>
      <c r="B4120" t="n">
        <v>16</v>
      </c>
      <c r="C4120" s="18">
        <f>'Календарь'!A36</f>
        <v/>
      </c>
      <c r="D4120">
        <f>MONTH(C4120)</f>
        <v/>
      </c>
      <c r="E4120">
        <f>'Календарь'!D36</f>
        <v/>
      </c>
      <c r="F4120">
        <f>INT((C4120-Нед_Начало)/7)+1</f>
        <v/>
      </c>
      <c r="G4120">
        <f>IF(E4120=0,0,INDEX('Планы менеджеров'!$B$5:$M$16,B4120,D4120)/INDEX(Мес_Раб,D4120))</f>
        <v/>
      </c>
    </row>
    <row r="4121">
      <c r="A4121" t="inlineStr">
        <is>
          <t>Павлова</t>
        </is>
      </c>
      <c r="B4121" t="n">
        <v>16</v>
      </c>
      <c r="C4121" s="18">
        <f>'Календарь'!A37</f>
        <v/>
      </c>
      <c r="D4121">
        <f>MONTH(C4121)</f>
        <v/>
      </c>
      <c r="E4121">
        <f>'Календарь'!D37</f>
        <v/>
      </c>
      <c r="F4121">
        <f>INT((C4121-Нед_Начало)/7)+1</f>
        <v/>
      </c>
      <c r="G4121">
        <f>IF(E4121=0,0,INDEX('Планы менеджеров'!$B$5:$M$16,B4121,D4121)/INDEX(Мес_Раб,D4121))</f>
        <v/>
      </c>
    </row>
    <row r="4122">
      <c r="A4122" t="inlineStr">
        <is>
          <t>Павлова</t>
        </is>
      </c>
      <c r="B4122" t="n">
        <v>16</v>
      </c>
      <c r="C4122" s="18">
        <f>'Календарь'!A38</f>
        <v/>
      </c>
      <c r="D4122">
        <f>MONTH(C4122)</f>
        <v/>
      </c>
      <c r="E4122">
        <f>'Календарь'!D38</f>
        <v/>
      </c>
      <c r="F4122">
        <f>INT((C4122-Нед_Начало)/7)+1</f>
        <v/>
      </c>
      <c r="G4122">
        <f>IF(E4122=0,0,INDEX('Планы менеджеров'!$B$5:$M$16,B4122,D4122)/INDEX(Мес_Раб,D4122))</f>
        <v/>
      </c>
    </row>
    <row r="4123">
      <c r="A4123" t="inlineStr">
        <is>
          <t>Павлова</t>
        </is>
      </c>
      <c r="B4123" t="n">
        <v>16</v>
      </c>
      <c r="C4123" s="18">
        <f>'Календарь'!A39</f>
        <v/>
      </c>
      <c r="D4123">
        <f>MONTH(C4123)</f>
        <v/>
      </c>
      <c r="E4123">
        <f>'Календарь'!D39</f>
        <v/>
      </c>
      <c r="F4123">
        <f>INT((C4123-Нед_Начало)/7)+1</f>
        <v/>
      </c>
      <c r="G4123">
        <f>IF(E4123=0,0,INDEX('Планы менеджеров'!$B$5:$M$16,B4123,D4123)/INDEX(Мес_Раб,D4123))</f>
        <v/>
      </c>
    </row>
    <row r="4124">
      <c r="A4124" t="inlineStr">
        <is>
          <t>Павлова</t>
        </is>
      </c>
      <c r="B4124" t="n">
        <v>16</v>
      </c>
      <c r="C4124" s="18">
        <f>'Календарь'!A40</f>
        <v/>
      </c>
      <c r="D4124">
        <f>MONTH(C4124)</f>
        <v/>
      </c>
      <c r="E4124">
        <f>'Календарь'!D40</f>
        <v/>
      </c>
      <c r="F4124">
        <f>INT((C4124-Нед_Начало)/7)+1</f>
        <v/>
      </c>
      <c r="G4124">
        <f>IF(E4124=0,0,INDEX('Планы менеджеров'!$B$5:$M$16,B4124,D4124)/INDEX(Мес_Раб,D4124))</f>
        <v/>
      </c>
    </row>
    <row r="4125">
      <c r="A4125" t="inlineStr">
        <is>
          <t>Павлова</t>
        </is>
      </c>
      <c r="B4125" t="n">
        <v>16</v>
      </c>
      <c r="C4125" s="18">
        <f>'Календарь'!A41</f>
        <v/>
      </c>
      <c r="D4125">
        <f>MONTH(C4125)</f>
        <v/>
      </c>
      <c r="E4125">
        <f>'Календарь'!D41</f>
        <v/>
      </c>
      <c r="F4125">
        <f>INT((C4125-Нед_Начало)/7)+1</f>
        <v/>
      </c>
      <c r="G4125">
        <f>IF(E4125=0,0,INDEX('Планы менеджеров'!$B$5:$M$16,B4125,D4125)/INDEX(Мес_Раб,D4125))</f>
        <v/>
      </c>
    </row>
    <row r="4126">
      <c r="A4126" t="inlineStr">
        <is>
          <t>Павлова</t>
        </is>
      </c>
      <c r="B4126" t="n">
        <v>16</v>
      </c>
      <c r="C4126" s="18">
        <f>'Календарь'!A42</f>
        <v/>
      </c>
      <c r="D4126">
        <f>MONTH(C4126)</f>
        <v/>
      </c>
      <c r="E4126">
        <f>'Календарь'!D42</f>
        <v/>
      </c>
      <c r="F4126">
        <f>INT((C4126-Нед_Начало)/7)+1</f>
        <v/>
      </c>
      <c r="G4126">
        <f>IF(E4126=0,0,INDEX('Планы менеджеров'!$B$5:$M$16,B4126,D4126)/INDEX(Мес_Раб,D4126))</f>
        <v/>
      </c>
    </row>
    <row r="4127">
      <c r="A4127" t="inlineStr">
        <is>
          <t>Павлова</t>
        </is>
      </c>
      <c r="B4127" t="n">
        <v>16</v>
      </c>
      <c r="C4127" s="18">
        <f>'Календарь'!A43</f>
        <v/>
      </c>
      <c r="D4127">
        <f>MONTH(C4127)</f>
        <v/>
      </c>
      <c r="E4127">
        <f>'Календарь'!D43</f>
        <v/>
      </c>
      <c r="F4127">
        <f>INT((C4127-Нед_Начало)/7)+1</f>
        <v/>
      </c>
      <c r="G4127">
        <f>IF(E4127=0,0,INDEX('Планы менеджеров'!$B$5:$M$16,B4127,D4127)/INDEX(Мес_Раб,D4127))</f>
        <v/>
      </c>
    </row>
    <row r="4128">
      <c r="A4128" t="inlineStr">
        <is>
          <t>Павлова</t>
        </is>
      </c>
      <c r="B4128" t="n">
        <v>16</v>
      </c>
      <c r="C4128" s="18">
        <f>'Календарь'!A44</f>
        <v/>
      </c>
      <c r="D4128">
        <f>MONTH(C4128)</f>
        <v/>
      </c>
      <c r="E4128">
        <f>'Календарь'!D44</f>
        <v/>
      </c>
      <c r="F4128">
        <f>INT((C4128-Нед_Начало)/7)+1</f>
        <v/>
      </c>
      <c r="G4128">
        <f>IF(E4128=0,0,INDEX('Планы менеджеров'!$B$5:$M$16,B4128,D4128)/INDEX(Мес_Раб,D4128))</f>
        <v/>
      </c>
    </row>
    <row r="4129">
      <c r="A4129" t="inlineStr">
        <is>
          <t>Павлова</t>
        </is>
      </c>
      <c r="B4129" t="n">
        <v>16</v>
      </c>
      <c r="C4129" s="18">
        <f>'Календарь'!A45</f>
        <v/>
      </c>
      <c r="D4129">
        <f>MONTH(C4129)</f>
        <v/>
      </c>
      <c r="E4129">
        <f>'Календарь'!D45</f>
        <v/>
      </c>
      <c r="F4129">
        <f>INT((C4129-Нед_Начало)/7)+1</f>
        <v/>
      </c>
      <c r="G4129">
        <f>IF(E4129=0,0,INDEX('Планы менеджеров'!$B$5:$M$16,B4129,D4129)/INDEX(Мес_Раб,D4129))</f>
        <v/>
      </c>
    </row>
    <row r="4130">
      <c r="A4130" t="inlineStr">
        <is>
          <t>Павлова</t>
        </is>
      </c>
      <c r="B4130" t="n">
        <v>16</v>
      </c>
      <c r="C4130" s="18">
        <f>'Календарь'!A46</f>
        <v/>
      </c>
      <c r="D4130">
        <f>MONTH(C4130)</f>
        <v/>
      </c>
      <c r="E4130">
        <f>'Календарь'!D46</f>
        <v/>
      </c>
      <c r="F4130">
        <f>INT((C4130-Нед_Начало)/7)+1</f>
        <v/>
      </c>
      <c r="G4130">
        <f>IF(E4130=0,0,INDEX('Планы менеджеров'!$B$5:$M$16,B4130,D4130)/INDEX(Мес_Раб,D4130))</f>
        <v/>
      </c>
    </row>
    <row r="4131">
      <c r="A4131" t="inlineStr">
        <is>
          <t>Павлова</t>
        </is>
      </c>
      <c r="B4131" t="n">
        <v>16</v>
      </c>
      <c r="C4131" s="18">
        <f>'Календарь'!A47</f>
        <v/>
      </c>
      <c r="D4131">
        <f>MONTH(C4131)</f>
        <v/>
      </c>
      <c r="E4131">
        <f>'Календарь'!D47</f>
        <v/>
      </c>
      <c r="F4131">
        <f>INT((C4131-Нед_Начало)/7)+1</f>
        <v/>
      </c>
      <c r="G4131">
        <f>IF(E4131=0,0,INDEX('Планы менеджеров'!$B$5:$M$16,B4131,D4131)/INDEX(Мес_Раб,D4131))</f>
        <v/>
      </c>
    </row>
    <row r="4132">
      <c r="A4132" t="inlineStr">
        <is>
          <t>Павлова</t>
        </is>
      </c>
      <c r="B4132" t="n">
        <v>16</v>
      </c>
      <c r="C4132" s="18">
        <f>'Календарь'!A48</f>
        <v/>
      </c>
      <c r="D4132">
        <f>MONTH(C4132)</f>
        <v/>
      </c>
      <c r="E4132">
        <f>'Календарь'!D48</f>
        <v/>
      </c>
      <c r="F4132">
        <f>INT((C4132-Нед_Начало)/7)+1</f>
        <v/>
      </c>
      <c r="G4132">
        <f>IF(E4132=0,0,INDEX('Планы менеджеров'!$B$5:$M$16,B4132,D4132)/INDEX(Мес_Раб,D4132))</f>
        <v/>
      </c>
    </row>
    <row r="4133">
      <c r="A4133" t="inlineStr">
        <is>
          <t>Павлова</t>
        </is>
      </c>
      <c r="B4133" t="n">
        <v>16</v>
      </c>
      <c r="C4133" s="18">
        <f>'Календарь'!A49</f>
        <v/>
      </c>
      <c r="D4133">
        <f>MONTH(C4133)</f>
        <v/>
      </c>
      <c r="E4133">
        <f>'Календарь'!D49</f>
        <v/>
      </c>
      <c r="F4133">
        <f>INT((C4133-Нед_Начало)/7)+1</f>
        <v/>
      </c>
      <c r="G4133">
        <f>IF(E4133=0,0,INDEX('Планы менеджеров'!$B$5:$M$16,B4133,D4133)/INDEX(Мес_Раб,D4133))</f>
        <v/>
      </c>
    </row>
    <row r="4134">
      <c r="A4134" t="inlineStr">
        <is>
          <t>Павлова</t>
        </is>
      </c>
      <c r="B4134" t="n">
        <v>16</v>
      </c>
      <c r="C4134" s="18">
        <f>'Календарь'!A50</f>
        <v/>
      </c>
      <c r="D4134">
        <f>MONTH(C4134)</f>
        <v/>
      </c>
      <c r="E4134">
        <f>'Календарь'!D50</f>
        <v/>
      </c>
      <c r="F4134">
        <f>INT((C4134-Нед_Начало)/7)+1</f>
        <v/>
      </c>
      <c r="G4134">
        <f>IF(E4134=0,0,INDEX('Планы менеджеров'!$B$5:$M$16,B4134,D4134)/INDEX(Мес_Раб,D4134))</f>
        <v/>
      </c>
    </row>
    <row r="4135">
      <c r="A4135" t="inlineStr">
        <is>
          <t>Павлова</t>
        </is>
      </c>
      <c r="B4135" t="n">
        <v>16</v>
      </c>
      <c r="C4135" s="18">
        <f>'Календарь'!A51</f>
        <v/>
      </c>
      <c r="D4135">
        <f>MONTH(C4135)</f>
        <v/>
      </c>
      <c r="E4135">
        <f>'Календарь'!D51</f>
        <v/>
      </c>
      <c r="F4135">
        <f>INT((C4135-Нед_Начало)/7)+1</f>
        <v/>
      </c>
      <c r="G4135">
        <f>IF(E4135=0,0,INDEX('Планы менеджеров'!$B$5:$M$16,B4135,D4135)/INDEX(Мес_Раб,D4135))</f>
        <v/>
      </c>
    </row>
    <row r="4136">
      <c r="A4136" t="inlineStr">
        <is>
          <t>Павлова</t>
        </is>
      </c>
      <c r="B4136" t="n">
        <v>16</v>
      </c>
      <c r="C4136" s="18">
        <f>'Календарь'!A52</f>
        <v/>
      </c>
      <c r="D4136">
        <f>MONTH(C4136)</f>
        <v/>
      </c>
      <c r="E4136">
        <f>'Календарь'!D52</f>
        <v/>
      </c>
      <c r="F4136">
        <f>INT((C4136-Нед_Начало)/7)+1</f>
        <v/>
      </c>
      <c r="G4136">
        <f>IF(E4136=0,0,INDEX('Планы менеджеров'!$B$5:$M$16,B4136,D4136)/INDEX(Мес_Раб,D4136))</f>
        <v/>
      </c>
    </row>
    <row r="4137">
      <c r="A4137" t="inlineStr">
        <is>
          <t>Павлова</t>
        </is>
      </c>
      <c r="B4137" t="n">
        <v>16</v>
      </c>
      <c r="C4137" s="18">
        <f>'Календарь'!A53</f>
        <v/>
      </c>
      <c r="D4137">
        <f>MONTH(C4137)</f>
        <v/>
      </c>
      <c r="E4137">
        <f>'Календарь'!D53</f>
        <v/>
      </c>
      <c r="F4137">
        <f>INT((C4137-Нед_Начало)/7)+1</f>
        <v/>
      </c>
      <c r="G4137">
        <f>IF(E4137=0,0,INDEX('Планы менеджеров'!$B$5:$M$16,B4137,D4137)/INDEX(Мес_Раб,D4137))</f>
        <v/>
      </c>
    </row>
    <row r="4138">
      <c r="A4138" t="inlineStr">
        <is>
          <t>Павлова</t>
        </is>
      </c>
      <c r="B4138" t="n">
        <v>16</v>
      </c>
      <c r="C4138" s="18">
        <f>'Календарь'!A54</f>
        <v/>
      </c>
      <c r="D4138">
        <f>MONTH(C4138)</f>
        <v/>
      </c>
      <c r="E4138">
        <f>'Календарь'!D54</f>
        <v/>
      </c>
      <c r="F4138">
        <f>INT((C4138-Нед_Начало)/7)+1</f>
        <v/>
      </c>
      <c r="G4138">
        <f>IF(E4138=0,0,INDEX('Планы менеджеров'!$B$5:$M$16,B4138,D4138)/INDEX(Мес_Раб,D4138))</f>
        <v/>
      </c>
    </row>
    <row r="4139">
      <c r="A4139" t="inlineStr">
        <is>
          <t>Павлова</t>
        </is>
      </c>
      <c r="B4139" t="n">
        <v>16</v>
      </c>
      <c r="C4139" s="18">
        <f>'Календарь'!A55</f>
        <v/>
      </c>
      <c r="D4139">
        <f>MONTH(C4139)</f>
        <v/>
      </c>
      <c r="E4139">
        <f>'Календарь'!D55</f>
        <v/>
      </c>
      <c r="F4139">
        <f>INT((C4139-Нед_Начало)/7)+1</f>
        <v/>
      </c>
      <c r="G4139">
        <f>IF(E4139=0,0,INDEX('Планы менеджеров'!$B$5:$M$16,B4139,D4139)/INDEX(Мес_Раб,D4139))</f>
        <v/>
      </c>
    </row>
    <row r="4140">
      <c r="A4140" t="inlineStr">
        <is>
          <t>Павлова</t>
        </is>
      </c>
      <c r="B4140" t="n">
        <v>16</v>
      </c>
      <c r="C4140" s="18">
        <f>'Календарь'!A56</f>
        <v/>
      </c>
      <c r="D4140">
        <f>MONTH(C4140)</f>
        <v/>
      </c>
      <c r="E4140">
        <f>'Календарь'!D56</f>
        <v/>
      </c>
      <c r="F4140">
        <f>INT((C4140-Нед_Начало)/7)+1</f>
        <v/>
      </c>
      <c r="G4140">
        <f>IF(E4140=0,0,INDEX('Планы менеджеров'!$B$5:$M$16,B4140,D4140)/INDEX(Мес_Раб,D4140))</f>
        <v/>
      </c>
    </row>
    <row r="4141">
      <c r="A4141" t="inlineStr">
        <is>
          <t>Павлова</t>
        </is>
      </c>
      <c r="B4141" t="n">
        <v>16</v>
      </c>
      <c r="C4141" s="18">
        <f>'Календарь'!A57</f>
        <v/>
      </c>
      <c r="D4141">
        <f>MONTH(C4141)</f>
        <v/>
      </c>
      <c r="E4141">
        <f>'Календарь'!D57</f>
        <v/>
      </c>
      <c r="F4141">
        <f>INT((C4141-Нед_Начало)/7)+1</f>
        <v/>
      </c>
      <c r="G4141">
        <f>IF(E4141=0,0,INDEX('Планы менеджеров'!$B$5:$M$16,B4141,D4141)/INDEX(Мес_Раб,D4141))</f>
        <v/>
      </c>
    </row>
    <row r="4142">
      <c r="A4142" t="inlineStr">
        <is>
          <t>Павлова</t>
        </is>
      </c>
      <c r="B4142" t="n">
        <v>16</v>
      </c>
      <c r="C4142" s="18">
        <f>'Календарь'!A58</f>
        <v/>
      </c>
      <c r="D4142">
        <f>MONTH(C4142)</f>
        <v/>
      </c>
      <c r="E4142">
        <f>'Календарь'!D58</f>
        <v/>
      </c>
      <c r="F4142">
        <f>INT((C4142-Нед_Начало)/7)+1</f>
        <v/>
      </c>
      <c r="G4142">
        <f>IF(E4142=0,0,INDEX('Планы менеджеров'!$B$5:$M$16,B4142,D4142)/INDEX(Мес_Раб,D4142))</f>
        <v/>
      </c>
    </row>
    <row r="4143">
      <c r="A4143" t="inlineStr">
        <is>
          <t>Павлова</t>
        </is>
      </c>
      <c r="B4143" t="n">
        <v>16</v>
      </c>
      <c r="C4143" s="18">
        <f>'Календарь'!A59</f>
        <v/>
      </c>
      <c r="D4143">
        <f>MONTH(C4143)</f>
        <v/>
      </c>
      <c r="E4143">
        <f>'Календарь'!D59</f>
        <v/>
      </c>
      <c r="F4143">
        <f>INT((C4143-Нед_Начало)/7)+1</f>
        <v/>
      </c>
      <c r="G4143">
        <f>IF(E4143=0,0,INDEX('Планы менеджеров'!$B$5:$M$16,B4143,D4143)/INDEX(Мес_Раб,D4143))</f>
        <v/>
      </c>
    </row>
    <row r="4144">
      <c r="A4144" t="inlineStr">
        <is>
          <t>Павлова</t>
        </is>
      </c>
      <c r="B4144" t="n">
        <v>16</v>
      </c>
      <c r="C4144" s="18">
        <f>'Календарь'!A60</f>
        <v/>
      </c>
      <c r="D4144">
        <f>MONTH(C4144)</f>
        <v/>
      </c>
      <c r="E4144">
        <f>'Календарь'!D60</f>
        <v/>
      </c>
      <c r="F4144">
        <f>INT((C4144-Нед_Начало)/7)+1</f>
        <v/>
      </c>
      <c r="G4144">
        <f>IF(E4144=0,0,INDEX('Планы менеджеров'!$B$5:$M$16,B4144,D4144)/INDEX(Мес_Раб,D4144))</f>
        <v/>
      </c>
    </row>
    <row r="4145">
      <c r="A4145" t="inlineStr">
        <is>
          <t>Павлова</t>
        </is>
      </c>
      <c r="B4145" t="n">
        <v>16</v>
      </c>
      <c r="C4145" s="18">
        <f>'Календарь'!A61</f>
        <v/>
      </c>
      <c r="D4145">
        <f>MONTH(C4145)</f>
        <v/>
      </c>
      <c r="E4145">
        <f>'Календарь'!D61</f>
        <v/>
      </c>
      <c r="F4145">
        <f>INT((C4145-Нед_Начало)/7)+1</f>
        <v/>
      </c>
      <c r="G4145">
        <f>IF(E4145=0,0,INDEX('Планы менеджеров'!$B$5:$M$16,B4145,D4145)/INDEX(Мес_Раб,D4145))</f>
        <v/>
      </c>
    </row>
    <row r="4146">
      <c r="A4146" t="inlineStr">
        <is>
          <t>Павлова</t>
        </is>
      </c>
      <c r="B4146" t="n">
        <v>16</v>
      </c>
      <c r="C4146" s="18">
        <f>'Календарь'!A62</f>
        <v/>
      </c>
      <c r="D4146">
        <f>MONTH(C4146)</f>
        <v/>
      </c>
      <c r="E4146">
        <f>'Календарь'!D62</f>
        <v/>
      </c>
      <c r="F4146">
        <f>INT((C4146-Нед_Начало)/7)+1</f>
        <v/>
      </c>
      <c r="G4146">
        <f>IF(E4146=0,0,INDEX('Планы менеджеров'!$B$5:$M$16,B4146,D4146)/INDEX(Мес_Раб,D4146))</f>
        <v/>
      </c>
    </row>
    <row r="4147">
      <c r="A4147" t="inlineStr">
        <is>
          <t>Павлова</t>
        </is>
      </c>
      <c r="B4147" t="n">
        <v>16</v>
      </c>
      <c r="C4147" s="18">
        <f>'Календарь'!A63</f>
        <v/>
      </c>
      <c r="D4147">
        <f>MONTH(C4147)</f>
        <v/>
      </c>
      <c r="E4147">
        <f>'Календарь'!D63</f>
        <v/>
      </c>
      <c r="F4147">
        <f>INT((C4147-Нед_Начало)/7)+1</f>
        <v/>
      </c>
      <c r="G4147">
        <f>IF(E4147=0,0,INDEX('Планы менеджеров'!$B$5:$M$16,B4147,D4147)/INDEX(Мес_Раб,D4147))</f>
        <v/>
      </c>
    </row>
    <row r="4148">
      <c r="A4148" t="inlineStr">
        <is>
          <t>Павлова</t>
        </is>
      </c>
      <c r="B4148" t="n">
        <v>16</v>
      </c>
      <c r="C4148" s="18">
        <f>'Календарь'!A64</f>
        <v/>
      </c>
      <c r="D4148">
        <f>MONTH(C4148)</f>
        <v/>
      </c>
      <c r="E4148">
        <f>'Календарь'!D64</f>
        <v/>
      </c>
      <c r="F4148">
        <f>INT((C4148-Нед_Начало)/7)+1</f>
        <v/>
      </c>
      <c r="G4148">
        <f>IF(E4148=0,0,INDEX('Планы менеджеров'!$B$5:$M$16,B4148,D4148)/INDEX(Мес_Раб,D4148))</f>
        <v/>
      </c>
    </row>
    <row r="4149">
      <c r="A4149" t="inlineStr">
        <is>
          <t>Павлова</t>
        </is>
      </c>
      <c r="B4149" t="n">
        <v>16</v>
      </c>
      <c r="C4149" s="18">
        <f>'Календарь'!A65</f>
        <v/>
      </c>
      <c r="D4149">
        <f>MONTH(C4149)</f>
        <v/>
      </c>
      <c r="E4149">
        <f>'Календарь'!D65</f>
        <v/>
      </c>
      <c r="F4149">
        <f>INT((C4149-Нед_Начало)/7)+1</f>
        <v/>
      </c>
      <c r="G4149">
        <f>IF(E4149=0,0,INDEX('Планы менеджеров'!$B$5:$M$16,B4149,D4149)/INDEX(Мес_Раб,D4149))</f>
        <v/>
      </c>
    </row>
    <row r="4150">
      <c r="A4150" t="inlineStr">
        <is>
          <t>Павлова</t>
        </is>
      </c>
      <c r="B4150" t="n">
        <v>16</v>
      </c>
      <c r="C4150" s="18">
        <f>'Календарь'!A66</f>
        <v/>
      </c>
      <c r="D4150">
        <f>MONTH(C4150)</f>
        <v/>
      </c>
      <c r="E4150">
        <f>'Календарь'!D66</f>
        <v/>
      </c>
      <c r="F4150">
        <f>INT((C4150-Нед_Начало)/7)+1</f>
        <v/>
      </c>
      <c r="G4150">
        <f>IF(E4150=0,0,INDEX('Планы менеджеров'!$B$5:$M$16,B4150,D4150)/INDEX(Мес_Раб,D4150))</f>
        <v/>
      </c>
    </row>
    <row r="4151">
      <c r="A4151" t="inlineStr">
        <is>
          <t>Павлова</t>
        </is>
      </c>
      <c r="B4151" t="n">
        <v>16</v>
      </c>
      <c r="C4151" s="18">
        <f>'Календарь'!A67</f>
        <v/>
      </c>
      <c r="D4151">
        <f>MONTH(C4151)</f>
        <v/>
      </c>
      <c r="E4151">
        <f>'Календарь'!D67</f>
        <v/>
      </c>
      <c r="F4151">
        <f>INT((C4151-Нед_Начало)/7)+1</f>
        <v/>
      </c>
      <c r="G4151">
        <f>IF(E4151=0,0,INDEX('Планы менеджеров'!$B$5:$M$16,B4151,D4151)/INDEX(Мес_Раб,D4151))</f>
        <v/>
      </c>
    </row>
    <row r="4152">
      <c r="A4152" t="inlineStr">
        <is>
          <t>Павлова</t>
        </is>
      </c>
      <c r="B4152" t="n">
        <v>16</v>
      </c>
      <c r="C4152" s="18">
        <f>'Календарь'!A68</f>
        <v/>
      </c>
      <c r="D4152">
        <f>MONTH(C4152)</f>
        <v/>
      </c>
      <c r="E4152">
        <f>'Календарь'!D68</f>
        <v/>
      </c>
      <c r="F4152">
        <f>INT((C4152-Нед_Начало)/7)+1</f>
        <v/>
      </c>
      <c r="G4152">
        <f>IF(E4152=0,0,INDEX('Планы менеджеров'!$B$5:$M$16,B4152,D4152)/INDEX(Мес_Раб,D4152))</f>
        <v/>
      </c>
    </row>
    <row r="4153">
      <c r="A4153" t="inlineStr">
        <is>
          <t>Павлова</t>
        </is>
      </c>
      <c r="B4153" t="n">
        <v>16</v>
      </c>
      <c r="C4153" s="18">
        <f>'Календарь'!A69</f>
        <v/>
      </c>
      <c r="D4153">
        <f>MONTH(C4153)</f>
        <v/>
      </c>
      <c r="E4153">
        <f>'Календарь'!D69</f>
        <v/>
      </c>
      <c r="F4153">
        <f>INT((C4153-Нед_Начало)/7)+1</f>
        <v/>
      </c>
      <c r="G4153">
        <f>IF(E4153=0,0,INDEX('Планы менеджеров'!$B$5:$M$16,B4153,D4153)/INDEX(Мес_Раб,D4153))</f>
        <v/>
      </c>
    </row>
    <row r="4154">
      <c r="A4154" t="inlineStr">
        <is>
          <t>Павлова</t>
        </is>
      </c>
      <c r="B4154" t="n">
        <v>16</v>
      </c>
      <c r="C4154" s="18">
        <f>'Календарь'!A70</f>
        <v/>
      </c>
      <c r="D4154">
        <f>MONTH(C4154)</f>
        <v/>
      </c>
      <c r="E4154">
        <f>'Календарь'!D70</f>
        <v/>
      </c>
      <c r="F4154">
        <f>INT((C4154-Нед_Начало)/7)+1</f>
        <v/>
      </c>
      <c r="G4154">
        <f>IF(E4154=0,0,INDEX('Планы менеджеров'!$B$5:$M$16,B4154,D4154)/INDEX(Мес_Раб,D4154))</f>
        <v/>
      </c>
    </row>
    <row r="4155">
      <c r="A4155" t="inlineStr">
        <is>
          <t>Павлова</t>
        </is>
      </c>
      <c r="B4155" t="n">
        <v>16</v>
      </c>
      <c r="C4155" s="18">
        <f>'Календарь'!A71</f>
        <v/>
      </c>
      <c r="D4155">
        <f>MONTH(C4155)</f>
        <v/>
      </c>
      <c r="E4155">
        <f>'Календарь'!D71</f>
        <v/>
      </c>
      <c r="F4155">
        <f>INT((C4155-Нед_Начало)/7)+1</f>
        <v/>
      </c>
      <c r="G4155">
        <f>IF(E4155=0,0,INDEX('Планы менеджеров'!$B$5:$M$16,B4155,D4155)/INDEX(Мес_Раб,D4155))</f>
        <v/>
      </c>
    </row>
    <row r="4156">
      <c r="A4156" t="inlineStr">
        <is>
          <t>Павлова</t>
        </is>
      </c>
      <c r="B4156" t="n">
        <v>16</v>
      </c>
      <c r="C4156" s="18">
        <f>'Календарь'!A72</f>
        <v/>
      </c>
      <c r="D4156">
        <f>MONTH(C4156)</f>
        <v/>
      </c>
      <c r="E4156">
        <f>'Календарь'!D72</f>
        <v/>
      </c>
      <c r="F4156">
        <f>INT((C4156-Нед_Начало)/7)+1</f>
        <v/>
      </c>
      <c r="G4156">
        <f>IF(E4156=0,0,INDEX('Планы менеджеров'!$B$5:$M$16,B4156,D4156)/INDEX(Мес_Раб,D4156))</f>
        <v/>
      </c>
    </row>
    <row r="4157">
      <c r="A4157" t="inlineStr">
        <is>
          <t>Павлова</t>
        </is>
      </c>
      <c r="B4157" t="n">
        <v>16</v>
      </c>
      <c r="C4157" s="18">
        <f>'Календарь'!A73</f>
        <v/>
      </c>
      <c r="D4157">
        <f>MONTH(C4157)</f>
        <v/>
      </c>
      <c r="E4157">
        <f>'Календарь'!D73</f>
        <v/>
      </c>
      <c r="F4157">
        <f>INT((C4157-Нед_Начало)/7)+1</f>
        <v/>
      </c>
      <c r="G4157">
        <f>IF(E4157=0,0,INDEX('Планы менеджеров'!$B$5:$M$16,B4157,D4157)/INDEX(Мес_Раб,D4157))</f>
        <v/>
      </c>
    </row>
    <row r="4158">
      <c r="A4158" t="inlineStr">
        <is>
          <t>Павлова</t>
        </is>
      </c>
      <c r="B4158" t="n">
        <v>16</v>
      </c>
      <c r="C4158" s="18">
        <f>'Календарь'!A74</f>
        <v/>
      </c>
      <c r="D4158">
        <f>MONTH(C4158)</f>
        <v/>
      </c>
      <c r="E4158">
        <f>'Календарь'!D74</f>
        <v/>
      </c>
      <c r="F4158">
        <f>INT((C4158-Нед_Начало)/7)+1</f>
        <v/>
      </c>
      <c r="G4158">
        <f>IF(E4158=0,0,INDEX('Планы менеджеров'!$B$5:$M$16,B4158,D4158)/INDEX(Мес_Раб,D4158))</f>
        <v/>
      </c>
    </row>
    <row r="4159">
      <c r="A4159" t="inlineStr">
        <is>
          <t>Павлова</t>
        </is>
      </c>
      <c r="B4159" t="n">
        <v>16</v>
      </c>
      <c r="C4159" s="18">
        <f>'Календарь'!A75</f>
        <v/>
      </c>
      <c r="D4159">
        <f>MONTH(C4159)</f>
        <v/>
      </c>
      <c r="E4159">
        <f>'Календарь'!D75</f>
        <v/>
      </c>
      <c r="F4159">
        <f>INT((C4159-Нед_Начало)/7)+1</f>
        <v/>
      </c>
      <c r="G4159">
        <f>IF(E4159=0,0,INDEX('Планы менеджеров'!$B$5:$M$16,B4159,D4159)/INDEX(Мес_Раб,D4159))</f>
        <v/>
      </c>
    </row>
    <row r="4160">
      <c r="A4160" t="inlineStr">
        <is>
          <t>Павлова</t>
        </is>
      </c>
      <c r="B4160" t="n">
        <v>16</v>
      </c>
      <c r="C4160" s="18">
        <f>'Календарь'!A76</f>
        <v/>
      </c>
      <c r="D4160">
        <f>MONTH(C4160)</f>
        <v/>
      </c>
      <c r="E4160">
        <f>'Календарь'!D76</f>
        <v/>
      </c>
      <c r="F4160">
        <f>INT((C4160-Нед_Начало)/7)+1</f>
        <v/>
      </c>
      <c r="G4160">
        <f>IF(E4160=0,0,INDEX('Планы менеджеров'!$B$5:$M$16,B4160,D4160)/INDEX(Мес_Раб,D4160))</f>
        <v/>
      </c>
    </row>
    <row r="4161">
      <c r="A4161" t="inlineStr">
        <is>
          <t>Павлова</t>
        </is>
      </c>
      <c r="B4161" t="n">
        <v>16</v>
      </c>
      <c r="C4161" s="18">
        <f>'Календарь'!A77</f>
        <v/>
      </c>
      <c r="D4161">
        <f>MONTH(C4161)</f>
        <v/>
      </c>
      <c r="E4161">
        <f>'Календарь'!D77</f>
        <v/>
      </c>
      <c r="F4161">
        <f>INT((C4161-Нед_Начало)/7)+1</f>
        <v/>
      </c>
      <c r="G4161">
        <f>IF(E4161=0,0,INDEX('Планы менеджеров'!$B$5:$M$16,B4161,D4161)/INDEX(Мес_Раб,D4161))</f>
        <v/>
      </c>
    </row>
    <row r="4162">
      <c r="A4162" t="inlineStr">
        <is>
          <t>Павлова</t>
        </is>
      </c>
      <c r="B4162" t="n">
        <v>16</v>
      </c>
      <c r="C4162" s="18">
        <f>'Календарь'!A78</f>
        <v/>
      </c>
      <c r="D4162">
        <f>MONTH(C4162)</f>
        <v/>
      </c>
      <c r="E4162">
        <f>'Календарь'!D78</f>
        <v/>
      </c>
      <c r="F4162">
        <f>INT((C4162-Нед_Начало)/7)+1</f>
        <v/>
      </c>
      <c r="G4162">
        <f>IF(E4162=0,0,INDEX('Планы менеджеров'!$B$5:$M$16,B4162,D4162)/INDEX(Мес_Раб,D4162))</f>
        <v/>
      </c>
    </row>
    <row r="4163">
      <c r="A4163" t="inlineStr">
        <is>
          <t>Павлова</t>
        </is>
      </c>
      <c r="B4163" t="n">
        <v>16</v>
      </c>
      <c r="C4163" s="18">
        <f>'Календарь'!A79</f>
        <v/>
      </c>
      <c r="D4163">
        <f>MONTH(C4163)</f>
        <v/>
      </c>
      <c r="E4163">
        <f>'Календарь'!D79</f>
        <v/>
      </c>
      <c r="F4163">
        <f>INT((C4163-Нед_Начало)/7)+1</f>
        <v/>
      </c>
      <c r="G4163">
        <f>IF(E4163=0,0,INDEX('Планы менеджеров'!$B$5:$M$16,B4163,D4163)/INDEX(Мес_Раб,D4163))</f>
        <v/>
      </c>
    </row>
    <row r="4164">
      <c r="A4164" t="inlineStr">
        <is>
          <t>Павлова</t>
        </is>
      </c>
      <c r="B4164" t="n">
        <v>16</v>
      </c>
      <c r="C4164" s="18">
        <f>'Календарь'!A80</f>
        <v/>
      </c>
      <c r="D4164">
        <f>MONTH(C4164)</f>
        <v/>
      </c>
      <c r="E4164">
        <f>'Календарь'!D80</f>
        <v/>
      </c>
      <c r="F4164">
        <f>INT((C4164-Нед_Начало)/7)+1</f>
        <v/>
      </c>
      <c r="G4164">
        <f>IF(E4164=0,0,INDEX('Планы менеджеров'!$B$5:$M$16,B4164,D4164)/INDEX(Мес_Раб,D4164))</f>
        <v/>
      </c>
    </row>
    <row r="4165">
      <c r="A4165" t="inlineStr">
        <is>
          <t>Павлова</t>
        </is>
      </c>
      <c r="B4165" t="n">
        <v>16</v>
      </c>
      <c r="C4165" s="18">
        <f>'Календарь'!A81</f>
        <v/>
      </c>
      <c r="D4165">
        <f>MONTH(C4165)</f>
        <v/>
      </c>
      <c r="E4165">
        <f>'Календарь'!D81</f>
        <v/>
      </c>
      <c r="F4165">
        <f>INT((C4165-Нед_Начало)/7)+1</f>
        <v/>
      </c>
      <c r="G4165">
        <f>IF(E4165=0,0,INDEX('Планы менеджеров'!$B$5:$M$16,B4165,D4165)/INDEX(Мес_Раб,D4165))</f>
        <v/>
      </c>
    </row>
    <row r="4166">
      <c r="A4166" t="inlineStr">
        <is>
          <t>Павлова</t>
        </is>
      </c>
      <c r="B4166" t="n">
        <v>16</v>
      </c>
      <c r="C4166" s="18">
        <f>'Календарь'!A82</f>
        <v/>
      </c>
      <c r="D4166">
        <f>MONTH(C4166)</f>
        <v/>
      </c>
      <c r="E4166">
        <f>'Календарь'!D82</f>
        <v/>
      </c>
      <c r="F4166">
        <f>INT((C4166-Нед_Начало)/7)+1</f>
        <v/>
      </c>
      <c r="G4166">
        <f>IF(E4166=0,0,INDEX('Планы менеджеров'!$B$5:$M$16,B4166,D4166)/INDEX(Мес_Раб,D4166))</f>
        <v/>
      </c>
    </row>
    <row r="4167">
      <c r="A4167" t="inlineStr">
        <is>
          <t>Павлова</t>
        </is>
      </c>
      <c r="B4167" t="n">
        <v>16</v>
      </c>
      <c r="C4167" s="18">
        <f>'Календарь'!A83</f>
        <v/>
      </c>
      <c r="D4167">
        <f>MONTH(C4167)</f>
        <v/>
      </c>
      <c r="E4167">
        <f>'Календарь'!D83</f>
        <v/>
      </c>
      <c r="F4167">
        <f>INT((C4167-Нед_Начало)/7)+1</f>
        <v/>
      </c>
      <c r="G4167">
        <f>IF(E4167=0,0,INDEX('Планы менеджеров'!$B$5:$M$16,B4167,D4167)/INDEX(Мес_Раб,D4167))</f>
        <v/>
      </c>
    </row>
    <row r="4168">
      <c r="A4168" t="inlineStr">
        <is>
          <t>Павлова</t>
        </is>
      </c>
      <c r="B4168" t="n">
        <v>16</v>
      </c>
      <c r="C4168" s="18">
        <f>'Календарь'!A84</f>
        <v/>
      </c>
      <c r="D4168">
        <f>MONTH(C4168)</f>
        <v/>
      </c>
      <c r="E4168">
        <f>'Календарь'!D84</f>
        <v/>
      </c>
      <c r="F4168">
        <f>INT((C4168-Нед_Начало)/7)+1</f>
        <v/>
      </c>
      <c r="G4168">
        <f>IF(E4168=0,0,INDEX('Планы менеджеров'!$B$5:$M$16,B4168,D4168)/INDEX(Мес_Раб,D4168))</f>
        <v/>
      </c>
    </row>
    <row r="4169">
      <c r="A4169" t="inlineStr">
        <is>
          <t>Павлова</t>
        </is>
      </c>
      <c r="B4169" t="n">
        <v>16</v>
      </c>
      <c r="C4169" s="18">
        <f>'Календарь'!A85</f>
        <v/>
      </c>
      <c r="D4169">
        <f>MONTH(C4169)</f>
        <v/>
      </c>
      <c r="E4169">
        <f>'Календарь'!D85</f>
        <v/>
      </c>
      <c r="F4169">
        <f>INT((C4169-Нед_Начало)/7)+1</f>
        <v/>
      </c>
      <c r="G4169">
        <f>IF(E4169=0,0,INDEX('Планы менеджеров'!$B$5:$M$16,B4169,D4169)/INDEX(Мес_Раб,D4169))</f>
        <v/>
      </c>
    </row>
    <row r="4170">
      <c r="A4170" t="inlineStr">
        <is>
          <t>Павлова</t>
        </is>
      </c>
      <c r="B4170" t="n">
        <v>16</v>
      </c>
      <c r="C4170" s="18">
        <f>'Календарь'!A86</f>
        <v/>
      </c>
      <c r="D4170">
        <f>MONTH(C4170)</f>
        <v/>
      </c>
      <c r="E4170">
        <f>'Календарь'!D86</f>
        <v/>
      </c>
      <c r="F4170">
        <f>INT((C4170-Нед_Начало)/7)+1</f>
        <v/>
      </c>
      <c r="G4170">
        <f>IF(E4170=0,0,INDEX('Планы менеджеров'!$B$5:$M$16,B4170,D4170)/INDEX(Мес_Раб,D4170))</f>
        <v/>
      </c>
    </row>
    <row r="4171">
      <c r="A4171" t="inlineStr">
        <is>
          <t>Павлова</t>
        </is>
      </c>
      <c r="B4171" t="n">
        <v>16</v>
      </c>
      <c r="C4171" s="18">
        <f>'Календарь'!A87</f>
        <v/>
      </c>
      <c r="D4171">
        <f>MONTH(C4171)</f>
        <v/>
      </c>
      <c r="E4171">
        <f>'Календарь'!D87</f>
        <v/>
      </c>
      <c r="F4171">
        <f>INT((C4171-Нед_Начало)/7)+1</f>
        <v/>
      </c>
      <c r="G4171">
        <f>IF(E4171=0,0,INDEX('Планы менеджеров'!$B$5:$M$16,B4171,D4171)/INDEX(Мес_Раб,D4171))</f>
        <v/>
      </c>
    </row>
    <row r="4172">
      <c r="A4172" t="inlineStr">
        <is>
          <t>Павлова</t>
        </is>
      </c>
      <c r="B4172" t="n">
        <v>16</v>
      </c>
      <c r="C4172" s="18">
        <f>'Календарь'!A88</f>
        <v/>
      </c>
      <c r="D4172">
        <f>MONTH(C4172)</f>
        <v/>
      </c>
      <c r="E4172">
        <f>'Календарь'!D88</f>
        <v/>
      </c>
      <c r="F4172">
        <f>INT((C4172-Нед_Начало)/7)+1</f>
        <v/>
      </c>
      <c r="G4172">
        <f>IF(E4172=0,0,INDEX('Планы менеджеров'!$B$5:$M$16,B4172,D4172)/INDEX(Мес_Раб,D4172))</f>
        <v/>
      </c>
    </row>
    <row r="4173">
      <c r="A4173" t="inlineStr">
        <is>
          <t>Павлова</t>
        </is>
      </c>
      <c r="B4173" t="n">
        <v>16</v>
      </c>
      <c r="C4173" s="18">
        <f>'Календарь'!A89</f>
        <v/>
      </c>
      <c r="D4173">
        <f>MONTH(C4173)</f>
        <v/>
      </c>
      <c r="E4173">
        <f>'Календарь'!D89</f>
        <v/>
      </c>
      <c r="F4173">
        <f>INT((C4173-Нед_Начало)/7)+1</f>
        <v/>
      </c>
      <c r="G4173">
        <f>IF(E4173=0,0,INDEX('Планы менеджеров'!$B$5:$M$16,B4173,D4173)/INDEX(Мес_Раб,D4173))</f>
        <v/>
      </c>
    </row>
    <row r="4174">
      <c r="A4174" t="inlineStr">
        <is>
          <t>Павлова</t>
        </is>
      </c>
      <c r="B4174" t="n">
        <v>16</v>
      </c>
      <c r="C4174" s="18">
        <f>'Календарь'!A90</f>
        <v/>
      </c>
      <c r="D4174">
        <f>MONTH(C4174)</f>
        <v/>
      </c>
      <c r="E4174">
        <f>'Календарь'!D90</f>
        <v/>
      </c>
      <c r="F4174">
        <f>INT((C4174-Нед_Начало)/7)+1</f>
        <v/>
      </c>
      <c r="G4174">
        <f>IF(E4174=0,0,INDEX('Планы менеджеров'!$B$5:$M$16,B4174,D4174)/INDEX(Мес_Раб,D4174))</f>
        <v/>
      </c>
    </row>
    <row r="4175">
      <c r="A4175" t="inlineStr">
        <is>
          <t>Павлова</t>
        </is>
      </c>
      <c r="B4175" t="n">
        <v>16</v>
      </c>
      <c r="C4175" s="18">
        <f>'Календарь'!A91</f>
        <v/>
      </c>
      <c r="D4175">
        <f>MONTH(C4175)</f>
        <v/>
      </c>
      <c r="E4175">
        <f>'Календарь'!D91</f>
        <v/>
      </c>
      <c r="F4175">
        <f>INT((C4175-Нед_Начало)/7)+1</f>
        <v/>
      </c>
      <c r="G4175">
        <f>IF(E4175=0,0,INDEX('Планы менеджеров'!$B$5:$M$16,B4175,D4175)/INDEX(Мес_Раб,D4175))</f>
        <v/>
      </c>
    </row>
    <row r="4176">
      <c r="A4176" t="inlineStr">
        <is>
          <t>Павлова</t>
        </is>
      </c>
      <c r="B4176" t="n">
        <v>16</v>
      </c>
      <c r="C4176" s="18">
        <f>'Календарь'!A92</f>
        <v/>
      </c>
      <c r="D4176">
        <f>MONTH(C4176)</f>
        <v/>
      </c>
      <c r="E4176">
        <f>'Календарь'!D92</f>
        <v/>
      </c>
      <c r="F4176">
        <f>INT((C4176-Нед_Начало)/7)+1</f>
        <v/>
      </c>
      <c r="G4176">
        <f>IF(E4176=0,0,INDEX('Планы менеджеров'!$B$5:$M$16,B4176,D4176)/INDEX(Мес_Раб,D4176))</f>
        <v/>
      </c>
    </row>
    <row r="4177">
      <c r="A4177" t="inlineStr">
        <is>
          <t>Павлова</t>
        </is>
      </c>
      <c r="B4177" t="n">
        <v>16</v>
      </c>
      <c r="C4177" s="18">
        <f>'Календарь'!A93</f>
        <v/>
      </c>
      <c r="D4177">
        <f>MONTH(C4177)</f>
        <v/>
      </c>
      <c r="E4177">
        <f>'Календарь'!D93</f>
        <v/>
      </c>
      <c r="F4177">
        <f>INT((C4177-Нед_Начало)/7)+1</f>
        <v/>
      </c>
      <c r="G4177">
        <f>IF(E4177=0,0,INDEX('Планы менеджеров'!$B$5:$M$16,B4177,D4177)/INDEX(Мес_Раб,D4177))</f>
        <v/>
      </c>
    </row>
    <row r="4178">
      <c r="A4178" t="inlineStr">
        <is>
          <t>Павлова</t>
        </is>
      </c>
      <c r="B4178" t="n">
        <v>16</v>
      </c>
      <c r="C4178" s="18">
        <f>'Календарь'!A94</f>
        <v/>
      </c>
      <c r="D4178">
        <f>MONTH(C4178)</f>
        <v/>
      </c>
      <c r="E4178">
        <f>'Календарь'!D94</f>
        <v/>
      </c>
      <c r="F4178">
        <f>INT((C4178-Нед_Начало)/7)+1</f>
        <v/>
      </c>
      <c r="G4178">
        <f>IF(E4178=0,0,INDEX('Планы менеджеров'!$B$5:$M$16,B4178,D4178)/INDEX(Мес_Раб,D4178))</f>
        <v/>
      </c>
    </row>
    <row r="4179">
      <c r="A4179" t="inlineStr">
        <is>
          <t>Павлова</t>
        </is>
      </c>
      <c r="B4179" t="n">
        <v>16</v>
      </c>
      <c r="C4179" s="18">
        <f>'Календарь'!A95</f>
        <v/>
      </c>
      <c r="D4179">
        <f>MONTH(C4179)</f>
        <v/>
      </c>
      <c r="E4179">
        <f>'Календарь'!D95</f>
        <v/>
      </c>
      <c r="F4179">
        <f>INT((C4179-Нед_Начало)/7)+1</f>
        <v/>
      </c>
      <c r="G4179">
        <f>IF(E4179=0,0,INDEX('Планы менеджеров'!$B$5:$M$16,B4179,D4179)/INDEX(Мес_Раб,D4179))</f>
        <v/>
      </c>
    </row>
    <row r="4180">
      <c r="A4180" t="inlineStr">
        <is>
          <t>Павлова</t>
        </is>
      </c>
      <c r="B4180" t="n">
        <v>16</v>
      </c>
      <c r="C4180" s="18">
        <f>'Календарь'!A96</f>
        <v/>
      </c>
      <c r="D4180">
        <f>MONTH(C4180)</f>
        <v/>
      </c>
      <c r="E4180">
        <f>'Календарь'!D96</f>
        <v/>
      </c>
      <c r="F4180">
        <f>INT((C4180-Нед_Начало)/7)+1</f>
        <v/>
      </c>
      <c r="G4180">
        <f>IF(E4180=0,0,INDEX('Планы менеджеров'!$B$5:$M$16,B4180,D4180)/INDEX(Мес_Раб,D4180))</f>
        <v/>
      </c>
    </row>
    <row r="4181">
      <c r="A4181" t="inlineStr">
        <is>
          <t>Павлова</t>
        </is>
      </c>
      <c r="B4181" t="n">
        <v>16</v>
      </c>
      <c r="C4181" s="18">
        <f>'Календарь'!A97</f>
        <v/>
      </c>
      <c r="D4181">
        <f>MONTH(C4181)</f>
        <v/>
      </c>
      <c r="E4181">
        <f>'Календарь'!D97</f>
        <v/>
      </c>
      <c r="F4181">
        <f>INT((C4181-Нед_Начало)/7)+1</f>
        <v/>
      </c>
      <c r="G4181">
        <f>IF(E4181=0,0,INDEX('Планы менеджеров'!$B$5:$M$16,B4181,D4181)/INDEX(Мес_Раб,D4181))</f>
        <v/>
      </c>
    </row>
    <row r="4182">
      <c r="A4182" t="inlineStr">
        <is>
          <t>Павлова</t>
        </is>
      </c>
      <c r="B4182" t="n">
        <v>16</v>
      </c>
      <c r="C4182" s="18">
        <f>'Календарь'!A98</f>
        <v/>
      </c>
      <c r="D4182">
        <f>MONTH(C4182)</f>
        <v/>
      </c>
      <c r="E4182">
        <f>'Календарь'!D98</f>
        <v/>
      </c>
      <c r="F4182">
        <f>INT((C4182-Нед_Начало)/7)+1</f>
        <v/>
      </c>
      <c r="G4182">
        <f>IF(E4182=0,0,INDEX('Планы менеджеров'!$B$5:$M$16,B4182,D4182)/INDEX(Мес_Раб,D4182))</f>
        <v/>
      </c>
    </row>
    <row r="4183">
      <c r="A4183" t="inlineStr">
        <is>
          <t>Павлова</t>
        </is>
      </c>
      <c r="B4183" t="n">
        <v>16</v>
      </c>
      <c r="C4183" s="18">
        <f>'Календарь'!A99</f>
        <v/>
      </c>
      <c r="D4183">
        <f>MONTH(C4183)</f>
        <v/>
      </c>
      <c r="E4183">
        <f>'Календарь'!D99</f>
        <v/>
      </c>
      <c r="F4183">
        <f>INT((C4183-Нед_Начало)/7)+1</f>
        <v/>
      </c>
      <c r="G4183">
        <f>IF(E4183=0,0,INDEX('Планы менеджеров'!$B$5:$M$16,B4183,D4183)/INDEX(Мес_Раб,D4183))</f>
        <v/>
      </c>
    </row>
    <row r="4184">
      <c r="A4184" t="inlineStr">
        <is>
          <t>Павлова</t>
        </is>
      </c>
      <c r="B4184" t="n">
        <v>16</v>
      </c>
      <c r="C4184" s="18">
        <f>'Календарь'!A100</f>
        <v/>
      </c>
      <c r="D4184">
        <f>MONTH(C4184)</f>
        <v/>
      </c>
      <c r="E4184">
        <f>'Календарь'!D100</f>
        <v/>
      </c>
      <c r="F4184">
        <f>INT((C4184-Нед_Начало)/7)+1</f>
        <v/>
      </c>
      <c r="G4184">
        <f>IF(E4184=0,0,INDEX('Планы менеджеров'!$B$5:$M$16,B4184,D4184)/INDEX(Мес_Раб,D4184))</f>
        <v/>
      </c>
    </row>
    <row r="4185">
      <c r="A4185" t="inlineStr">
        <is>
          <t>Павлова</t>
        </is>
      </c>
      <c r="B4185" t="n">
        <v>16</v>
      </c>
      <c r="C4185" s="18">
        <f>'Календарь'!A101</f>
        <v/>
      </c>
      <c r="D4185">
        <f>MONTH(C4185)</f>
        <v/>
      </c>
      <c r="E4185">
        <f>'Календарь'!D101</f>
        <v/>
      </c>
      <c r="F4185">
        <f>INT((C4185-Нед_Начало)/7)+1</f>
        <v/>
      </c>
      <c r="G4185">
        <f>IF(E4185=0,0,INDEX('Планы менеджеров'!$B$5:$M$16,B4185,D4185)/INDEX(Мес_Раб,D4185))</f>
        <v/>
      </c>
    </row>
    <row r="4186">
      <c r="A4186" t="inlineStr">
        <is>
          <t>Павлова</t>
        </is>
      </c>
      <c r="B4186" t="n">
        <v>16</v>
      </c>
      <c r="C4186" s="18">
        <f>'Календарь'!A102</f>
        <v/>
      </c>
      <c r="D4186">
        <f>MONTH(C4186)</f>
        <v/>
      </c>
      <c r="E4186">
        <f>'Календарь'!D102</f>
        <v/>
      </c>
      <c r="F4186">
        <f>INT((C4186-Нед_Начало)/7)+1</f>
        <v/>
      </c>
      <c r="G4186">
        <f>IF(E4186=0,0,INDEX('Планы менеджеров'!$B$5:$M$16,B4186,D4186)/INDEX(Мес_Раб,D4186))</f>
        <v/>
      </c>
    </row>
    <row r="4187">
      <c r="A4187" t="inlineStr">
        <is>
          <t>Павлова</t>
        </is>
      </c>
      <c r="B4187" t="n">
        <v>16</v>
      </c>
      <c r="C4187" s="18">
        <f>'Календарь'!A103</f>
        <v/>
      </c>
      <c r="D4187">
        <f>MONTH(C4187)</f>
        <v/>
      </c>
      <c r="E4187">
        <f>'Календарь'!D103</f>
        <v/>
      </c>
      <c r="F4187">
        <f>INT((C4187-Нед_Начало)/7)+1</f>
        <v/>
      </c>
      <c r="G4187">
        <f>IF(E4187=0,0,INDEX('Планы менеджеров'!$B$5:$M$16,B4187,D4187)/INDEX(Мес_Раб,D4187))</f>
        <v/>
      </c>
    </row>
    <row r="4188">
      <c r="A4188" t="inlineStr">
        <is>
          <t>Павлова</t>
        </is>
      </c>
      <c r="B4188" t="n">
        <v>16</v>
      </c>
      <c r="C4188" s="18">
        <f>'Календарь'!A104</f>
        <v/>
      </c>
      <c r="D4188">
        <f>MONTH(C4188)</f>
        <v/>
      </c>
      <c r="E4188">
        <f>'Календарь'!D104</f>
        <v/>
      </c>
      <c r="F4188">
        <f>INT((C4188-Нед_Начало)/7)+1</f>
        <v/>
      </c>
      <c r="G4188">
        <f>IF(E4188=0,0,INDEX('Планы менеджеров'!$B$5:$M$16,B4188,D4188)/INDEX(Мес_Раб,D4188))</f>
        <v/>
      </c>
    </row>
    <row r="4189">
      <c r="A4189" t="inlineStr">
        <is>
          <t>Павлова</t>
        </is>
      </c>
      <c r="B4189" t="n">
        <v>16</v>
      </c>
      <c r="C4189" s="18">
        <f>'Календарь'!A105</f>
        <v/>
      </c>
      <c r="D4189">
        <f>MONTH(C4189)</f>
        <v/>
      </c>
      <c r="E4189">
        <f>'Календарь'!D105</f>
        <v/>
      </c>
      <c r="F4189">
        <f>INT((C4189-Нед_Начало)/7)+1</f>
        <v/>
      </c>
      <c r="G4189">
        <f>IF(E4189=0,0,INDEX('Планы менеджеров'!$B$5:$M$16,B4189,D4189)/INDEX(Мес_Раб,D4189))</f>
        <v/>
      </c>
    </row>
    <row r="4190">
      <c r="A4190" t="inlineStr">
        <is>
          <t>Павлова</t>
        </is>
      </c>
      <c r="B4190" t="n">
        <v>16</v>
      </c>
      <c r="C4190" s="18">
        <f>'Календарь'!A106</f>
        <v/>
      </c>
      <c r="D4190">
        <f>MONTH(C4190)</f>
        <v/>
      </c>
      <c r="E4190">
        <f>'Календарь'!D106</f>
        <v/>
      </c>
      <c r="F4190">
        <f>INT((C4190-Нед_Начало)/7)+1</f>
        <v/>
      </c>
      <c r="G4190">
        <f>IF(E4190=0,0,INDEX('Планы менеджеров'!$B$5:$M$16,B4190,D4190)/INDEX(Мес_Раб,D4190))</f>
        <v/>
      </c>
    </row>
    <row r="4191">
      <c r="A4191" t="inlineStr">
        <is>
          <t>Павлова</t>
        </is>
      </c>
      <c r="B4191" t="n">
        <v>16</v>
      </c>
      <c r="C4191" s="18">
        <f>'Календарь'!A107</f>
        <v/>
      </c>
      <c r="D4191">
        <f>MONTH(C4191)</f>
        <v/>
      </c>
      <c r="E4191">
        <f>'Календарь'!D107</f>
        <v/>
      </c>
      <c r="F4191">
        <f>INT((C4191-Нед_Начало)/7)+1</f>
        <v/>
      </c>
      <c r="G4191">
        <f>IF(E4191=0,0,INDEX('Планы менеджеров'!$B$5:$M$16,B4191,D4191)/INDEX(Мес_Раб,D4191))</f>
        <v/>
      </c>
    </row>
    <row r="4192">
      <c r="A4192" t="inlineStr">
        <is>
          <t>Павлова</t>
        </is>
      </c>
      <c r="B4192" t="n">
        <v>16</v>
      </c>
      <c r="C4192" s="18">
        <f>'Календарь'!A108</f>
        <v/>
      </c>
      <c r="D4192">
        <f>MONTH(C4192)</f>
        <v/>
      </c>
      <c r="E4192">
        <f>'Календарь'!D108</f>
        <v/>
      </c>
      <c r="F4192">
        <f>INT((C4192-Нед_Начало)/7)+1</f>
        <v/>
      </c>
      <c r="G4192">
        <f>IF(E4192=0,0,INDEX('Планы менеджеров'!$B$5:$M$16,B4192,D4192)/INDEX(Мес_Раб,D4192))</f>
        <v/>
      </c>
    </row>
    <row r="4193">
      <c r="A4193" t="inlineStr">
        <is>
          <t>Павлова</t>
        </is>
      </c>
      <c r="B4193" t="n">
        <v>16</v>
      </c>
      <c r="C4193" s="18">
        <f>'Календарь'!A109</f>
        <v/>
      </c>
      <c r="D4193">
        <f>MONTH(C4193)</f>
        <v/>
      </c>
      <c r="E4193">
        <f>'Календарь'!D109</f>
        <v/>
      </c>
      <c r="F4193">
        <f>INT((C4193-Нед_Начало)/7)+1</f>
        <v/>
      </c>
      <c r="G4193">
        <f>IF(E4193=0,0,INDEX('Планы менеджеров'!$B$5:$M$16,B4193,D4193)/INDEX(Мес_Раб,D4193))</f>
        <v/>
      </c>
    </row>
    <row r="4194">
      <c r="A4194" t="inlineStr">
        <is>
          <t>Павлова</t>
        </is>
      </c>
      <c r="B4194" t="n">
        <v>16</v>
      </c>
      <c r="C4194" s="18">
        <f>'Календарь'!A110</f>
        <v/>
      </c>
      <c r="D4194">
        <f>MONTH(C4194)</f>
        <v/>
      </c>
      <c r="E4194">
        <f>'Календарь'!D110</f>
        <v/>
      </c>
      <c r="F4194">
        <f>INT((C4194-Нед_Начало)/7)+1</f>
        <v/>
      </c>
      <c r="G4194">
        <f>IF(E4194=0,0,INDEX('Планы менеджеров'!$B$5:$M$16,B4194,D4194)/INDEX(Мес_Раб,D4194))</f>
        <v/>
      </c>
    </row>
    <row r="4195">
      <c r="A4195" t="inlineStr">
        <is>
          <t>Павлова</t>
        </is>
      </c>
      <c r="B4195" t="n">
        <v>16</v>
      </c>
      <c r="C4195" s="18">
        <f>'Календарь'!A111</f>
        <v/>
      </c>
      <c r="D4195">
        <f>MONTH(C4195)</f>
        <v/>
      </c>
      <c r="E4195">
        <f>'Календарь'!D111</f>
        <v/>
      </c>
      <c r="F4195">
        <f>INT((C4195-Нед_Начало)/7)+1</f>
        <v/>
      </c>
      <c r="G4195">
        <f>IF(E4195=0,0,INDEX('Планы менеджеров'!$B$5:$M$16,B4195,D4195)/INDEX(Мес_Раб,D4195))</f>
        <v/>
      </c>
    </row>
    <row r="4196">
      <c r="A4196" t="inlineStr">
        <is>
          <t>Павлова</t>
        </is>
      </c>
      <c r="B4196" t="n">
        <v>16</v>
      </c>
      <c r="C4196" s="18">
        <f>'Календарь'!A112</f>
        <v/>
      </c>
      <c r="D4196">
        <f>MONTH(C4196)</f>
        <v/>
      </c>
      <c r="E4196">
        <f>'Календарь'!D112</f>
        <v/>
      </c>
      <c r="F4196">
        <f>INT((C4196-Нед_Начало)/7)+1</f>
        <v/>
      </c>
      <c r="G4196">
        <f>IF(E4196=0,0,INDEX('Планы менеджеров'!$B$5:$M$16,B4196,D4196)/INDEX(Мес_Раб,D4196))</f>
        <v/>
      </c>
    </row>
    <row r="4197">
      <c r="A4197" t="inlineStr">
        <is>
          <t>Павлова</t>
        </is>
      </c>
      <c r="B4197" t="n">
        <v>16</v>
      </c>
      <c r="C4197" s="18">
        <f>'Календарь'!A113</f>
        <v/>
      </c>
      <c r="D4197">
        <f>MONTH(C4197)</f>
        <v/>
      </c>
      <c r="E4197">
        <f>'Календарь'!D113</f>
        <v/>
      </c>
      <c r="F4197">
        <f>INT((C4197-Нед_Начало)/7)+1</f>
        <v/>
      </c>
      <c r="G4197">
        <f>IF(E4197=0,0,INDEX('Планы менеджеров'!$B$5:$M$16,B4197,D4197)/INDEX(Мес_Раб,D4197))</f>
        <v/>
      </c>
    </row>
    <row r="4198">
      <c r="A4198" t="inlineStr">
        <is>
          <t>Павлова</t>
        </is>
      </c>
      <c r="B4198" t="n">
        <v>16</v>
      </c>
      <c r="C4198" s="18">
        <f>'Календарь'!A114</f>
        <v/>
      </c>
      <c r="D4198">
        <f>MONTH(C4198)</f>
        <v/>
      </c>
      <c r="E4198">
        <f>'Календарь'!D114</f>
        <v/>
      </c>
      <c r="F4198">
        <f>INT((C4198-Нед_Начало)/7)+1</f>
        <v/>
      </c>
      <c r="G4198">
        <f>IF(E4198=0,0,INDEX('Планы менеджеров'!$B$5:$M$16,B4198,D4198)/INDEX(Мес_Раб,D4198))</f>
        <v/>
      </c>
    </row>
    <row r="4199">
      <c r="A4199" t="inlineStr">
        <is>
          <t>Павлова</t>
        </is>
      </c>
      <c r="B4199" t="n">
        <v>16</v>
      </c>
      <c r="C4199" s="18">
        <f>'Календарь'!A115</f>
        <v/>
      </c>
      <c r="D4199">
        <f>MONTH(C4199)</f>
        <v/>
      </c>
      <c r="E4199">
        <f>'Календарь'!D115</f>
        <v/>
      </c>
      <c r="F4199">
        <f>INT((C4199-Нед_Начало)/7)+1</f>
        <v/>
      </c>
      <c r="G4199">
        <f>IF(E4199=0,0,INDEX('Планы менеджеров'!$B$5:$M$16,B4199,D4199)/INDEX(Мес_Раб,D4199))</f>
        <v/>
      </c>
    </row>
    <row r="4200">
      <c r="A4200" t="inlineStr">
        <is>
          <t>Павлова</t>
        </is>
      </c>
      <c r="B4200" t="n">
        <v>16</v>
      </c>
      <c r="C4200" s="18">
        <f>'Календарь'!A116</f>
        <v/>
      </c>
      <c r="D4200">
        <f>MONTH(C4200)</f>
        <v/>
      </c>
      <c r="E4200">
        <f>'Календарь'!D116</f>
        <v/>
      </c>
      <c r="F4200">
        <f>INT((C4200-Нед_Начало)/7)+1</f>
        <v/>
      </c>
      <c r="G4200">
        <f>IF(E4200=0,0,INDEX('Планы менеджеров'!$B$5:$M$16,B4200,D4200)/INDEX(Мес_Раб,D4200))</f>
        <v/>
      </c>
    </row>
    <row r="4201">
      <c r="A4201" t="inlineStr">
        <is>
          <t>Павлова</t>
        </is>
      </c>
      <c r="B4201" t="n">
        <v>16</v>
      </c>
      <c r="C4201" s="18">
        <f>'Календарь'!A117</f>
        <v/>
      </c>
      <c r="D4201">
        <f>MONTH(C4201)</f>
        <v/>
      </c>
      <c r="E4201">
        <f>'Календарь'!D117</f>
        <v/>
      </c>
      <c r="F4201">
        <f>INT((C4201-Нед_Начало)/7)+1</f>
        <v/>
      </c>
      <c r="G4201">
        <f>IF(E4201=0,0,INDEX('Планы менеджеров'!$B$5:$M$16,B4201,D4201)/INDEX(Мес_Раб,D4201))</f>
        <v/>
      </c>
    </row>
    <row r="4202">
      <c r="A4202" t="inlineStr">
        <is>
          <t>Павлова</t>
        </is>
      </c>
      <c r="B4202" t="n">
        <v>16</v>
      </c>
      <c r="C4202" s="18">
        <f>'Календарь'!A118</f>
        <v/>
      </c>
      <c r="D4202">
        <f>MONTH(C4202)</f>
        <v/>
      </c>
      <c r="E4202">
        <f>'Календарь'!D118</f>
        <v/>
      </c>
      <c r="F4202">
        <f>INT((C4202-Нед_Начало)/7)+1</f>
        <v/>
      </c>
      <c r="G4202">
        <f>IF(E4202=0,0,INDEX('Планы менеджеров'!$B$5:$M$16,B4202,D4202)/INDEX(Мес_Раб,D4202))</f>
        <v/>
      </c>
    </row>
    <row r="4203">
      <c r="A4203" t="inlineStr">
        <is>
          <t>Павлова</t>
        </is>
      </c>
      <c r="B4203" t="n">
        <v>16</v>
      </c>
      <c r="C4203" s="18">
        <f>'Календарь'!A119</f>
        <v/>
      </c>
      <c r="D4203">
        <f>MONTH(C4203)</f>
        <v/>
      </c>
      <c r="E4203">
        <f>'Календарь'!D119</f>
        <v/>
      </c>
      <c r="F4203">
        <f>INT((C4203-Нед_Начало)/7)+1</f>
        <v/>
      </c>
      <c r="G4203">
        <f>IF(E4203=0,0,INDEX('Планы менеджеров'!$B$5:$M$16,B4203,D4203)/INDEX(Мес_Раб,D4203))</f>
        <v/>
      </c>
    </row>
    <row r="4204">
      <c r="A4204" t="inlineStr">
        <is>
          <t>Павлова</t>
        </is>
      </c>
      <c r="B4204" t="n">
        <v>16</v>
      </c>
      <c r="C4204" s="18">
        <f>'Календарь'!A120</f>
        <v/>
      </c>
      <c r="D4204">
        <f>MONTH(C4204)</f>
        <v/>
      </c>
      <c r="E4204">
        <f>'Календарь'!D120</f>
        <v/>
      </c>
      <c r="F4204">
        <f>INT((C4204-Нед_Начало)/7)+1</f>
        <v/>
      </c>
      <c r="G4204">
        <f>IF(E4204=0,0,INDEX('Планы менеджеров'!$B$5:$M$16,B4204,D4204)/INDEX(Мес_Раб,D4204))</f>
        <v/>
      </c>
    </row>
    <row r="4205">
      <c r="A4205" t="inlineStr">
        <is>
          <t>Павлова</t>
        </is>
      </c>
      <c r="B4205" t="n">
        <v>16</v>
      </c>
      <c r="C4205" s="18">
        <f>'Календарь'!A121</f>
        <v/>
      </c>
      <c r="D4205">
        <f>MONTH(C4205)</f>
        <v/>
      </c>
      <c r="E4205">
        <f>'Календарь'!D121</f>
        <v/>
      </c>
      <c r="F4205">
        <f>INT((C4205-Нед_Начало)/7)+1</f>
        <v/>
      </c>
      <c r="G4205">
        <f>IF(E4205=0,0,INDEX('Планы менеджеров'!$B$5:$M$16,B4205,D4205)/INDEX(Мес_Раб,D4205))</f>
        <v/>
      </c>
    </row>
    <row r="4206">
      <c r="A4206" t="inlineStr">
        <is>
          <t>Павлова</t>
        </is>
      </c>
      <c r="B4206" t="n">
        <v>16</v>
      </c>
      <c r="C4206" s="18">
        <f>'Календарь'!A122</f>
        <v/>
      </c>
      <c r="D4206">
        <f>MONTH(C4206)</f>
        <v/>
      </c>
      <c r="E4206">
        <f>'Календарь'!D122</f>
        <v/>
      </c>
      <c r="F4206">
        <f>INT((C4206-Нед_Начало)/7)+1</f>
        <v/>
      </c>
      <c r="G4206">
        <f>IF(E4206=0,0,INDEX('Планы менеджеров'!$B$5:$M$16,B4206,D4206)/INDEX(Мес_Раб,D4206))</f>
        <v/>
      </c>
    </row>
    <row r="4207">
      <c r="A4207" t="inlineStr">
        <is>
          <t>Павлова</t>
        </is>
      </c>
      <c r="B4207" t="n">
        <v>16</v>
      </c>
      <c r="C4207" s="18">
        <f>'Календарь'!A123</f>
        <v/>
      </c>
      <c r="D4207">
        <f>MONTH(C4207)</f>
        <v/>
      </c>
      <c r="E4207">
        <f>'Календарь'!D123</f>
        <v/>
      </c>
      <c r="F4207">
        <f>INT((C4207-Нед_Начало)/7)+1</f>
        <v/>
      </c>
      <c r="G4207">
        <f>IF(E4207=0,0,INDEX('Планы менеджеров'!$B$5:$M$16,B4207,D4207)/INDEX(Мес_Раб,D4207))</f>
        <v/>
      </c>
    </row>
    <row r="4208">
      <c r="A4208" t="inlineStr">
        <is>
          <t>Павлова</t>
        </is>
      </c>
      <c r="B4208" t="n">
        <v>16</v>
      </c>
      <c r="C4208" s="18">
        <f>'Календарь'!A124</f>
        <v/>
      </c>
      <c r="D4208">
        <f>MONTH(C4208)</f>
        <v/>
      </c>
      <c r="E4208">
        <f>'Календарь'!D124</f>
        <v/>
      </c>
      <c r="F4208">
        <f>INT((C4208-Нед_Начало)/7)+1</f>
        <v/>
      </c>
      <c r="G4208">
        <f>IF(E4208=0,0,INDEX('Планы менеджеров'!$B$5:$M$16,B4208,D4208)/INDEX(Мес_Раб,D4208))</f>
        <v/>
      </c>
    </row>
    <row r="4209">
      <c r="A4209" t="inlineStr">
        <is>
          <t>Павлова</t>
        </is>
      </c>
      <c r="B4209" t="n">
        <v>16</v>
      </c>
      <c r="C4209" s="18">
        <f>'Календарь'!A125</f>
        <v/>
      </c>
      <c r="D4209">
        <f>MONTH(C4209)</f>
        <v/>
      </c>
      <c r="E4209">
        <f>'Календарь'!D125</f>
        <v/>
      </c>
      <c r="F4209">
        <f>INT((C4209-Нед_Начало)/7)+1</f>
        <v/>
      </c>
      <c r="G4209">
        <f>IF(E4209=0,0,INDEX('Планы менеджеров'!$B$5:$M$16,B4209,D4209)/INDEX(Мес_Раб,D4209))</f>
        <v/>
      </c>
    </row>
    <row r="4210">
      <c r="A4210" t="inlineStr">
        <is>
          <t>Павлова</t>
        </is>
      </c>
      <c r="B4210" t="n">
        <v>16</v>
      </c>
      <c r="C4210" s="18">
        <f>'Календарь'!A126</f>
        <v/>
      </c>
      <c r="D4210">
        <f>MONTH(C4210)</f>
        <v/>
      </c>
      <c r="E4210">
        <f>'Календарь'!D126</f>
        <v/>
      </c>
      <c r="F4210">
        <f>INT((C4210-Нед_Начало)/7)+1</f>
        <v/>
      </c>
      <c r="G4210">
        <f>IF(E4210=0,0,INDEX('Планы менеджеров'!$B$5:$M$16,B4210,D4210)/INDEX(Мес_Раб,D4210))</f>
        <v/>
      </c>
    </row>
    <row r="4211">
      <c r="A4211" t="inlineStr">
        <is>
          <t>Павлова</t>
        </is>
      </c>
      <c r="B4211" t="n">
        <v>16</v>
      </c>
      <c r="C4211" s="18">
        <f>'Календарь'!A127</f>
        <v/>
      </c>
      <c r="D4211">
        <f>MONTH(C4211)</f>
        <v/>
      </c>
      <c r="E4211">
        <f>'Календарь'!D127</f>
        <v/>
      </c>
      <c r="F4211">
        <f>INT((C4211-Нед_Начало)/7)+1</f>
        <v/>
      </c>
      <c r="G4211">
        <f>IF(E4211=0,0,INDEX('Планы менеджеров'!$B$5:$M$16,B4211,D4211)/INDEX(Мес_Раб,D4211))</f>
        <v/>
      </c>
    </row>
    <row r="4212">
      <c r="A4212" t="inlineStr">
        <is>
          <t>Павлова</t>
        </is>
      </c>
      <c r="B4212" t="n">
        <v>16</v>
      </c>
      <c r="C4212" s="18">
        <f>'Календарь'!A128</f>
        <v/>
      </c>
      <c r="D4212">
        <f>MONTH(C4212)</f>
        <v/>
      </c>
      <c r="E4212">
        <f>'Календарь'!D128</f>
        <v/>
      </c>
      <c r="F4212">
        <f>INT((C4212-Нед_Начало)/7)+1</f>
        <v/>
      </c>
      <c r="G4212">
        <f>IF(E4212=0,0,INDEX('Планы менеджеров'!$B$5:$M$16,B4212,D4212)/INDEX(Мес_Раб,D4212))</f>
        <v/>
      </c>
    </row>
    <row r="4213">
      <c r="A4213" t="inlineStr">
        <is>
          <t>Павлова</t>
        </is>
      </c>
      <c r="B4213" t="n">
        <v>16</v>
      </c>
      <c r="C4213" s="18">
        <f>'Календарь'!A129</f>
        <v/>
      </c>
      <c r="D4213">
        <f>MONTH(C4213)</f>
        <v/>
      </c>
      <c r="E4213">
        <f>'Календарь'!D129</f>
        <v/>
      </c>
      <c r="F4213">
        <f>INT((C4213-Нед_Начало)/7)+1</f>
        <v/>
      </c>
      <c r="G4213">
        <f>IF(E4213=0,0,INDEX('Планы менеджеров'!$B$5:$M$16,B4213,D4213)/INDEX(Мес_Раб,D4213))</f>
        <v/>
      </c>
    </row>
    <row r="4214">
      <c r="A4214" t="inlineStr">
        <is>
          <t>Павлова</t>
        </is>
      </c>
      <c r="B4214" t="n">
        <v>16</v>
      </c>
      <c r="C4214" s="18">
        <f>'Календарь'!A130</f>
        <v/>
      </c>
      <c r="D4214">
        <f>MONTH(C4214)</f>
        <v/>
      </c>
      <c r="E4214">
        <f>'Календарь'!D130</f>
        <v/>
      </c>
      <c r="F4214">
        <f>INT((C4214-Нед_Начало)/7)+1</f>
        <v/>
      </c>
      <c r="G4214">
        <f>IF(E4214=0,0,INDEX('Планы менеджеров'!$B$5:$M$16,B4214,D4214)/INDEX(Мес_Раб,D4214))</f>
        <v/>
      </c>
    </row>
    <row r="4215">
      <c r="A4215" t="inlineStr">
        <is>
          <t>Павлова</t>
        </is>
      </c>
      <c r="B4215" t="n">
        <v>16</v>
      </c>
      <c r="C4215" s="18">
        <f>'Календарь'!A131</f>
        <v/>
      </c>
      <c r="D4215">
        <f>MONTH(C4215)</f>
        <v/>
      </c>
      <c r="E4215">
        <f>'Календарь'!D131</f>
        <v/>
      </c>
      <c r="F4215">
        <f>INT((C4215-Нед_Начало)/7)+1</f>
        <v/>
      </c>
      <c r="G4215">
        <f>IF(E4215=0,0,INDEX('Планы менеджеров'!$B$5:$M$16,B4215,D4215)/INDEX(Мес_Раб,D4215))</f>
        <v/>
      </c>
    </row>
    <row r="4216">
      <c r="A4216" t="inlineStr">
        <is>
          <t>Павлова</t>
        </is>
      </c>
      <c r="B4216" t="n">
        <v>16</v>
      </c>
      <c r="C4216" s="18">
        <f>'Календарь'!A132</f>
        <v/>
      </c>
      <c r="D4216">
        <f>MONTH(C4216)</f>
        <v/>
      </c>
      <c r="E4216">
        <f>'Календарь'!D132</f>
        <v/>
      </c>
      <c r="F4216">
        <f>INT((C4216-Нед_Начало)/7)+1</f>
        <v/>
      </c>
      <c r="G4216">
        <f>IF(E4216=0,0,INDEX('Планы менеджеров'!$B$5:$M$16,B4216,D4216)/INDEX(Мес_Раб,D4216))</f>
        <v/>
      </c>
    </row>
    <row r="4217">
      <c r="A4217" t="inlineStr">
        <is>
          <t>Павлова</t>
        </is>
      </c>
      <c r="B4217" t="n">
        <v>16</v>
      </c>
      <c r="C4217" s="18">
        <f>'Календарь'!A133</f>
        <v/>
      </c>
      <c r="D4217">
        <f>MONTH(C4217)</f>
        <v/>
      </c>
      <c r="E4217">
        <f>'Календарь'!D133</f>
        <v/>
      </c>
      <c r="F4217">
        <f>INT((C4217-Нед_Начало)/7)+1</f>
        <v/>
      </c>
      <c r="G4217">
        <f>IF(E4217=0,0,INDEX('Планы менеджеров'!$B$5:$M$16,B4217,D4217)/INDEX(Мес_Раб,D4217))</f>
        <v/>
      </c>
    </row>
    <row r="4218">
      <c r="A4218" t="inlineStr">
        <is>
          <t>Павлова</t>
        </is>
      </c>
      <c r="B4218" t="n">
        <v>16</v>
      </c>
      <c r="C4218" s="18">
        <f>'Календарь'!A134</f>
        <v/>
      </c>
      <c r="D4218">
        <f>MONTH(C4218)</f>
        <v/>
      </c>
      <c r="E4218">
        <f>'Календарь'!D134</f>
        <v/>
      </c>
      <c r="F4218">
        <f>INT((C4218-Нед_Начало)/7)+1</f>
        <v/>
      </c>
      <c r="G4218">
        <f>IF(E4218=0,0,INDEX('Планы менеджеров'!$B$5:$M$16,B4218,D4218)/INDEX(Мес_Раб,D4218))</f>
        <v/>
      </c>
    </row>
    <row r="4219">
      <c r="A4219" t="inlineStr">
        <is>
          <t>Павлова</t>
        </is>
      </c>
      <c r="B4219" t="n">
        <v>16</v>
      </c>
      <c r="C4219" s="18">
        <f>'Календарь'!A135</f>
        <v/>
      </c>
      <c r="D4219">
        <f>MONTH(C4219)</f>
        <v/>
      </c>
      <c r="E4219">
        <f>'Календарь'!D135</f>
        <v/>
      </c>
      <c r="F4219">
        <f>INT((C4219-Нед_Начало)/7)+1</f>
        <v/>
      </c>
      <c r="G4219">
        <f>IF(E4219=0,0,INDEX('Планы менеджеров'!$B$5:$M$16,B4219,D4219)/INDEX(Мес_Раб,D4219))</f>
        <v/>
      </c>
    </row>
    <row r="4220">
      <c r="A4220" t="inlineStr">
        <is>
          <t>Павлова</t>
        </is>
      </c>
      <c r="B4220" t="n">
        <v>16</v>
      </c>
      <c r="C4220" s="18">
        <f>'Календарь'!A136</f>
        <v/>
      </c>
      <c r="D4220">
        <f>MONTH(C4220)</f>
        <v/>
      </c>
      <c r="E4220">
        <f>'Календарь'!D136</f>
        <v/>
      </c>
      <c r="F4220">
        <f>INT((C4220-Нед_Начало)/7)+1</f>
        <v/>
      </c>
      <c r="G4220">
        <f>IF(E4220=0,0,INDEX('Планы менеджеров'!$B$5:$M$16,B4220,D4220)/INDEX(Мес_Раб,D4220))</f>
        <v/>
      </c>
    </row>
    <row r="4221">
      <c r="A4221" t="inlineStr">
        <is>
          <t>Павлова</t>
        </is>
      </c>
      <c r="B4221" t="n">
        <v>16</v>
      </c>
      <c r="C4221" s="18">
        <f>'Календарь'!A137</f>
        <v/>
      </c>
      <c r="D4221">
        <f>MONTH(C4221)</f>
        <v/>
      </c>
      <c r="E4221">
        <f>'Календарь'!D137</f>
        <v/>
      </c>
      <c r="F4221">
        <f>INT((C4221-Нед_Начало)/7)+1</f>
        <v/>
      </c>
      <c r="G4221">
        <f>IF(E4221=0,0,INDEX('Планы менеджеров'!$B$5:$M$16,B4221,D4221)/INDEX(Мес_Раб,D4221))</f>
        <v/>
      </c>
    </row>
    <row r="4222">
      <c r="A4222" t="inlineStr">
        <is>
          <t>Павлова</t>
        </is>
      </c>
      <c r="B4222" t="n">
        <v>16</v>
      </c>
      <c r="C4222" s="18">
        <f>'Календарь'!A138</f>
        <v/>
      </c>
      <c r="D4222">
        <f>MONTH(C4222)</f>
        <v/>
      </c>
      <c r="E4222">
        <f>'Календарь'!D138</f>
        <v/>
      </c>
      <c r="F4222">
        <f>INT((C4222-Нед_Начало)/7)+1</f>
        <v/>
      </c>
      <c r="G4222">
        <f>IF(E4222=0,0,INDEX('Планы менеджеров'!$B$5:$M$16,B4222,D4222)/INDEX(Мес_Раб,D4222))</f>
        <v/>
      </c>
    </row>
    <row r="4223">
      <c r="A4223" t="inlineStr">
        <is>
          <t>Павлова</t>
        </is>
      </c>
      <c r="B4223" t="n">
        <v>16</v>
      </c>
      <c r="C4223" s="18">
        <f>'Календарь'!A139</f>
        <v/>
      </c>
      <c r="D4223">
        <f>MONTH(C4223)</f>
        <v/>
      </c>
      <c r="E4223">
        <f>'Календарь'!D139</f>
        <v/>
      </c>
      <c r="F4223">
        <f>INT((C4223-Нед_Начало)/7)+1</f>
        <v/>
      </c>
      <c r="G4223">
        <f>IF(E4223=0,0,INDEX('Планы менеджеров'!$B$5:$M$16,B4223,D4223)/INDEX(Мес_Раб,D4223))</f>
        <v/>
      </c>
    </row>
    <row r="4224">
      <c r="A4224" t="inlineStr">
        <is>
          <t>Павлова</t>
        </is>
      </c>
      <c r="B4224" t="n">
        <v>16</v>
      </c>
      <c r="C4224" s="18">
        <f>'Календарь'!A140</f>
        <v/>
      </c>
      <c r="D4224">
        <f>MONTH(C4224)</f>
        <v/>
      </c>
      <c r="E4224">
        <f>'Календарь'!D140</f>
        <v/>
      </c>
      <c r="F4224">
        <f>INT((C4224-Нед_Начало)/7)+1</f>
        <v/>
      </c>
      <c r="G4224">
        <f>IF(E4224=0,0,INDEX('Планы менеджеров'!$B$5:$M$16,B4224,D4224)/INDEX(Мес_Раб,D4224))</f>
        <v/>
      </c>
    </row>
    <row r="4225">
      <c r="A4225" t="inlineStr">
        <is>
          <t>Павлова</t>
        </is>
      </c>
      <c r="B4225" t="n">
        <v>16</v>
      </c>
      <c r="C4225" s="18">
        <f>'Календарь'!A141</f>
        <v/>
      </c>
      <c r="D4225">
        <f>MONTH(C4225)</f>
        <v/>
      </c>
      <c r="E4225">
        <f>'Календарь'!D141</f>
        <v/>
      </c>
      <c r="F4225">
        <f>INT((C4225-Нед_Начало)/7)+1</f>
        <v/>
      </c>
      <c r="G4225">
        <f>IF(E4225=0,0,INDEX('Планы менеджеров'!$B$5:$M$16,B4225,D4225)/INDEX(Мес_Раб,D4225))</f>
        <v/>
      </c>
    </row>
    <row r="4226">
      <c r="A4226" t="inlineStr">
        <is>
          <t>Павлова</t>
        </is>
      </c>
      <c r="B4226" t="n">
        <v>16</v>
      </c>
      <c r="C4226" s="18">
        <f>'Календарь'!A142</f>
        <v/>
      </c>
      <c r="D4226">
        <f>MONTH(C4226)</f>
        <v/>
      </c>
      <c r="E4226">
        <f>'Календарь'!D142</f>
        <v/>
      </c>
      <c r="F4226">
        <f>INT((C4226-Нед_Начало)/7)+1</f>
        <v/>
      </c>
      <c r="G4226">
        <f>IF(E4226=0,0,INDEX('Планы менеджеров'!$B$5:$M$16,B4226,D4226)/INDEX(Мес_Раб,D4226))</f>
        <v/>
      </c>
    </row>
    <row r="4227">
      <c r="A4227" t="inlineStr">
        <is>
          <t>Павлова</t>
        </is>
      </c>
      <c r="B4227" t="n">
        <v>16</v>
      </c>
      <c r="C4227" s="18">
        <f>'Календарь'!A143</f>
        <v/>
      </c>
      <c r="D4227">
        <f>MONTH(C4227)</f>
        <v/>
      </c>
      <c r="E4227">
        <f>'Календарь'!D143</f>
        <v/>
      </c>
      <c r="F4227">
        <f>INT((C4227-Нед_Начало)/7)+1</f>
        <v/>
      </c>
      <c r="G4227">
        <f>IF(E4227=0,0,INDEX('Планы менеджеров'!$B$5:$M$16,B4227,D4227)/INDEX(Мес_Раб,D4227))</f>
        <v/>
      </c>
    </row>
    <row r="4228">
      <c r="A4228" t="inlineStr">
        <is>
          <t>Павлова</t>
        </is>
      </c>
      <c r="B4228" t="n">
        <v>16</v>
      </c>
      <c r="C4228" s="18">
        <f>'Календарь'!A144</f>
        <v/>
      </c>
      <c r="D4228">
        <f>MONTH(C4228)</f>
        <v/>
      </c>
      <c r="E4228">
        <f>'Календарь'!D144</f>
        <v/>
      </c>
      <c r="F4228">
        <f>INT((C4228-Нед_Начало)/7)+1</f>
        <v/>
      </c>
      <c r="G4228">
        <f>IF(E4228=0,0,INDEX('Планы менеджеров'!$B$5:$M$16,B4228,D4228)/INDEX(Мес_Раб,D4228))</f>
        <v/>
      </c>
    </row>
    <row r="4229">
      <c r="A4229" t="inlineStr">
        <is>
          <t>Павлова</t>
        </is>
      </c>
      <c r="B4229" t="n">
        <v>16</v>
      </c>
      <c r="C4229" s="18">
        <f>'Календарь'!A145</f>
        <v/>
      </c>
      <c r="D4229">
        <f>MONTH(C4229)</f>
        <v/>
      </c>
      <c r="E4229">
        <f>'Календарь'!D145</f>
        <v/>
      </c>
      <c r="F4229">
        <f>INT((C4229-Нед_Начало)/7)+1</f>
        <v/>
      </c>
      <c r="G4229">
        <f>IF(E4229=0,0,INDEX('Планы менеджеров'!$B$5:$M$16,B4229,D4229)/INDEX(Мес_Раб,D4229))</f>
        <v/>
      </c>
    </row>
    <row r="4230">
      <c r="A4230" t="inlineStr">
        <is>
          <t>Павлова</t>
        </is>
      </c>
      <c r="B4230" t="n">
        <v>16</v>
      </c>
      <c r="C4230" s="18">
        <f>'Календарь'!A146</f>
        <v/>
      </c>
      <c r="D4230">
        <f>MONTH(C4230)</f>
        <v/>
      </c>
      <c r="E4230">
        <f>'Календарь'!D146</f>
        <v/>
      </c>
      <c r="F4230">
        <f>INT((C4230-Нед_Начало)/7)+1</f>
        <v/>
      </c>
      <c r="G4230">
        <f>IF(E4230=0,0,INDEX('Планы менеджеров'!$B$5:$M$16,B4230,D4230)/INDEX(Мес_Раб,D4230))</f>
        <v/>
      </c>
    </row>
    <row r="4231">
      <c r="A4231" t="inlineStr">
        <is>
          <t>Павлова</t>
        </is>
      </c>
      <c r="B4231" t="n">
        <v>16</v>
      </c>
      <c r="C4231" s="18">
        <f>'Календарь'!A147</f>
        <v/>
      </c>
      <c r="D4231">
        <f>MONTH(C4231)</f>
        <v/>
      </c>
      <c r="E4231">
        <f>'Календарь'!D147</f>
        <v/>
      </c>
      <c r="F4231">
        <f>INT((C4231-Нед_Начало)/7)+1</f>
        <v/>
      </c>
      <c r="G4231">
        <f>IF(E4231=0,0,INDEX('Планы менеджеров'!$B$5:$M$16,B4231,D4231)/INDEX(Мес_Раб,D4231))</f>
        <v/>
      </c>
    </row>
    <row r="4232">
      <c r="A4232" t="inlineStr">
        <is>
          <t>Павлова</t>
        </is>
      </c>
      <c r="B4232" t="n">
        <v>16</v>
      </c>
      <c r="C4232" s="18">
        <f>'Календарь'!A148</f>
        <v/>
      </c>
      <c r="D4232">
        <f>MONTH(C4232)</f>
        <v/>
      </c>
      <c r="E4232">
        <f>'Календарь'!D148</f>
        <v/>
      </c>
      <c r="F4232">
        <f>INT((C4232-Нед_Начало)/7)+1</f>
        <v/>
      </c>
      <c r="G4232">
        <f>IF(E4232=0,0,INDEX('Планы менеджеров'!$B$5:$M$16,B4232,D4232)/INDEX(Мес_Раб,D4232))</f>
        <v/>
      </c>
    </row>
    <row r="4233">
      <c r="A4233" t="inlineStr">
        <is>
          <t>Павлова</t>
        </is>
      </c>
      <c r="B4233" t="n">
        <v>16</v>
      </c>
      <c r="C4233" s="18">
        <f>'Календарь'!A149</f>
        <v/>
      </c>
      <c r="D4233">
        <f>MONTH(C4233)</f>
        <v/>
      </c>
      <c r="E4233">
        <f>'Календарь'!D149</f>
        <v/>
      </c>
      <c r="F4233">
        <f>INT((C4233-Нед_Начало)/7)+1</f>
        <v/>
      </c>
      <c r="G4233">
        <f>IF(E4233=0,0,INDEX('Планы менеджеров'!$B$5:$M$16,B4233,D4233)/INDEX(Мес_Раб,D4233))</f>
        <v/>
      </c>
    </row>
    <row r="4234">
      <c r="A4234" t="inlineStr">
        <is>
          <t>Павлова</t>
        </is>
      </c>
      <c r="B4234" t="n">
        <v>16</v>
      </c>
      <c r="C4234" s="18">
        <f>'Календарь'!A150</f>
        <v/>
      </c>
      <c r="D4234">
        <f>MONTH(C4234)</f>
        <v/>
      </c>
      <c r="E4234">
        <f>'Календарь'!D150</f>
        <v/>
      </c>
      <c r="F4234">
        <f>INT((C4234-Нед_Начало)/7)+1</f>
        <v/>
      </c>
      <c r="G4234">
        <f>IF(E4234=0,0,INDEX('Планы менеджеров'!$B$5:$M$16,B4234,D4234)/INDEX(Мес_Раб,D4234))</f>
        <v/>
      </c>
    </row>
    <row r="4235">
      <c r="A4235" t="inlineStr">
        <is>
          <t>Павлова</t>
        </is>
      </c>
      <c r="B4235" t="n">
        <v>16</v>
      </c>
      <c r="C4235" s="18">
        <f>'Календарь'!A151</f>
        <v/>
      </c>
      <c r="D4235">
        <f>MONTH(C4235)</f>
        <v/>
      </c>
      <c r="E4235">
        <f>'Календарь'!D151</f>
        <v/>
      </c>
      <c r="F4235">
        <f>INT((C4235-Нед_Начало)/7)+1</f>
        <v/>
      </c>
      <c r="G4235">
        <f>IF(E4235=0,0,INDEX('Планы менеджеров'!$B$5:$M$16,B4235,D4235)/INDEX(Мес_Раб,D4235))</f>
        <v/>
      </c>
    </row>
    <row r="4236">
      <c r="A4236" t="inlineStr">
        <is>
          <t>Павлова</t>
        </is>
      </c>
      <c r="B4236" t="n">
        <v>16</v>
      </c>
      <c r="C4236" s="18">
        <f>'Календарь'!A152</f>
        <v/>
      </c>
      <c r="D4236">
        <f>MONTH(C4236)</f>
        <v/>
      </c>
      <c r="E4236">
        <f>'Календарь'!D152</f>
        <v/>
      </c>
      <c r="F4236">
        <f>INT((C4236-Нед_Начало)/7)+1</f>
        <v/>
      </c>
      <c r="G4236">
        <f>IF(E4236=0,0,INDEX('Планы менеджеров'!$B$5:$M$16,B4236,D4236)/INDEX(Мес_Раб,D4236))</f>
        <v/>
      </c>
    </row>
    <row r="4237">
      <c r="A4237" t="inlineStr">
        <is>
          <t>Павлова</t>
        </is>
      </c>
      <c r="B4237" t="n">
        <v>16</v>
      </c>
      <c r="C4237" s="18">
        <f>'Календарь'!A153</f>
        <v/>
      </c>
      <c r="D4237">
        <f>MONTH(C4237)</f>
        <v/>
      </c>
      <c r="E4237">
        <f>'Календарь'!D153</f>
        <v/>
      </c>
      <c r="F4237">
        <f>INT((C4237-Нед_Начало)/7)+1</f>
        <v/>
      </c>
      <c r="G4237">
        <f>IF(E4237=0,0,INDEX('Планы менеджеров'!$B$5:$M$16,B4237,D4237)/INDEX(Мес_Раб,D4237))</f>
        <v/>
      </c>
    </row>
    <row r="4238">
      <c r="A4238" t="inlineStr">
        <is>
          <t>Павлова</t>
        </is>
      </c>
      <c r="B4238" t="n">
        <v>16</v>
      </c>
      <c r="C4238" s="18">
        <f>'Календарь'!A154</f>
        <v/>
      </c>
      <c r="D4238">
        <f>MONTH(C4238)</f>
        <v/>
      </c>
      <c r="E4238">
        <f>'Календарь'!D154</f>
        <v/>
      </c>
      <c r="F4238">
        <f>INT((C4238-Нед_Начало)/7)+1</f>
        <v/>
      </c>
      <c r="G4238">
        <f>IF(E4238=0,0,INDEX('Планы менеджеров'!$B$5:$M$16,B4238,D4238)/INDEX(Мес_Раб,D4238))</f>
        <v/>
      </c>
    </row>
    <row r="4239">
      <c r="A4239" t="inlineStr">
        <is>
          <t>Павлова</t>
        </is>
      </c>
      <c r="B4239" t="n">
        <v>16</v>
      </c>
      <c r="C4239" s="18">
        <f>'Календарь'!A155</f>
        <v/>
      </c>
      <c r="D4239">
        <f>MONTH(C4239)</f>
        <v/>
      </c>
      <c r="E4239">
        <f>'Календарь'!D155</f>
        <v/>
      </c>
      <c r="F4239">
        <f>INT((C4239-Нед_Начало)/7)+1</f>
        <v/>
      </c>
      <c r="G4239">
        <f>IF(E4239=0,0,INDEX('Планы менеджеров'!$B$5:$M$16,B4239,D4239)/INDEX(Мес_Раб,D4239))</f>
        <v/>
      </c>
    </row>
    <row r="4240">
      <c r="A4240" t="inlineStr">
        <is>
          <t>Павлова</t>
        </is>
      </c>
      <c r="B4240" t="n">
        <v>16</v>
      </c>
      <c r="C4240" s="18">
        <f>'Календарь'!A156</f>
        <v/>
      </c>
      <c r="D4240">
        <f>MONTH(C4240)</f>
        <v/>
      </c>
      <c r="E4240">
        <f>'Календарь'!D156</f>
        <v/>
      </c>
      <c r="F4240">
        <f>INT((C4240-Нед_Начало)/7)+1</f>
        <v/>
      </c>
      <c r="G4240">
        <f>IF(E4240=0,0,INDEX('Планы менеджеров'!$B$5:$M$16,B4240,D4240)/INDEX(Мес_Раб,D4240))</f>
        <v/>
      </c>
    </row>
    <row r="4241">
      <c r="A4241" t="inlineStr">
        <is>
          <t>Павлова</t>
        </is>
      </c>
      <c r="B4241" t="n">
        <v>16</v>
      </c>
      <c r="C4241" s="18">
        <f>'Календарь'!A157</f>
        <v/>
      </c>
      <c r="D4241">
        <f>MONTH(C4241)</f>
        <v/>
      </c>
      <c r="E4241">
        <f>'Календарь'!D157</f>
        <v/>
      </c>
      <c r="F4241">
        <f>INT((C4241-Нед_Начало)/7)+1</f>
        <v/>
      </c>
      <c r="G4241">
        <f>IF(E4241=0,0,INDEX('Планы менеджеров'!$B$5:$M$16,B4241,D4241)/INDEX(Мес_Раб,D4241))</f>
        <v/>
      </c>
    </row>
    <row r="4242">
      <c r="A4242" t="inlineStr">
        <is>
          <t>Павлова</t>
        </is>
      </c>
      <c r="B4242" t="n">
        <v>16</v>
      </c>
      <c r="C4242" s="18">
        <f>'Календарь'!A158</f>
        <v/>
      </c>
      <c r="D4242">
        <f>MONTH(C4242)</f>
        <v/>
      </c>
      <c r="E4242">
        <f>'Календарь'!D158</f>
        <v/>
      </c>
      <c r="F4242">
        <f>INT((C4242-Нед_Начало)/7)+1</f>
        <v/>
      </c>
      <c r="G4242">
        <f>IF(E4242=0,0,INDEX('Планы менеджеров'!$B$5:$M$16,B4242,D4242)/INDEX(Мес_Раб,D4242))</f>
        <v/>
      </c>
    </row>
    <row r="4243">
      <c r="A4243" t="inlineStr">
        <is>
          <t>Павлова</t>
        </is>
      </c>
      <c r="B4243" t="n">
        <v>16</v>
      </c>
      <c r="C4243" s="18">
        <f>'Календарь'!A159</f>
        <v/>
      </c>
      <c r="D4243">
        <f>MONTH(C4243)</f>
        <v/>
      </c>
      <c r="E4243">
        <f>'Календарь'!D159</f>
        <v/>
      </c>
      <c r="F4243">
        <f>INT((C4243-Нед_Начало)/7)+1</f>
        <v/>
      </c>
      <c r="G4243">
        <f>IF(E4243=0,0,INDEX('Планы менеджеров'!$B$5:$M$16,B4243,D4243)/INDEX(Мес_Раб,D4243))</f>
        <v/>
      </c>
    </row>
    <row r="4244">
      <c r="A4244" t="inlineStr">
        <is>
          <t>Павлова</t>
        </is>
      </c>
      <c r="B4244" t="n">
        <v>16</v>
      </c>
      <c r="C4244" s="18">
        <f>'Календарь'!A160</f>
        <v/>
      </c>
      <c r="D4244">
        <f>MONTH(C4244)</f>
        <v/>
      </c>
      <c r="E4244">
        <f>'Календарь'!D160</f>
        <v/>
      </c>
      <c r="F4244">
        <f>INT((C4244-Нед_Начало)/7)+1</f>
        <v/>
      </c>
      <c r="G4244">
        <f>IF(E4244=0,0,INDEX('Планы менеджеров'!$B$5:$M$16,B4244,D4244)/INDEX(Мес_Раб,D4244))</f>
        <v/>
      </c>
    </row>
    <row r="4245">
      <c r="A4245" t="inlineStr">
        <is>
          <t>Павлова</t>
        </is>
      </c>
      <c r="B4245" t="n">
        <v>16</v>
      </c>
      <c r="C4245" s="18">
        <f>'Календарь'!A161</f>
        <v/>
      </c>
      <c r="D4245">
        <f>MONTH(C4245)</f>
        <v/>
      </c>
      <c r="E4245">
        <f>'Календарь'!D161</f>
        <v/>
      </c>
      <c r="F4245">
        <f>INT((C4245-Нед_Начало)/7)+1</f>
        <v/>
      </c>
      <c r="G4245">
        <f>IF(E4245=0,0,INDEX('Планы менеджеров'!$B$5:$M$16,B4245,D4245)/INDEX(Мес_Раб,D4245))</f>
        <v/>
      </c>
    </row>
    <row r="4246">
      <c r="A4246" t="inlineStr">
        <is>
          <t>Павлова</t>
        </is>
      </c>
      <c r="B4246" t="n">
        <v>16</v>
      </c>
      <c r="C4246" s="18">
        <f>'Календарь'!A162</f>
        <v/>
      </c>
      <c r="D4246">
        <f>MONTH(C4246)</f>
        <v/>
      </c>
      <c r="E4246">
        <f>'Календарь'!D162</f>
        <v/>
      </c>
      <c r="F4246">
        <f>INT((C4246-Нед_Начало)/7)+1</f>
        <v/>
      </c>
      <c r="G4246">
        <f>IF(E4246=0,0,INDEX('Планы менеджеров'!$B$5:$M$16,B4246,D4246)/INDEX(Мес_Раб,D4246))</f>
        <v/>
      </c>
    </row>
    <row r="4247">
      <c r="A4247" t="inlineStr">
        <is>
          <t>Павлова</t>
        </is>
      </c>
      <c r="B4247" t="n">
        <v>16</v>
      </c>
      <c r="C4247" s="18">
        <f>'Календарь'!A163</f>
        <v/>
      </c>
      <c r="D4247">
        <f>MONTH(C4247)</f>
        <v/>
      </c>
      <c r="E4247">
        <f>'Календарь'!D163</f>
        <v/>
      </c>
      <c r="F4247">
        <f>INT((C4247-Нед_Начало)/7)+1</f>
        <v/>
      </c>
      <c r="G4247">
        <f>IF(E4247=0,0,INDEX('Планы менеджеров'!$B$5:$M$16,B4247,D4247)/INDEX(Мес_Раб,D4247))</f>
        <v/>
      </c>
    </row>
    <row r="4248">
      <c r="A4248" t="inlineStr">
        <is>
          <t>Павлова</t>
        </is>
      </c>
      <c r="B4248" t="n">
        <v>16</v>
      </c>
      <c r="C4248" s="18">
        <f>'Календарь'!A164</f>
        <v/>
      </c>
      <c r="D4248">
        <f>MONTH(C4248)</f>
        <v/>
      </c>
      <c r="E4248">
        <f>'Календарь'!D164</f>
        <v/>
      </c>
      <c r="F4248">
        <f>INT((C4248-Нед_Начало)/7)+1</f>
        <v/>
      </c>
      <c r="G4248">
        <f>IF(E4248=0,0,INDEX('Планы менеджеров'!$B$5:$M$16,B4248,D4248)/INDEX(Мес_Раб,D4248))</f>
        <v/>
      </c>
    </row>
    <row r="4249">
      <c r="A4249" t="inlineStr">
        <is>
          <t>Павлова</t>
        </is>
      </c>
      <c r="B4249" t="n">
        <v>16</v>
      </c>
      <c r="C4249" s="18">
        <f>'Календарь'!A165</f>
        <v/>
      </c>
      <c r="D4249">
        <f>MONTH(C4249)</f>
        <v/>
      </c>
      <c r="E4249">
        <f>'Календарь'!D165</f>
        <v/>
      </c>
      <c r="F4249">
        <f>INT((C4249-Нед_Начало)/7)+1</f>
        <v/>
      </c>
      <c r="G4249">
        <f>IF(E4249=0,0,INDEX('Планы менеджеров'!$B$5:$M$16,B4249,D4249)/INDEX(Мес_Раб,D4249))</f>
        <v/>
      </c>
    </row>
    <row r="4250">
      <c r="A4250" t="inlineStr">
        <is>
          <t>Павлова</t>
        </is>
      </c>
      <c r="B4250" t="n">
        <v>16</v>
      </c>
      <c r="C4250" s="18">
        <f>'Календарь'!A166</f>
        <v/>
      </c>
      <c r="D4250">
        <f>MONTH(C4250)</f>
        <v/>
      </c>
      <c r="E4250">
        <f>'Календарь'!D166</f>
        <v/>
      </c>
      <c r="F4250">
        <f>INT((C4250-Нед_Начало)/7)+1</f>
        <v/>
      </c>
      <c r="G4250">
        <f>IF(E4250=0,0,INDEX('Планы менеджеров'!$B$5:$M$16,B4250,D4250)/INDEX(Мес_Раб,D4250))</f>
        <v/>
      </c>
    </row>
    <row r="4251">
      <c r="A4251" t="inlineStr">
        <is>
          <t>Павлова</t>
        </is>
      </c>
      <c r="B4251" t="n">
        <v>16</v>
      </c>
      <c r="C4251" s="18">
        <f>'Календарь'!A167</f>
        <v/>
      </c>
      <c r="D4251">
        <f>MONTH(C4251)</f>
        <v/>
      </c>
      <c r="E4251">
        <f>'Календарь'!D167</f>
        <v/>
      </c>
      <c r="F4251">
        <f>INT((C4251-Нед_Начало)/7)+1</f>
        <v/>
      </c>
      <c r="G4251">
        <f>IF(E4251=0,0,INDEX('Планы менеджеров'!$B$5:$M$16,B4251,D4251)/INDEX(Мес_Раб,D4251))</f>
        <v/>
      </c>
    </row>
    <row r="4252">
      <c r="A4252" t="inlineStr">
        <is>
          <t>Павлова</t>
        </is>
      </c>
      <c r="B4252" t="n">
        <v>16</v>
      </c>
      <c r="C4252" s="18">
        <f>'Календарь'!A168</f>
        <v/>
      </c>
      <c r="D4252">
        <f>MONTH(C4252)</f>
        <v/>
      </c>
      <c r="E4252">
        <f>'Календарь'!D168</f>
        <v/>
      </c>
      <c r="F4252">
        <f>INT((C4252-Нед_Начало)/7)+1</f>
        <v/>
      </c>
      <c r="G4252">
        <f>IF(E4252=0,0,INDEX('Планы менеджеров'!$B$5:$M$16,B4252,D4252)/INDEX(Мес_Раб,D4252))</f>
        <v/>
      </c>
    </row>
    <row r="4253">
      <c r="A4253" t="inlineStr">
        <is>
          <t>Павлова</t>
        </is>
      </c>
      <c r="B4253" t="n">
        <v>16</v>
      </c>
      <c r="C4253" s="18">
        <f>'Календарь'!A169</f>
        <v/>
      </c>
      <c r="D4253">
        <f>MONTH(C4253)</f>
        <v/>
      </c>
      <c r="E4253">
        <f>'Календарь'!D169</f>
        <v/>
      </c>
      <c r="F4253">
        <f>INT((C4253-Нед_Начало)/7)+1</f>
        <v/>
      </c>
      <c r="G4253">
        <f>IF(E4253=0,0,INDEX('Планы менеджеров'!$B$5:$M$16,B4253,D4253)/INDEX(Мес_Раб,D4253))</f>
        <v/>
      </c>
    </row>
    <row r="4254">
      <c r="A4254" t="inlineStr">
        <is>
          <t>Павлова</t>
        </is>
      </c>
      <c r="B4254" t="n">
        <v>16</v>
      </c>
      <c r="C4254" s="18">
        <f>'Календарь'!A170</f>
        <v/>
      </c>
      <c r="D4254">
        <f>MONTH(C4254)</f>
        <v/>
      </c>
      <c r="E4254">
        <f>'Календарь'!D170</f>
        <v/>
      </c>
      <c r="F4254">
        <f>INT((C4254-Нед_Начало)/7)+1</f>
        <v/>
      </c>
      <c r="G4254">
        <f>IF(E4254=0,0,INDEX('Планы менеджеров'!$B$5:$M$16,B4254,D4254)/INDEX(Мес_Раб,D4254))</f>
        <v/>
      </c>
    </row>
    <row r="4255">
      <c r="A4255" t="inlineStr">
        <is>
          <t>Павлова</t>
        </is>
      </c>
      <c r="B4255" t="n">
        <v>16</v>
      </c>
      <c r="C4255" s="18">
        <f>'Календарь'!A171</f>
        <v/>
      </c>
      <c r="D4255">
        <f>MONTH(C4255)</f>
        <v/>
      </c>
      <c r="E4255">
        <f>'Календарь'!D171</f>
        <v/>
      </c>
      <c r="F4255">
        <f>INT((C4255-Нед_Начало)/7)+1</f>
        <v/>
      </c>
      <c r="G4255">
        <f>IF(E4255=0,0,INDEX('Планы менеджеров'!$B$5:$M$16,B4255,D4255)/INDEX(Мес_Раб,D4255))</f>
        <v/>
      </c>
    </row>
    <row r="4256">
      <c r="A4256" t="inlineStr">
        <is>
          <t>Павлова</t>
        </is>
      </c>
      <c r="B4256" t="n">
        <v>16</v>
      </c>
      <c r="C4256" s="18">
        <f>'Календарь'!A172</f>
        <v/>
      </c>
      <c r="D4256">
        <f>MONTH(C4256)</f>
        <v/>
      </c>
      <c r="E4256">
        <f>'Календарь'!D172</f>
        <v/>
      </c>
      <c r="F4256">
        <f>INT((C4256-Нед_Начало)/7)+1</f>
        <v/>
      </c>
      <c r="G4256">
        <f>IF(E4256=0,0,INDEX('Планы менеджеров'!$B$5:$M$16,B4256,D4256)/INDEX(Мес_Раб,D4256))</f>
        <v/>
      </c>
    </row>
    <row r="4257">
      <c r="A4257" t="inlineStr">
        <is>
          <t>Павлова</t>
        </is>
      </c>
      <c r="B4257" t="n">
        <v>16</v>
      </c>
      <c r="C4257" s="18">
        <f>'Календарь'!A173</f>
        <v/>
      </c>
      <c r="D4257">
        <f>MONTH(C4257)</f>
        <v/>
      </c>
      <c r="E4257">
        <f>'Календарь'!D173</f>
        <v/>
      </c>
      <c r="F4257">
        <f>INT((C4257-Нед_Начало)/7)+1</f>
        <v/>
      </c>
      <c r="G4257">
        <f>IF(E4257=0,0,INDEX('Планы менеджеров'!$B$5:$M$16,B4257,D4257)/INDEX(Мес_Раб,D4257))</f>
        <v/>
      </c>
    </row>
    <row r="4258">
      <c r="A4258" t="inlineStr">
        <is>
          <t>Павлова</t>
        </is>
      </c>
      <c r="B4258" t="n">
        <v>16</v>
      </c>
      <c r="C4258" s="18">
        <f>'Календарь'!A174</f>
        <v/>
      </c>
      <c r="D4258">
        <f>MONTH(C4258)</f>
        <v/>
      </c>
      <c r="E4258">
        <f>'Календарь'!D174</f>
        <v/>
      </c>
      <c r="F4258">
        <f>INT((C4258-Нед_Начало)/7)+1</f>
        <v/>
      </c>
      <c r="G4258">
        <f>IF(E4258=0,0,INDEX('Планы менеджеров'!$B$5:$M$16,B4258,D4258)/INDEX(Мес_Раб,D4258))</f>
        <v/>
      </c>
    </row>
    <row r="4259">
      <c r="A4259" t="inlineStr">
        <is>
          <t>Павлова</t>
        </is>
      </c>
      <c r="B4259" t="n">
        <v>16</v>
      </c>
      <c r="C4259" s="18">
        <f>'Календарь'!A175</f>
        <v/>
      </c>
      <c r="D4259">
        <f>MONTH(C4259)</f>
        <v/>
      </c>
      <c r="E4259">
        <f>'Календарь'!D175</f>
        <v/>
      </c>
      <c r="F4259">
        <f>INT((C4259-Нед_Начало)/7)+1</f>
        <v/>
      </c>
      <c r="G4259">
        <f>IF(E4259=0,0,INDEX('Планы менеджеров'!$B$5:$M$16,B4259,D4259)/INDEX(Мес_Раб,D4259))</f>
        <v/>
      </c>
    </row>
    <row r="4260">
      <c r="A4260" t="inlineStr">
        <is>
          <t>Павлова</t>
        </is>
      </c>
      <c r="B4260" t="n">
        <v>16</v>
      </c>
      <c r="C4260" s="18">
        <f>'Календарь'!A176</f>
        <v/>
      </c>
      <c r="D4260">
        <f>MONTH(C4260)</f>
        <v/>
      </c>
      <c r="E4260">
        <f>'Календарь'!D176</f>
        <v/>
      </c>
      <c r="F4260">
        <f>INT((C4260-Нед_Начало)/7)+1</f>
        <v/>
      </c>
      <c r="G4260">
        <f>IF(E4260=0,0,INDEX('Планы менеджеров'!$B$5:$M$16,B4260,D4260)/INDEX(Мес_Раб,D4260))</f>
        <v/>
      </c>
    </row>
    <row r="4261">
      <c r="A4261" t="inlineStr">
        <is>
          <t>Павлова</t>
        </is>
      </c>
      <c r="B4261" t="n">
        <v>16</v>
      </c>
      <c r="C4261" s="18">
        <f>'Календарь'!A177</f>
        <v/>
      </c>
      <c r="D4261">
        <f>MONTH(C4261)</f>
        <v/>
      </c>
      <c r="E4261">
        <f>'Календарь'!D177</f>
        <v/>
      </c>
      <c r="F4261">
        <f>INT((C4261-Нед_Начало)/7)+1</f>
        <v/>
      </c>
      <c r="G4261">
        <f>IF(E4261=0,0,INDEX('Планы менеджеров'!$B$5:$M$16,B4261,D4261)/INDEX(Мес_Раб,D4261))</f>
        <v/>
      </c>
    </row>
    <row r="4262">
      <c r="A4262" t="inlineStr">
        <is>
          <t>Павлова</t>
        </is>
      </c>
      <c r="B4262" t="n">
        <v>16</v>
      </c>
      <c r="C4262" s="18">
        <f>'Календарь'!A178</f>
        <v/>
      </c>
      <c r="D4262">
        <f>MONTH(C4262)</f>
        <v/>
      </c>
      <c r="E4262">
        <f>'Календарь'!D178</f>
        <v/>
      </c>
      <c r="F4262">
        <f>INT((C4262-Нед_Начало)/7)+1</f>
        <v/>
      </c>
      <c r="G4262">
        <f>IF(E4262=0,0,INDEX('Планы менеджеров'!$B$5:$M$16,B4262,D4262)/INDEX(Мес_Раб,D4262))</f>
        <v/>
      </c>
    </row>
    <row r="4263">
      <c r="A4263" t="inlineStr">
        <is>
          <t>Павлова</t>
        </is>
      </c>
      <c r="B4263" t="n">
        <v>16</v>
      </c>
      <c r="C4263" s="18">
        <f>'Календарь'!A179</f>
        <v/>
      </c>
      <c r="D4263">
        <f>MONTH(C4263)</f>
        <v/>
      </c>
      <c r="E4263">
        <f>'Календарь'!D179</f>
        <v/>
      </c>
      <c r="F4263">
        <f>INT((C4263-Нед_Начало)/7)+1</f>
        <v/>
      </c>
      <c r="G4263">
        <f>IF(E4263=0,0,INDEX('Планы менеджеров'!$B$5:$M$16,B4263,D4263)/INDEX(Мес_Раб,D4263))</f>
        <v/>
      </c>
    </row>
    <row r="4264">
      <c r="A4264" t="inlineStr">
        <is>
          <t>Павлова</t>
        </is>
      </c>
      <c r="B4264" t="n">
        <v>16</v>
      </c>
      <c r="C4264" s="18">
        <f>'Календарь'!A180</f>
        <v/>
      </c>
      <c r="D4264">
        <f>MONTH(C4264)</f>
        <v/>
      </c>
      <c r="E4264">
        <f>'Календарь'!D180</f>
        <v/>
      </c>
      <c r="F4264">
        <f>INT((C4264-Нед_Начало)/7)+1</f>
        <v/>
      </c>
      <c r="G4264">
        <f>IF(E4264=0,0,INDEX('Планы менеджеров'!$B$5:$M$16,B4264,D4264)/INDEX(Мес_Раб,D4264))</f>
        <v/>
      </c>
    </row>
    <row r="4265">
      <c r="A4265" t="inlineStr">
        <is>
          <t>Павлова</t>
        </is>
      </c>
      <c r="B4265" t="n">
        <v>16</v>
      </c>
      <c r="C4265" s="18">
        <f>'Календарь'!A181</f>
        <v/>
      </c>
      <c r="D4265">
        <f>MONTH(C4265)</f>
        <v/>
      </c>
      <c r="E4265">
        <f>'Календарь'!D181</f>
        <v/>
      </c>
      <c r="F4265">
        <f>INT((C4265-Нед_Начало)/7)+1</f>
        <v/>
      </c>
      <c r="G4265">
        <f>IF(E4265=0,0,INDEX('Планы менеджеров'!$B$5:$M$16,B4265,D4265)/INDEX(Мес_Раб,D4265))</f>
        <v/>
      </c>
    </row>
    <row r="4266">
      <c r="A4266" t="inlineStr">
        <is>
          <t>Павлова</t>
        </is>
      </c>
      <c r="B4266" t="n">
        <v>16</v>
      </c>
      <c r="C4266" s="18">
        <f>'Календарь'!A182</f>
        <v/>
      </c>
      <c r="D4266">
        <f>MONTH(C4266)</f>
        <v/>
      </c>
      <c r="E4266">
        <f>'Календарь'!D182</f>
        <v/>
      </c>
      <c r="F4266">
        <f>INT((C4266-Нед_Начало)/7)+1</f>
        <v/>
      </c>
      <c r="G4266">
        <f>IF(E4266=0,0,INDEX('Планы менеджеров'!$B$5:$M$16,B4266,D4266)/INDEX(Мес_Раб,D4266))</f>
        <v/>
      </c>
    </row>
    <row r="4267">
      <c r="A4267" t="inlineStr">
        <is>
          <t>Павлова</t>
        </is>
      </c>
      <c r="B4267" t="n">
        <v>16</v>
      </c>
      <c r="C4267" s="18">
        <f>'Календарь'!A183</f>
        <v/>
      </c>
      <c r="D4267">
        <f>MONTH(C4267)</f>
        <v/>
      </c>
      <c r="E4267">
        <f>'Календарь'!D183</f>
        <v/>
      </c>
      <c r="F4267">
        <f>INT((C4267-Нед_Начало)/7)+1</f>
        <v/>
      </c>
      <c r="G4267">
        <f>IF(E4267=0,0,INDEX('Планы менеджеров'!$B$5:$M$16,B4267,D4267)/INDEX(Мес_Раб,D4267))</f>
        <v/>
      </c>
    </row>
    <row r="4268">
      <c r="A4268" t="inlineStr">
        <is>
          <t>Павлова</t>
        </is>
      </c>
      <c r="B4268" t="n">
        <v>16</v>
      </c>
      <c r="C4268" s="18">
        <f>'Календарь'!A184</f>
        <v/>
      </c>
      <c r="D4268">
        <f>MONTH(C4268)</f>
        <v/>
      </c>
      <c r="E4268">
        <f>'Календарь'!D184</f>
        <v/>
      </c>
      <c r="F4268">
        <f>INT((C4268-Нед_Начало)/7)+1</f>
        <v/>
      </c>
      <c r="G4268">
        <f>IF(E4268=0,0,INDEX('Планы менеджеров'!$B$5:$M$16,B4268,D4268)/INDEX(Мес_Раб,D4268))</f>
        <v/>
      </c>
    </row>
    <row r="4269">
      <c r="A4269" t="inlineStr">
        <is>
          <t>Павлова</t>
        </is>
      </c>
      <c r="B4269" t="n">
        <v>16</v>
      </c>
      <c r="C4269" s="18">
        <f>'Календарь'!A185</f>
        <v/>
      </c>
      <c r="D4269">
        <f>MONTH(C4269)</f>
        <v/>
      </c>
      <c r="E4269">
        <f>'Календарь'!D185</f>
        <v/>
      </c>
      <c r="F4269">
        <f>INT((C4269-Нед_Начало)/7)+1</f>
        <v/>
      </c>
      <c r="G4269">
        <f>IF(E4269=0,0,INDEX('Планы менеджеров'!$B$5:$M$16,B4269,D4269)/INDEX(Мес_Раб,D4269))</f>
        <v/>
      </c>
    </row>
    <row r="4270">
      <c r="A4270" t="inlineStr">
        <is>
          <t>Павлова</t>
        </is>
      </c>
      <c r="B4270" t="n">
        <v>16</v>
      </c>
      <c r="C4270" s="18">
        <f>'Календарь'!A186</f>
        <v/>
      </c>
      <c r="D4270">
        <f>MONTH(C4270)</f>
        <v/>
      </c>
      <c r="E4270">
        <f>'Календарь'!D186</f>
        <v/>
      </c>
      <c r="F4270">
        <f>INT((C4270-Нед_Начало)/7)+1</f>
        <v/>
      </c>
      <c r="G4270">
        <f>IF(E4270=0,0,INDEX('Планы менеджеров'!$B$5:$M$16,B4270,D4270)/INDEX(Мес_Раб,D4270))</f>
        <v/>
      </c>
    </row>
    <row r="4271">
      <c r="A4271" t="inlineStr">
        <is>
          <t>Павлова</t>
        </is>
      </c>
      <c r="B4271" t="n">
        <v>16</v>
      </c>
      <c r="C4271" s="18">
        <f>'Календарь'!A187</f>
        <v/>
      </c>
      <c r="D4271">
        <f>MONTH(C4271)</f>
        <v/>
      </c>
      <c r="E4271">
        <f>'Календарь'!D187</f>
        <v/>
      </c>
      <c r="F4271">
        <f>INT((C4271-Нед_Начало)/7)+1</f>
        <v/>
      </c>
      <c r="G4271">
        <f>IF(E4271=0,0,INDEX('Планы менеджеров'!$B$5:$M$16,B4271,D4271)/INDEX(Мес_Раб,D4271))</f>
        <v/>
      </c>
    </row>
    <row r="4272">
      <c r="A4272" t="inlineStr">
        <is>
          <t>Павлова</t>
        </is>
      </c>
      <c r="B4272" t="n">
        <v>16</v>
      </c>
      <c r="C4272" s="18">
        <f>'Календарь'!A188</f>
        <v/>
      </c>
      <c r="D4272">
        <f>MONTH(C4272)</f>
        <v/>
      </c>
      <c r="E4272">
        <f>'Календарь'!D188</f>
        <v/>
      </c>
      <c r="F4272">
        <f>INT((C4272-Нед_Начало)/7)+1</f>
        <v/>
      </c>
      <c r="G4272">
        <f>IF(E4272=0,0,INDEX('Планы менеджеров'!$B$5:$M$16,B4272,D4272)/INDEX(Мес_Раб,D4272))</f>
        <v/>
      </c>
    </row>
    <row r="4273">
      <c r="A4273" t="inlineStr">
        <is>
          <t>Павлова</t>
        </is>
      </c>
      <c r="B4273" t="n">
        <v>16</v>
      </c>
      <c r="C4273" s="18">
        <f>'Календарь'!A189</f>
        <v/>
      </c>
      <c r="D4273">
        <f>MONTH(C4273)</f>
        <v/>
      </c>
      <c r="E4273">
        <f>'Календарь'!D189</f>
        <v/>
      </c>
      <c r="F4273">
        <f>INT((C4273-Нед_Начало)/7)+1</f>
        <v/>
      </c>
      <c r="G4273">
        <f>IF(E4273=0,0,INDEX('Планы менеджеров'!$B$5:$M$16,B4273,D4273)/INDEX(Мес_Раб,D4273))</f>
        <v/>
      </c>
    </row>
    <row r="4274">
      <c r="A4274" t="inlineStr">
        <is>
          <t>Павлова</t>
        </is>
      </c>
      <c r="B4274" t="n">
        <v>16</v>
      </c>
      <c r="C4274" s="18">
        <f>'Календарь'!A190</f>
        <v/>
      </c>
      <c r="D4274">
        <f>MONTH(C4274)</f>
        <v/>
      </c>
      <c r="E4274">
        <f>'Календарь'!D190</f>
        <v/>
      </c>
      <c r="F4274">
        <f>INT((C4274-Нед_Начало)/7)+1</f>
        <v/>
      </c>
      <c r="G4274">
        <f>IF(E4274=0,0,INDEX('Планы менеджеров'!$B$5:$M$16,B4274,D4274)/INDEX(Мес_Раб,D4274))</f>
        <v/>
      </c>
    </row>
    <row r="4275">
      <c r="A4275" t="inlineStr">
        <is>
          <t>Павлова</t>
        </is>
      </c>
      <c r="B4275" t="n">
        <v>16</v>
      </c>
      <c r="C4275" s="18">
        <f>'Календарь'!A191</f>
        <v/>
      </c>
      <c r="D4275">
        <f>MONTH(C4275)</f>
        <v/>
      </c>
      <c r="E4275">
        <f>'Календарь'!D191</f>
        <v/>
      </c>
      <c r="F4275">
        <f>INT((C4275-Нед_Начало)/7)+1</f>
        <v/>
      </c>
      <c r="G4275">
        <f>IF(E4275=0,0,INDEX('Планы менеджеров'!$B$5:$M$16,B4275,D4275)/INDEX(Мес_Раб,D4275))</f>
        <v/>
      </c>
    </row>
    <row r="4276">
      <c r="A4276" t="inlineStr">
        <is>
          <t>Павлова</t>
        </is>
      </c>
      <c r="B4276" t="n">
        <v>16</v>
      </c>
      <c r="C4276" s="18">
        <f>'Календарь'!A192</f>
        <v/>
      </c>
      <c r="D4276">
        <f>MONTH(C4276)</f>
        <v/>
      </c>
      <c r="E4276">
        <f>'Календарь'!D192</f>
        <v/>
      </c>
      <c r="F4276">
        <f>INT((C4276-Нед_Начало)/7)+1</f>
        <v/>
      </c>
      <c r="G4276">
        <f>IF(E4276=0,0,INDEX('Планы менеджеров'!$B$5:$M$16,B4276,D4276)/INDEX(Мес_Раб,D4276))</f>
        <v/>
      </c>
    </row>
    <row r="4277">
      <c r="A4277" t="inlineStr">
        <is>
          <t>Павлова</t>
        </is>
      </c>
      <c r="B4277" t="n">
        <v>16</v>
      </c>
      <c r="C4277" s="18">
        <f>'Календарь'!A193</f>
        <v/>
      </c>
      <c r="D4277">
        <f>MONTH(C4277)</f>
        <v/>
      </c>
      <c r="E4277">
        <f>'Календарь'!D193</f>
        <v/>
      </c>
      <c r="F4277">
        <f>INT((C4277-Нед_Начало)/7)+1</f>
        <v/>
      </c>
      <c r="G4277">
        <f>IF(E4277=0,0,INDEX('Планы менеджеров'!$B$5:$M$16,B4277,D4277)/INDEX(Мес_Раб,D4277))</f>
        <v/>
      </c>
    </row>
    <row r="4278">
      <c r="A4278" t="inlineStr">
        <is>
          <t>Павлова</t>
        </is>
      </c>
      <c r="B4278" t="n">
        <v>16</v>
      </c>
      <c r="C4278" s="18">
        <f>'Календарь'!A194</f>
        <v/>
      </c>
      <c r="D4278">
        <f>MONTH(C4278)</f>
        <v/>
      </c>
      <c r="E4278">
        <f>'Календарь'!D194</f>
        <v/>
      </c>
      <c r="F4278">
        <f>INT((C4278-Нед_Начало)/7)+1</f>
        <v/>
      </c>
      <c r="G4278">
        <f>IF(E4278=0,0,INDEX('Планы менеджеров'!$B$5:$M$16,B4278,D4278)/INDEX(Мес_Раб,D4278))</f>
        <v/>
      </c>
    </row>
    <row r="4279">
      <c r="A4279" t="inlineStr">
        <is>
          <t>Павлова</t>
        </is>
      </c>
      <c r="B4279" t="n">
        <v>16</v>
      </c>
      <c r="C4279" s="18">
        <f>'Календарь'!A195</f>
        <v/>
      </c>
      <c r="D4279">
        <f>MONTH(C4279)</f>
        <v/>
      </c>
      <c r="E4279">
        <f>'Календарь'!D195</f>
        <v/>
      </c>
      <c r="F4279">
        <f>INT((C4279-Нед_Начало)/7)+1</f>
        <v/>
      </c>
      <c r="G4279">
        <f>IF(E4279=0,0,INDEX('Планы менеджеров'!$B$5:$M$16,B4279,D4279)/INDEX(Мес_Раб,D4279))</f>
        <v/>
      </c>
    </row>
    <row r="4280">
      <c r="A4280" t="inlineStr">
        <is>
          <t>Павлова</t>
        </is>
      </c>
      <c r="B4280" t="n">
        <v>16</v>
      </c>
      <c r="C4280" s="18">
        <f>'Календарь'!A196</f>
        <v/>
      </c>
      <c r="D4280">
        <f>MONTH(C4280)</f>
        <v/>
      </c>
      <c r="E4280">
        <f>'Календарь'!D196</f>
        <v/>
      </c>
      <c r="F4280">
        <f>INT((C4280-Нед_Начало)/7)+1</f>
        <v/>
      </c>
      <c r="G4280">
        <f>IF(E4280=0,0,INDEX('Планы менеджеров'!$B$5:$M$16,B4280,D4280)/INDEX(Мес_Раб,D4280))</f>
        <v/>
      </c>
    </row>
    <row r="4281">
      <c r="A4281" t="inlineStr">
        <is>
          <t>Павлова</t>
        </is>
      </c>
      <c r="B4281" t="n">
        <v>16</v>
      </c>
      <c r="C4281" s="18">
        <f>'Календарь'!A197</f>
        <v/>
      </c>
      <c r="D4281">
        <f>MONTH(C4281)</f>
        <v/>
      </c>
      <c r="E4281">
        <f>'Календарь'!D197</f>
        <v/>
      </c>
      <c r="F4281">
        <f>INT((C4281-Нед_Начало)/7)+1</f>
        <v/>
      </c>
      <c r="G4281">
        <f>IF(E4281=0,0,INDEX('Планы менеджеров'!$B$5:$M$16,B4281,D4281)/INDEX(Мес_Раб,D4281))</f>
        <v/>
      </c>
    </row>
    <row r="4282">
      <c r="A4282" t="inlineStr">
        <is>
          <t>Павлова</t>
        </is>
      </c>
      <c r="B4282" t="n">
        <v>16</v>
      </c>
      <c r="C4282" s="18">
        <f>'Календарь'!A198</f>
        <v/>
      </c>
      <c r="D4282">
        <f>MONTH(C4282)</f>
        <v/>
      </c>
      <c r="E4282">
        <f>'Календарь'!D198</f>
        <v/>
      </c>
      <c r="F4282">
        <f>INT((C4282-Нед_Начало)/7)+1</f>
        <v/>
      </c>
      <c r="G4282">
        <f>IF(E4282=0,0,INDEX('Планы менеджеров'!$B$5:$M$16,B4282,D4282)/INDEX(Мес_Раб,D4282))</f>
        <v/>
      </c>
    </row>
    <row r="4283">
      <c r="A4283" t="inlineStr">
        <is>
          <t>Павлова</t>
        </is>
      </c>
      <c r="B4283" t="n">
        <v>16</v>
      </c>
      <c r="C4283" s="18">
        <f>'Календарь'!A199</f>
        <v/>
      </c>
      <c r="D4283">
        <f>MONTH(C4283)</f>
        <v/>
      </c>
      <c r="E4283">
        <f>'Календарь'!D199</f>
        <v/>
      </c>
      <c r="F4283">
        <f>INT((C4283-Нед_Начало)/7)+1</f>
        <v/>
      </c>
      <c r="G4283">
        <f>IF(E4283=0,0,INDEX('Планы менеджеров'!$B$5:$M$16,B4283,D4283)/INDEX(Мес_Раб,D4283))</f>
        <v/>
      </c>
    </row>
    <row r="4284">
      <c r="A4284" t="inlineStr">
        <is>
          <t>Павлова</t>
        </is>
      </c>
      <c r="B4284" t="n">
        <v>16</v>
      </c>
      <c r="C4284" s="18">
        <f>'Календарь'!A200</f>
        <v/>
      </c>
      <c r="D4284">
        <f>MONTH(C4284)</f>
        <v/>
      </c>
      <c r="E4284">
        <f>'Календарь'!D200</f>
        <v/>
      </c>
      <c r="F4284">
        <f>INT((C4284-Нед_Начало)/7)+1</f>
        <v/>
      </c>
      <c r="G4284">
        <f>IF(E4284=0,0,INDEX('Планы менеджеров'!$B$5:$M$16,B4284,D4284)/INDEX(Мес_Раб,D4284))</f>
        <v/>
      </c>
    </row>
    <row r="4285">
      <c r="A4285" t="inlineStr">
        <is>
          <t>Павлова</t>
        </is>
      </c>
      <c r="B4285" t="n">
        <v>16</v>
      </c>
      <c r="C4285" s="18">
        <f>'Календарь'!A201</f>
        <v/>
      </c>
      <c r="D4285">
        <f>MONTH(C4285)</f>
        <v/>
      </c>
      <c r="E4285">
        <f>'Календарь'!D201</f>
        <v/>
      </c>
      <c r="F4285">
        <f>INT((C4285-Нед_Начало)/7)+1</f>
        <v/>
      </c>
      <c r="G4285">
        <f>IF(E4285=0,0,INDEX('Планы менеджеров'!$B$5:$M$16,B4285,D4285)/INDEX(Мес_Раб,D4285))</f>
        <v/>
      </c>
    </row>
    <row r="4286">
      <c r="A4286" t="inlineStr">
        <is>
          <t>Павлова</t>
        </is>
      </c>
      <c r="B4286" t="n">
        <v>16</v>
      </c>
      <c r="C4286" s="18">
        <f>'Календарь'!A202</f>
        <v/>
      </c>
      <c r="D4286">
        <f>MONTH(C4286)</f>
        <v/>
      </c>
      <c r="E4286">
        <f>'Календарь'!D202</f>
        <v/>
      </c>
      <c r="F4286">
        <f>INT((C4286-Нед_Начало)/7)+1</f>
        <v/>
      </c>
      <c r="G4286">
        <f>IF(E4286=0,0,INDEX('Планы менеджеров'!$B$5:$M$16,B4286,D4286)/INDEX(Мес_Раб,D4286))</f>
        <v/>
      </c>
    </row>
    <row r="4287">
      <c r="A4287" t="inlineStr">
        <is>
          <t>Павлова</t>
        </is>
      </c>
      <c r="B4287" t="n">
        <v>16</v>
      </c>
      <c r="C4287" s="18">
        <f>'Календарь'!A203</f>
        <v/>
      </c>
      <c r="D4287">
        <f>MONTH(C4287)</f>
        <v/>
      </c>
      <c r="E4287">
        <f>'Календарь'!D203</f>
        <v/>
      </c>
      <c r="F4287">
        <f>INT((C4287-Нед_Начало)/7)+1</f>
        <v/>
      </c>
      <c r="G4287">
        <f>IF(E4287=0,0,INDEX('Планы менеджеров'!$B$5:$M$16,B4287,D4287)/INDEX(Мес_Раб,D4287))</f>
        <v/>
      </c>
    </row>
    <row r="4288">
      <c r="A4288" t="inlineStr">
        <is>
          <t>Павлова</t>
        </is>
      </c>
      <c r="B4288" t="n">
        <v>16</v>
      </c>
      <c r="C4288" s="18">
        <f>'Календарь'!A204</f>
        <v/>
      </c>
      <c r="D4288">
        <f>MONTH(C4288)</f>
        <v/>
      </c>
      <c r="E4288">
        <f>'Календарь'!D204</f>
        <v/>
      </c>
      <c r="F4288">
        <f>INT((C4288-Нед_Начало)/7)+1</f>
        <v/>
      </c>
      <c r="G4288">
        <f>IF(E4288=0,0,INDEX('Планы менеджеров'!$B$5:$M$16,B4288,D4288)/INDEX(Мес_Раб,D4288))</f>
        <v/>
      </c>
    </row>
    <row r="4289">
      <c r="A4289" t="inlineStr">
        <is>
          <t>Павлова</t>
        </is>
      </c>
      <c r="B4289" t="n">
        <v>16</v>
      </c>
      <c r="C4289" s="18">
        <f>'Календарь'!A205</f>
        <v/>
      </c>
      <c r="D4289">
        <f>MONTH(C4289)</f>
        <v/>
      </c>
      <c r="E4289">
        <f>'Календарь'!D205</f>
        <v/>
      </c>
      <c r="F4289">
        <f>INT((C4289-Нед_Начало)/7)+1</f>
        <v/>
      </c>
      <c r="G4289">
        <f>IF(E4289=0,0,INDEX('Планы менеджеров'!$B$5:$M$16,B4289,D4289)/INDEX(Мес_Раб,D4289))</f>
        <v/>
      </c>
    </row>
    <row r="4290">
      <c r="A4290" t="inlineStr">
        <is>
          <t>Павлова</t>
        </is>
      </c>
      <c r="B4290" t="n">
        <v>16</v>
      </c>
      <c r="C4290" s="18">
        <f>'Календарь'!A206</f>
        <v/>
      </c>
      <c r="D4290">
        <f>MONTH(C4290)</f>
        <v/>
      </c>
      <c r="E4290">
        <f>'Календарь'!D206</f>
        <v/>
      </c>
      <c r="F4290">
        <f>INT((C4290-Нед_Начало)/7)+1</f>
        <v/>
      </c>
      <c r="G4290">
        <f>IF(E4290=0,0,INDEX('Планы менеджеров'!$B$5:$M$16,B4290,D4290)/INDEX(Мес_Раб,D4290))</f>
        <v/>
      </c>
    </row>
    <row r="4291">
      <c r="A4291" t="inlineStr">
        <is>
          <t>Павлова</t>
        </is>
      </c>
      <c r="B4291" t="n">
        <v>16</v>
      </c>
      <c r="C4291" s="18">
        <f>'Календарь'!A207</f>
        <v/>
      </c>
      <c r="D4291">
        <f>MONTH(C4291)</f>
        <v/>
      </c>
      <c r="E4291">
        <f>'Календарь'!D207</f>
        <v/>
      </c>
      <c r="F4291">
        <f>INT((C4291-Нед_Начало)/7)+1</f>
        <v/>
      </c>
      <c r="G4291">
        <f>IF(E4291=0,0,INDEX('Планы менеджеров'!$B$5:$M$16,B4291,D4291)/INDEX(Мес_Раб,D4291))</f>
        <v/>
      </c>
    </row>
    <row r="4292">
      <c r="A4292" t="inlineStr">
        <is>
          <t>Павлова</t>
        </is>
      </c>
      <c r="B4292" t="n">
        <v>16</v>
      </c>
      <c r="C4292" s="18">
        <f>'Календарь'!A208</f>
        <v/>
      </c>
      <c r="D4292">
        <f>MONTH(C4292)</f>
        <v/>
      </c>
      <c r="E4292">
        <f>'Календарь'!D208</f>
        <v/>
      </c>
      <c r="F4292">
        <f>INT((C4292-Нед_Начало)/7)+1</f>
        <v/>
      </c>
      <c r="G4292">
        <f>IF(E4292=0,0,INDEX('Планы менеджеров'!$B$5:$M$16,B4292,D4292)/INDEX(Мес_Раб,D4292))</f>
        <v/>
      </c>
    </row>
    <row r="4293">
      <c r="A4293" t="inlineStr">
        <is>
          <t>Павлова</t>
        </is>
      </c>
      <c r="B4293" t="n">
        <v>16</v>
      </c>
      <c r="C4293" s="18">
        <f>'Календарь'!A209</f>
        <v/>
      </c>
      <c r="D4293">
        <f>MONTH(C4293)</f>
        <v/>
      </c>
      <c r="E4293">
        <f>'Календарь'!D209</f>
        <v/>
      </c>
      <c r="F4293">
        <f>INT((C4293-Нед_Начало)/7)+1</f>
        <v/>
      </c>
      <c r="G4293">
        <f>IF(E4293=0,0,INDEX('Планы менеджеров'!$B$5:$M$16,B4293,D4293)/INDEX(Мес_Раб,D4293))</f>
        <v/>
      </c>
    </row>
    <row r="4294">
      <c r="A4294" t="inlineStr">
        <is>
          <t>Павлова</t>
        </is>
      </c>
      <c r="B4294" t="n">
        <v>16</v>
      </c>
      <c r="C4294" s="18">
        <f>'Календарь'!A210</f>
        <v/>
      </c>
      <c r="D4294">
        <f>MONTH(C4294)</f>
        <v/>
      </c>
      <c r="E4294">
        <f>'Календарь'!D210</f>
        <v/>
      </c>
      <c r="F4294">
        <f>INT((C4294-Нед_Начало)/7)+1</f>
        <v/>
      </c>
      <c r="G4294">
        <f>IF(E4294=0,0,INDEX('Планы менеджеров'!$B$5:$M$16,B4294,D4294)/INDEX(Мес_Раб,D4294))</f>
        <v/>
      </c>
    </row>
    <row r="4295">
      <c r="A4295" t="inlineStr">
        <is>
          <t>Павлова</t>
        </is>
      </c>
      <c r="B4295" t="n">
        <v>16</v>
      </c>
      <c r="C4295" s="18">
        <f>'Календарь'!A211</f>
        <v/>
      </c>
      <c r="D4295">
        <f>MONTH(C4295)</f>
        <v/>
      </c>
      <c r="E4295">
        <f>'Календарь'!D211</f>
        <v/>
      </c>
      <c r="F4295">
        <f>INT((C4295-Нед_Начало)/7)+1</f>
        <v/>
      </c>
      <c r="G4295">
        <f>IF(E4295=0,0,INDEX('Планы менеджеров'!$B$5:$M$16,B4295,D4295)/INDEX(Мес_Раб,D4295))</f>
        <v/>
      </c>
    </row>
    <row r="4296">
      <c r="A4296" t="inlineStr">
        <is>
          <t>Павлова</t>
        </is>
      </c>
      <c r="B4296" t="n">
        <v>16</v>
      </c>
      <c r="C4296" s="18">
        <f>'Календарь'!A212</f>
        <v/>
      </c>
      <c r="D4296">
        <f>MONTH(C4296)</f>
        <v/>
      </c>
      <c r="E4296">
        <f>'Календарь'!D212</f>
        <v/>
      </c>
      <c r="F4296">
        <f>INT((C4296-Нед_Начало)/7)+1</f>
        <v/>
      </c>
      <c r="G4296">
        <f>IF(E4296=0,0,INDEX('Планы менеджеров'!$B$5:$M$16,B4296,D4296)/INDEX(Мес_Раб,D4296))</f>
        <v/>
      </c>
    </row>
    <row r="4297">
      <c r="A4297" t="inlineStr">
        <is>
          <t>Павлова</t>
        </is>
      </c>
      <c r="B4297" t="n">
        <v>16</v>
      </c>
      <c r="C4297" s="18">
        <f>'Календарь'!A213</f>
        <v/>
      </c>
      <c r="D4297">
        <f>MONTH(C4297)</f>
        <v/>
      </c>
      <c r="E4297">
        <f>'Календарь'!D213</f>
        <v/>
      </c>
      <c r="F4297">
        <f>INT((C4297-Нед_Начало)/7)+1</f>
        <v/>
      </c>
      <c r="G4297">
        <f>IF(E4297=0,0,INDEX('Планы менеджеров'!$B$5:$M$16,B4297,D4297)/INDEX(Мес_Раб,D4297))</f>
        <v/>
      </c>
    </row>
    <row r="4298">
      <c r="A4298" t="inlineStr">
        <is>
          <t>Павлова</t>
        </is>
      </c>
      <c r="B4298" t="n">
        <v>16</v>
      </c>
      <c r="C4298" s="18">
        <f>'Календарь'!A214</f>
        <v/>
      </c>
      <c r="D4298">
        <f>MONTH(C4298)</f>
        <v/>
      </c>
      <c r="E4298">
        <f>'Календарь'!D214</f>
        <v/>
      </c>
      <c r="F4298">
        <f>INT((C4298-Нед_Начало)/7)+1</f>
        <v/>
      </c>
      <c r="G4298">
        <f>IF(E4298=0,0,INDEX('Планы менеджеров'!$B$5:$M$16,B4298,D4298)/INDEX(Мес_Раб,D4298))</f>
        <v/>
      </c>
    </row>
    <row r="4299">
      <c r="A4299" t="inlineStr">
        <is>
          <t>Павлова</t>
        </is>
      </c>
      <c r="B4299" t="n">
        <v>16</v>
      </c>
      <c r="C4299" s="18">
        <f>'Календарь'!A215</f>
        <v/>
      </c>
      <c r="D4299">
        <f>MONTH(C4299)</f>
        <v/>
      </c>
      <c r="E4299">
        <f>'Календарь'!D215</f>
        <v/>
      </c>
      <c r="F4299">
        <f>INT((C4299-Нед_Начало)/7)+1</f>
        <v/>
      </c>
      <c r="G4299">
        <f>IF(E4299=0,0,INDEX('Планы менеджеров'!$B$5:$M$16,B4299,D4299)/INDEX(Мес_Раб,D4299))</f>
        <v/>
      </c>
    </row>
    <row r="4300">
      <c r="A4300" t="inlineStr">
        <is>
          <t>Павлова</t>
        </is>
      </c>
      <c r="B4300" t="n">
        <v>16</v>
      </c>
      <c r="C4300" s="18">
        <f>'Календарь'!A216</f>
        <v/>
      </c>
      <c r="D4300">
        <f>MONTH(C4300)</f>
        <v/>
      </c>
      <c r="E4300">
        <f>'Календарь'!D216</f>
        <v/>
      </c>
      <c r="F4300">
        <f>INT((C4300-Нед_Начало)/7)+1</f>
        <v/>
      </c>
      <c r="G4300">
        <f>IF(E4300=0,0,INDEX('Планы менеджеров'!$B$5:$M$16,B4300,D4300)/INDEX(Мес_Раб,D4300))</f>
        <v/>
      </c>
    </row>
    <row r="4301">
      <c r="A4301" t="inlineStr">
        <is>
          <t>Павлова</t>
        </is>
      </c>
      <c r="B4301" t="n">
        <v>16</v>
      </c>
      <c r="C4301" s="18">
        <f>'Календарь'!A217</f>
        <v/>
      </c>
      <c r="D4301">
        <f>MONTH(C4301)</f>
        <v/>
      </c>
      <c r="E4301">
        <f>'Календарь'!D217</f>
        <v/>
      </c>
      <c r="F4301">
        <f>INT((C4301-Нед_Начало)/7)+1</f>
        <v/>
      </c>
      <c r="G4301">
        <f>IF(E4301=0,0,INDEX('Планы менеджеров'!$B$5:$M$16,B4301,D4301)/INDEX(Мес_Раб,D4301))</f>
        <v/>
      </c>
    </row>
    <row r="4302">
      <c r="A4302" t="inlineStr">
        <is>
          <t>Павлова</t>
        </is>
      </c>
      <c r="B4302" t="n">
        <v>16</v>
      </c>
      <c r="C4302" s="18">
        <f>'Календарь'!A218</f>
        <v/>
      </c>
      <c r="D4302">
        <f>MONTH(C4302)</f>
        <v/>
      </c>
      <c r="E4302">
        <f>'Календарь'!D218</f>
        <v/>
      </c>
      <c r="F4302">
        <f>INT((C4302-Нед_Начало)/7)+1</f>
        <v/>
      </c>
      <c r="G4302">
        <f>IF(E4302=0,0,INDEX('Планы менеджеров'!$B$5:$M$16,B4302,D4302)/INDEX(Мес_Раб,D4302))</f>
        <v/>
      </c>
    </row>
    <row r="4303">
      <c r="A4303" t="inlineStr">
        <is>
          <t>Павлова</t>
        </is>
      </c>
      <c r="B4303" t="n">
        <v>16</v>
      </c>
      <c r="C4303" s="18">
        <f>'Календарь'!A219</f>
        <v/>
      </c>
      <c r="D4303">
        <f>MONTH(C4303)</f>
        <v/>
      </c>
      <c r="E4303">
        <f>'Календарь'!D219</f>
        <v/>
      </c>
      <c r="F4303">
        <f>INT((C4303-Нед_Начало)/7)+1</f>
        <v/>
      </c>
      <c r="G4303">
        <f>IF(E4303=0,0,INDEX('Планы менеджеров'!$B$5:$M$16,B4303,D4303)/INDEX(Мес_Раб,D4303))</f>
        <v/>
      </c>
    </row>
    <row r="4304">
      <c r="A4304" t="inlineStr">
        <is>
          <t>Павлова</t>
        </is>
      </c>
      <c r="B4304" t="n">
        <v>16</v>
      </c>
      <c r="C4304" s="18">
        <f>'Календарь'!A220</f>
        <v/>
      </c>
      <c r="D4304">
        <f>MONTH(C4304)</f>
        <v/>
      </c>
      <c r="E4304">
        <f>'Календарь'!D220</f>
        <v/>
      </c>
      <c r="F4304">
        <f>INT((C4304-Нед_Начало)/7)+1</f>
        <v/>
      </c>
      <c r="G4304">
        <f>IF(E4304=0,0,INDEX('Планы менеджеров'!$B$5:$M$16,B4304,D4304)/INDEX(Мес_Раб,D4304))</f>
        <v/>
      </c>
    </row>
    <row r="4305">
      <c r="A4305" t="inlineStr">
        <is>
          <t>Павлова</t>
        </is>
      </c>
      <c r="B4305" t="n">
        <v>16</v>
      </c>
      <c r="C4305" s="18">
        <f>'Календарь'!A221</f>
        <v/>
      </c>
      <c r="D4305">
        <f>MONTH(C4305)</f>
        <v/>
      </c>
      <c r="E4305">
        <f>'Календарь'!D221</f>
        <v/>
      </c>
      <c r="F4305">
        <f>INT((C4305-Нед_Начало)/7)+1</f>
        <v/>
      </c>
      <c r="G4305">
        <f>IF(E4305=0,0,INDEX('Планы менеджеров'!$B$5:$M$16,B4305,D4305)/INDEX(Мес_Раб,D4305))</f>
        <v/>
      </c>
    </row>
    <row r="4306">
      <c r="A4306" t="inlineStr">
        <is>
          <t>Павлова</t>
        </is>
      </c>
      <c r="B4306" t="n">
        <v>16</v>
      </c>
      <c r="C4306" s="18">
        <f>'Календарь'!A222</f>
        <v/>
      </c>
      <c r="D4306">
        <f>MONTH(C4306)</f>
        <v/>
      </c>
      <c r="E4306">
        <f>'Календарь'!D222</f>
        <v/>
      </c>
      <c r="F4306">
        <f>INT((C4306-Нед_Начало)/7)+1</f>
        <v/>
      </c>
      <c r="G4306">
        <f>IF(E4306=0,0,INDEX('Планы менеджеров'!$B$5:$M$16,B4306,D4306)/INDEX(Мес_Раб,D4306))</f>
        <v/>
      </c>
    </row>
    <row r="4307">
      <c r="A4307" t="inlineStr">
        <is>
          <t>Павлова</t>
        </is>
      </c>
      <c r="B4307" t="n">
        <v>16</v>
      </c>
      <c r="C4307" s="18">
        <f>'Календарь'!A223</f>
        <v/>
      </c>
      <c r="D4307">
        <f>MONTH(C4307)</f>
        <v/>
      </c>
      <c r="E4307">
        <f>'Календарь'!D223</f>
        <v/>
      </c>
      <c r="F4307">
        <f>INT((C4307-Нед_Начало)/7)+1</f>
        <v/>
      </c>
      <c r="G4307">
        <f>IF(E4307=0,0,INDEX('Планы менеджеров'!$B$5:$M$16,B4307,D4307)/INDEX(Мес_Раб,D4307))</f>
        <v/>
      </c>
    </row>
    <row r="4308">
      <c r="A4308" t="inlineStr">
        <is>
          <t>Павлова</t>
        </is>
      </c>
      <c r="B4308" t="n">
        <v>16</v>
      </c>
      <c r="C4308" s="18">
        <f>'Календарь'!A224</f>
        <v/>
      </c>
      <c r="D4308">
        <f>MONTH(C4308)</f>
        <v/>
      </c>
      <c r="E4308">
        <f>'Календарь'!D224</f>
        <v/>
      </c>
      <c r="F4308">
        <f>INT((C4308-Нед_Начало)/7)+1</f>
        <v/>
      </c>
      <c r="G4308">
        <f>IF(E4308=0,0,INDEX('Планы менеджеров'!$B$5:$M$16,B4308,D4308)/INDEX(Мес_Раб,D4308))</f>
        <v/>
      </c>
    </row>
    <row r="4309">
      <c r="A4309" t="inlineStr">
        <is>
          <t>Павлова</t>
        </is>
      </c>
      <c r="B4309" t="n">
        <v>16</v>
      </c>
      <c r="C4309" s="18">
        <f>'Календарь'!A225</f>
        <v/>
      </c>
      <c r="D4309">
        <f>MONTH(C4309)</f>
        <v/>
      </c>
      <c r="E4309">
        <f>'Календарь'!D225</f>
        <v/>
      </c>
      <c r="F4309">
        <f>INT((C4309-Нед_Начало)/7)+1</f>
        <v/>
      </c>
      <c r="G4309">
        <f>IF(E4309=0,0,INDEX('Планы менеджеров'!$B$5:$M$16,B4309,D4309)/INDEX(Мес_Раб,D4309))</f>
        <v/>
      </c>
    </row>
    <row r="4310">
      <c r="A4310" t="inlineStr">
        <is>
          <t>Павлова</t>
        </is>
      </c>
      <c r="B4310" t="n">
        <v>16</v>
      </c>
      <c r="C4310" s="18">
        <f>'Календарь'!A226</f>
        <v/>
      </c>
      <c r="D4310">
        <f>MONTH(C4310)</f>
        <v/>
      </c>
      <c r="E4310">
        <f>'Календарь'!D226</f>
        <v/>
      </c>
      <c r="F4310">
        <f>INT((C4310-Нед_Начало)/7)+1</f>
        <v/>
      </c>
      <c r="G4310">
        <f>IF(E4310=0,0,INDEX('Планы менеджеров'!$B$5:$M$16,B4310,D4310)/INDEX(Мес_Раб,D4310))</f>
        <v/>
      </c>
    </row>
    <row r="4311">
      <c r="A4311" t="inlineStr">
        <is>
          <t>Павлова</t>
        </is>
      </c>
      <c r="B4311" t="n">
        <v>16</v>
      </c>
      <c r="C4311" s="18">
        <f>'Календарь'!A227</f>
        <v/>
      </c>
      <c r="D4311">
        <f>MONTH(C4311)</f>
        <v/>
      </c>
      <c r="E4311">
        <f>'Календарь'!D227</f>
        <v/>
      </c>
      <c r="F4311">
        <f>INT((C4311-Нед_Начало)/7)+1</f>
        <v/>
      </c>
      <c r="G4311">
        <f>IF(E4311=0,0,INDEX('Планы менеджеров'!$B$5:$M$16,B4311,D4311)/INDEX(Мес_Раб,D4311))</f>
        <v/>
      </c>
    </row>
    <row r="4312">
      <c r="A4312" t="inlineStr">
        <is>
          <t>Павлова</t>
        </is>
      </c>
      <c r="B4312" t="n">
        <v>16</v>
      </c>
      <c r="C4312" s="18">
        <f>'Календарь'!A228</f>
        <v/>
      </c>
      <c r="D4312">
        <f>MONTH(C4312)</f>
        <v/>
      </c>
      <c r="E4312">
        <f>'Календарь'!D228</f>
        <v/>
      </c>
      <c r="F4312">
        <f>INT((C4312-Нед_Начало)/7)+1</f>
        <v/>
      </c>
      <c r="G4312">
        <f>IF(E4312=0,0,INDEX('Планы менеджеров'!$B$5:$M$16,B4312,D4312)/INDEX(Мес_Раб,D4312))</f>
        <v/>
      </c>
    </row>
    <row r="4313">
      <c r="A4313" t="inlineStr">
        <is>
          <t>Павлова</t>
        </is>
      </c>
      <c r="B4313" t="n">
        <v>16</v>
      </c>
      <c r="C4313" s="18">
        <f>'Календарь'!A229</f>
        <v/>
      </c>
      <c r="D4313">
        <f>MONTH(C4313)</f>
        <v/>
      </c>
      <c r="E4313">
        <f>'Календарь'!D229</f>
        <v/>
      </c>
      <c r="F4313">
        <f>INT((C4313-Нед_Начало)/7)+1</f>
        <v/>
      </c>
      <c r="G4313">
        <f>IF(E4313=0,0,INDEX('Планы менеджеров'!$B$5:$M$16,B4313,D4313)/INDEX(Мес_Раб,D4313))</f>
        <v/>
      </c>
    </row>
    <row r="4314">
      <c r="A4314" t="inlineStr">
        <is>
          <t>Павлова</t>
        </is>
      </c>
      <c r="B4314" t="n">
        <v>16</v>
      </c>
      <c r="C4314" s="18">
        <f>'Календарь'!A230</f>
        <v/>
      </c>
      <c r="D4314">
        <f>MONTH(C4314)</f>
        <v/>
      </c>
      <c r="E4314">
        <f>'Календарь'!D230</f>
        <v/>
      </c>
      <c r="F4314">
        <f>INT((C4314-Нед_Начало)/7)+1</f>
        <v/>
      </c>
      <c r="G4314">
        <f>IF(E4314=0,0,INDEX('Планы менеджеров'!$B$5:$M$16,B4314,D4314)/INDEX(Мес_Раб,D4314))</f>
        <v/>
      </c>
    </row>
    <row r="4315">
      <c r="A4315" t="inlineStr">
        <is>
          <t>Павлова</t>
        </is>
      </c>
      <c r="B4315" t="n">
        <v>16</v>
      </c>
      <c r="C4315" s="18">
        <f>'Календарь'!A231</f>
        <v/>
      </c>
      <c r="D4315">
        <f>MONTH(C4315)</f>
        <v/>
      </c>
      <c r="E4315">
        <f>'Календарь'!D231</f>
        <v/>
      </c>
      <c r="F4315">
        <f>INT((C4315-Нед_Начало)/7)+1</f>
        <v/>
      </c>
      <c r="G4315">
        <f>IF(E4315=0,0,INDEX('Планы менеджеров'!$B$5:$M$16,B4315,D4315)/INDEX(Мес_Раб,D4315))</f>
        <v/>
      </c>
    </row>
    <row r="4316">
      <c r="A4316" t="inlineStr">
        <is>
          <t>Павлова</t>
        </is>
      </c>
      <c r="B4316" t="n">
        <v>16</v>
      </c>
      <c r="C4316" s="18">
        <f>'Календарь'!A232</f>
        <v/>
      </c>
      <c r="D4316">
        <f>MONTH(C4316)</f>
        <v/>
      </c>
      <c r="E4316">
        <f>'Календарь'!D232</f>
        <v/>
      </c>
      <c r="F4316">
        <f>INT((C4316-Нед_Начало)/7)+1</f>
        <v/>
      </c>
      <c r="G4316">
        <f>IF(E4316=0,0,INDEX('Планы менеджеров'!$B$5:$M$16,B4316,D4316)/INDEX(Мес_Раб,D4316))</f>
        <v/>
      </c>
    </row>
    <row r="4317">
      <c r="A4317" t="inlineStr">
        <is>
          <t>Павлова</t>
        </is>
      </c>
      <c r="B4317" t="n">
        <v>16</v>
      </c>
      <c r="C4317" s="18">
        <f>'Календарь'!A233</f>
        <v/>
      </c>
      <c r="D4317">
        <f>MONTH(C4317)</f>
        <v/>
      </c>
      <c r="E4317">
        <f>'Календарь'!D233</f>
        <v/>
      </c>
      <c r="F4317">
        <f>INT((C4317-Нед_Начало)/7)+1</f>
        <v/>
      </c>
      <c r="G4317">
        <f>IF(E4317=0,0,INDEX('Планы менеджеров'!$B$5:$M$16,B4317,D4317)/INDEX(Мес_Раб,D4317))</f>
        <v/>
      </c>
    </row>
    <row r="4318">
      <c r="A4318" t="inlineStr">
        <is>
          <t>Павлова</t>
        </is>
      </c>
      <c r="B4318" t="n">
        <v>16</v>
      </c>
      <c r="C4318" s="18">
        <f>'Календарь'!A234</f>
        <v/>
      </c>
      <c r="D4318">
        <f>MONTH(C4318)</f>
        <v/>
      </c>
      <c r="E4318">
        <f>'Календарь'!D234</f>
        <v/>
      </c>
      <c r="F4318">
        <f>INT((C4318-Нед_Начало)/7)+1</f>
        <v/>
      </c>
      <c r="G4318">
        <f>IF(E4318=0,0,INDEX('Планы менеджеров'!$B$5:$M$16,B4318,D4318)/INDEX(Мес_Раб,D4318))</f>
        <v/>
      </c>
    </row>
    <row r="4319">
      <c r="A4319" t="inlineStr">
        <is>
          <t>Павлова</t>
        </is>
      </c>
      <c r="B4319" t="n">
        <v>16</v>
      </c>
      <c r="C4319" s="18">
        <f>'Календарь'!A235</f>
        <v/>
      </c>
      <c r="D4319">
        <f>MONTH(C4319)</f>
        <v/>
      </c>
      <c r="E4319">
        <f>'Календарь'!D235</f>
        <v/>
      </c>
      <c r="F4319">
        <f>INT((C4319-Нед_Начало)/7)+1</f>
        <v/>
      </c>
      <c r="G4319">
        <f>IF(E4319=0,0,INDEX('Планы менеджеров'!$B$5:$M$16,B4319,D4319)/INDEX(Мес_Раб,D4319))</f>
        <v/>
      </c>
    </row>
    <row r="4320">
      <c r="A4320" t="inlineStr">
        <is>
          <t>Павлова</t>
        </is>
      </c>
      <c r="B4320" t="n">
        <v>16</v>
      </c>
      <c r="C4320" s="18">
        <f>'Календарь'!A236</f>
        <v/>
      </c>
      <c r="D4320">
        <f>MONTH(C4320)</f>
        <v/>
      </c>
      <c r="E4320">
        <f>'Календарь'!D236</f>
        <v/>
      </c>
      <c r="F4320">
        <f>INT((C4320-Нед_Начало)/7)+1</f>
        <v/>
      </c>
      <c r="G4320">
        <f>IF(E4320=0,0,INDEX('Планы менеджеров'!$B$5:$M$16,B4320,D4320)/INDEX(Мес_Раб,D4320))</f>
        <v/>
      </c>
    </row>
    <row r="4321">
      <c r="A4321" t="inlineStr">
        <is>
          <t>Павлова</t>
        </is>
      </c>
      <c r="B4321" t="n">
        <v>16</v>
      </c>
      <c r="C4321" s="18">
        <f>'Календарь'!A237</f>
        <v/>
      </c>
      <c r="D4321">
        <f>MONTH(C4321)</f>
        <v/>
      </c>
      <c r="E4321">
        <f>'Календарь'!D237</f>
        <v/>
      </c>
      <c r="F4321">
        <f>INT((C4321-Нед_Начало)/7)+1</f>
        <v/>
      </c>
      <c r="G4321">
        <f>IF(E4321=0,0,INDEX('Планы менеджеров'!$B$5:$M$16,B4321,D4321)/INDEX(Мес_Раб,D4321))</f>
        <v/>
      </c>
    </row>
    <row r="4322">
      <c r="A4322" t="inlineStr">
        <is>
          <t>Павлова</t>
        </is>
      </c>
      <c r="B4322" t="n">
        <v>16</v>
      </c>
      <c r="C4322" s="18">
        <f>'Календарь'!A238</f>
        <v/>
      </c>
      <c r="D4322">
        <f>MONTH(C4322)</f>
        <v/>
      </c>
      <c r="E4322">
        <f>'Календарь'!D238</f>
        <v/>
      </c>
      <c r="F4322">
        <f>INT((C4322-Нед_Начало)/7)+1</f>
        <v/>
      </c>
      <c r="G4322">
        <f>IF(E4322=0,0,INDEX('Планы менеджеров'!$B$5:$M$16,B4322,D4322)/INDEX(Мес_Раб,D4322))</f>
        <v/>
      </c>
    </row>
    <row r="4323">
      <c r="A4323" t="inlineStr">
        <is>
          <t>Павлова</t>
        </is>
      </c>
      <c r="B4323" t="n">
        <v>16</v>
      </c>
      <c r="C4323" s="18">
        <f>'Календарь'!A239</f>
        <v/>
      </c>
      <c r="D4323">
        <f>MONTH(C4323)</f>
        <v/>
      </c>
      <c r="E4323">
        <f>'Календарь'!D239</f>
        <v/>
      </c>
      <c r="F4323">
        <f>INT((C4323-Нед_Начало)/7)+1</f>
        <v/>
      </c>
      <c r="G4323">
        <f>IF(E4323=0,0,INDEX('Планы менеджеров'!$B$5:$M$16,B4323,D4323)/INDEX(Мес_Раб,D4323))</f>
        <v/>
      </c>
    </row>
    <row r="4324">
      <c r="A4324" t="inlineStr">
        <is>
          <t>Павлова</t>
        </is>
      </c>
      <c r="B4324" t="n">
        <v>16</v>
      </c>
      <c r="C4324" s="18">
        <f>'Календарь'!A240</f>
        <v/>
      </c>
      <c r="D4324">
        <f>MONTH(C4324)</f>
        <v/>
      </c>
      <c r="E4324">
        <f>'Календарь'!D240</f>
        <v/>
      </c>
      <c r="F4324">
        <f>INT((C4324-Нед_Начало)/7)+1</f>
        <v/>
      </c>
      <c r="G4324">
        <f>IF(E4324=0,0,INDEX('Планы менеджеров'!$B$5:$M$16,B4324,D4324)/INDEX(Мес_Раб,D4324))</f>
        <v/>
      </c>
    </row>
    <row r="4325">
      <c r="A4325" t="inlineStr">
        <is>
          <t>Павлова</t>
        </is>
      </c>
      <c r="B4325" t="n">
        <v>16</v>
      </c>
      <c r="C4325" s="18">
        <f>'Календарь'!A241</f>
        <v/>
      </c>
      <c r="D4325">
        <f>MONTH(C4325)</f>
        <v/>
      </c>
      <c r="E4325">
        <f>'Календарь'!D241</f>
        <v/>
      </c>
      <c r="F4325">
        <f>INT((C4325-Нед_Начало)/7)+1</f>
        <v/>
      </c>
      <c r="G4325">
        <f>IF(E4325=0,0,INDEX('Планы менеджеров'!$B$5:$M$16,B4325,D4325)/INDEX(Мес_Раб,D4325))</f>
        <v/>
      </c>
    </row>
    <row r="4326">
      <c r="A4326" t="inlineStr">
        <is>
          <t>Павлова</t>
        </is>
      </c>
      <c r="B4326" t="n">
        <v>16</v>
      </c>
      <c r="C4326" s="18">
        <f>'Календарь'!A242</f>
        <v/>
      </c>
      <c r="D4326">
        <f>MONTH(C4326)</f>
        <v/>
      </c>
      <c r="E4326">
        <f>'Календарь'!D242</f>
        <v/>
      </c>
      <c r="F4326">
        <f>INT((C4326-Нед_Начало)/7)+1</f>
        <v/>
      </c>
      <c r="G4326">
        <f>IF(E4326=0,0,INDEX('Планы менеджеров'!$B$5:$M$16,B4326,D4326)/INDEX(Мес_Раб,D4326))</f>
        <v/>
      </c>
    </row>
    <row r="4327">
      <c r="A4327" t="inlineStr">
        <is>
          <t>Павлова</t>
        </is>
      </c>
      <c r="B4327" t="n">
        <v>16</v>
      </c>
      <c r="C4327" s="18">
        <f>'Календарь'!A243</f>
        <v/>
      </c>
      <c r="D4327">
        <f>MONTH(C4327)</f>
        <v/>
      </c>
      <c r="E4327">
        <f>'Календарь'!D243</f>
        <v/>
      </c>
      <c r="F4327">
        <f>INT((C4327-Нед_Начало)/7)+1</f>
        <v/>
      </c>
      <c r="G4327">
        <f>IF(E4327=0,0,INDEX('Планы менеджеров'!$B$5:$M$16,B4327,D4327)/INDEX(Мес_Раб,D4327))</f>
        <v/>
      </c>
    </row>
    <row r="4328">
      <c r="A4328" t="inlineStr">
        <is>
          <t>Павлова</t>
        </is>
      </c>
      <c r="B4328" t="n">
        <v>16</v>
      </c>
      <c r="C4328" s="18">
        <f>'Календарь'!A244</f>
        <v/>
      </c>
      <c r="D4328">
        <f>MONTH(C4328)</f>
        <v/>
      </c>
      <c r="E4328">
        <f>'Календарь'!D244</f>
        <v/>
      </c>
      <c r="F4328">
        <f>INT((C4328-Нед_Начало)/7)+1</f>
        <v/>
      </c>
      <c r="G4328">
        <f>IF(E4328=0,0,INDEX('Планы менеджеров'!$B$5:$M$16,B4328,D4328)/INDEX(Мес_Раб,D4328))</f>
        <v/>
      </c>
    </row>
    <row r="4329">
      <c r="A4329" t="inlineStr">
        <is>
          <t>Павлова</t>
        </is>
      </c>
      <c r="B4329" t="n">
        <v>16</v>
      </c>
      <c r="C4329" s="18">
        <f>'Календарь'!A245</f>
        <v/>
      </c>
      <c r="D4329">
        <f>MONTH(C4329)</f>
        <v/>
      </c>
      <c r="E4329">
        <f>'Календарь'!D245</f>
        <v/>
      </c>
      <c r="F4329">
        <f>INT((C4329-Нед_Начало)/7)+1</f>
        <v/>
      </c>
      <c r="G4329">
        <f>IF(E4329=0,0,INDEX('Планы менеджеров'!$B$5:$M$16,B4329,D4329)/INDEX(Мес_Раб,D4329))</f>
        <v/>
      </c>
    </row>
    <row r="4330">
      <c r="A4330" t="inlineStr">
        <is>
          <t>Павлова</t>
        </is>
      </c>
      <c r="B4330" t="n">
        <v>16</v>
      </c>
      <c r="C4330" s="18">
        <f>'Календарь'!A246</f>
        <v/>
      </c>
      <c r="D4330">
        <f>MONTH(C4330)</f>
        <v/>
      </c>
      <c r="E4330">
        <f>'Календарь'!D246</f>
        <v/>
      </c>
      <c r="F4330">
        <f>INT((C4330-Нед_Начало)/7)+1</f>
        <v/>
      </c>
      <c r="G4330">
        <f>IF(E4330=0,0,INDEX('Планы менеджеров'!$B$5:$M$16,B4330,D4330)/INDEX(Мес_Раб,D4330))</f>
        <v/>
      </c>
    </row>
    <row r="4331">
      <c r="A4331" t="inlineStr">
        <is>
          <t>Павлова</t>
        </is>
      </c>
      <c r="B4331" t="n">
        <v>16</v>
      </c>
      <c r="C4331" s="18">
        <f>'Календарь'!A247</f>
        <v/>
      </c>
      <c r="D4331">
        <f>MONTH(C4331)</f>
        <v/>
      </c>
      <c r="E4331">
        <f>'Календарь'!D247</f>
        <v/>
      </c>
      <c r="F4331">
        <f>INT((C4331-Нед_Начало)/7)+1</f>
        <v/>
      </c>
      <c r="G4331">
        <f>IF(E4331=0,0,INDEX('Планы менеджеров'!$B$5:$M$16,B4331,D4331)/INDEX(Мес_Раб,D4331))</f>
        <v/>
      </c>
    </row>
    <row r="4332">
      <c r="A4332" t="inlineStr">
        <is>
          <t>Павлова</t>
        </is>
      </c>
      <c r="B4332" t="n">
        <v>16</v>
      </c>
      <c r="C4332" s="18">
        <f>'Календарь'!A248</f>
        <v/>
      </c>
      <c r="D4332">
        <f>MONTH(C4332)</f>
        <v/>
      </c>
      <c r="E4332">
        <f>'Календарь'!D248</f>
        <v/>
      </c>
      <c r="F4332">
        <f>INT((C4332-Нед_Начало)/7)+1</f>
        <v/>
      </c>
      <c r="G4332">
        <f>IF(E4332=0,0,INDEX('Планы менеджеров'!$B$5:$M$16,B4332,D4332)/INDEX(Мес_Раб,D4332))</f>
        <v/>
      </c>
    </row>
    <row r="4333">
      <c r="A4333" t="inlineStr">
        <is>
          <t>Павлова</t>
        </is>
      </c>
      <c r="B4333" t="n">
        <v>16</v>
      </c>
      <c r="C4333" s="18">
        <f>'Календарь'!A249</f>
        <v/>
      </c>
      <c r="D4333">
        <f>MONTH(C4333)</f>
        <v/>
      </c>
      <c r="E4333">
        <f>'Календарь'!D249</f>
        <v/>
      </c>
      <c r="F4333">
        <f>INT((C4333-Нед_Начало)/7)+1</f>
        <v/>
      </c>
      <c r="G4333">
        <f>IF(E4333=0,0,INDEX('Планы менеджеров'!$B$5:$M$16,B4333,D4333)/INDEX(Мес_Раб,D4333))</f>
        <v/>
      </c>
    </row>
    <row r="4334">
      <c r="A4334" t="inlineStr">
        <is>
          <t>Павлова</t>
        </is>
      </c>
      <c r="B4334" t="n">
        <v>16</v>
      </c>
      <c r="C4334" s="18">
        <f>'Календарь'!A250</f>
        <v/>
      </c>
      <c r="D4334">
        <f>MONTH(C4334)</f>
        <v/>
      </c>
      <c r="E4334">
        <f>'Календарь'!D250</f>
        <v/>
      </c>
      <c r="F4334">
        <f>INT((C4334-Нед_Начало)/7)+1</f>
        <v/>
      </c>
      <c r="G4334">
        <f>IF(E4334=0,0,INDEX('Планы менеджеров'!$B$5:$M$16,B4334,D4334)/INDEX(Мес_Раб,D4334))</f>
        <v/>
      </c>
    </row>
    <row r="4335">
      <c r="A4335" t="inlineStr">
        <is>
          <t>Павлова</t>
        </is>
      </c>
      <c r="B4335" t="n">
        <v>16</v>
      </c>
      <c r="C4335" s="18">
        <f>'Календарь'!A251</f>
        <v/>
      </c>
      <c r="D4335">
        <f>MONTH(C4335)</f>
        <v/>
      </c>
      <c r="E4335">
        <f>'Календарь'!D251</f>
        <v/>
      </c>
      <c r="F4335">
        <f>INT((C4335-Нед_Начало)/7)+1</f>
        <v/>
      </c>
      <c r="G4335">
        <f>IF(E4335=0,0,INDEX('Планы менеджеров'!$B$5:$M$16,B4335,D4335)/INDEX(Мес_Раб,D4335))</f>
        <v/>
      </c>
    </row>
    <row r="4336">
      <c r="A4336" t="inlineStr">
        <is>
          <t>Павлова</t>
        </is>
      </c>
      <c r="B4336" t="n">
        <v>16</v>
      </c>
      <c r="C4336" s="18">
        <f>'Календарь'!A252</f>
        <v/>
      </c>
      <c r="D4336">
        <f>MONTH(C4336)</f>
        <v/>
      </c>
      <c r="E4336">
        <f>'Календарь'!D252</f>
        <v/>
      </c>
      <c r="F4336">
        <f>INT((C4336-Нед_Начало)/7)+1</f>
        <v/>
      </c>
      <c r="G4336">
        <f>IF(E4336=0,0,INDEX('Планы менеджеров'!$B$5:$M$16,B4336,D4336)/INDEX(Мес_Раб,D4336))</f>
        <v/>
      </c>
    </row>
    <row r="4337">
      <c r="A4337" t="inlineStr">
        <is>
          <t>Павлова</t>
        </is>
      </c>
      <c r="B4337" t="n">
        <v>16</v>
      </c>
      <c r="C4337" s="18">
        <f>'Календарь'!A253</f>
        <v/>
      </c>
      <c r="D4337">
        <f>MONTH(C4337)</f>
        <v/>
      </c>
      <c r="E4337">
        <f>'Календарь'!D253</f>
        <v/>
      </c>
      <c r="F4337">
        <f>INT((C4337-Нед_Начало)/7)+1</f>
        <v/>
      </c>
      <c r="G4337">
        <f>IF(E4337=0,0,INDEX('Планы менеджеров'!$B$5:$M$16,B4337,D4337)/INDEX(Мес_Раб,D4337))</f>
        <v/>
      </c>
    </row>
    <row r="4338">
      <c r="A4338" t="inlineStr">
        <is>
          <t>Павлова</t>
        </is>
      </c>
      <c r="B4338" t="n">
        <v>16</v>
      </c>
      <c r="C4338" s="18">
        <f>'Календарь'!A254</f>
        <v/>
      </c>
      <c r="D4338">
        <f>MONTH(C4338)</f>
        <v/>
      </c>
      <c r="E4338">
        <f>'Календарь'!D254</f>
        <v/>
      </c>
      <c r="F4338">
        <f>INT((C4338-Нед_Начало)/7)+1</f>
        <v/>
      </c>
      <c r="G4338">
        <f>IF(E4338=0,0,INDEX('Планы менеджеров'!$B$5:$M$16,B4338,D4338)/INDEX(Мес_Раб,D4338))</f>
        <v/>
      </c>
    </row>
    <row r="4339">
      <c r="A4339" t="inlineStr">
        <is>
          <t>Павлова</t>
        </is>
      </c>
      <c r="B4339" t="n">
        <v>16</v>
      </c>
      <c r="C4339" s="18">
        <f>'Календарь'!A255</f>
        <v/>
      </c>
      <c r="D4339">
        <f>MONTH(C4339)</f>
        <v/>
      </c>
      <c r="E4339">
        <f>'Календарь'!D255</f>
        <v/>
      </c>
      <c r="F4339">
        <f>INT((C4339-Нед_Начало)/7)+1</f>
        <v/>
      </c>
      <c r="G4339">
        <f>IF(E4339=0,0,INDEX('Планы менеджеров'!$B$5:$M$16,B4339,D4339)/INDEX(Мес_Раб,D4339))</f>
        <v/>
      </c>
    </row>
    <row r="4340">
      <c r="A4340" t="inlineStr">
        <is>
          <t>Павлова</t>
        </is>
      </c>
      <c r="B4340" t="n">
        <v>16</v>
      </c>
      <c r="C4340" s="18">
        <f>'Календарь'!A256</f>
        <v/>
      </c>
      <c r="D4340">
        <f>MONTH(C4340)</f>
        <v/>
      </c>
      <c r="E4340">
        <f>'Календарь'!D256</f>
        <v/>
      </c>
      <c r="F4340">
        <f>INT((C4340-Нед_Начало)/7)+1</f>
        <v/>
      </c>
      <c r="G4340">
        <f>IF(E4340=0,0,INDEX('Планы менеджеров'!$B$5:$M$16,B4340,D4340)/INDEX(Мес_Раб,D4340))</f>
        <v/>
      </c>
    </row>
    <row r="4341">
      <c r="A4341" t="inlineStr">
        <is>
          <t>Павлова</t>
        </is>
      </c>
      <c r="B4341" t="n">
        <v>16</v>
      </c>
      <c r="C4341" s="18">
        <f>'Календарь'!A257</f>
        <v/>
      </c>
      <c r="D4341">
        <f>MONTH(C4341)</f>
        <v/>
      </c>
      <c r="E4341">
        <f>'Календарь'!D257</f>
        <v/>
      </c>
      <c r="F4341">
        <f>INT((C4341-Нед_Начало)/7)+1</f>
        <v/>
      </c>
      <c r="G4341">
        <f>IF(E4341=0,0,INDEX('Планы менеджеров'!$B$5:$M$16,B4341,D4341)/INDEX(Мес_Раб,D4341))</f>
        <v/>
      </c>
    </row>
    <row r="4342">
      <c r="A4342" t="inlineStr">
        <is>
          <t>Павлова</t>
        </is>
      </c>
      <c r="B4342" t="n">
        <v>16</v>
      </c>
      <c r="C4342" s="18">
        <f>'Календарь'!A258</f>
        <v/>
      </c>
      <c r="D4342">
        <f>MONTH(C4342)</f>
        <v/>
      </c>
      <c r="E4342">
        <f>'Календарь'!D258</f>
        <v/>
      </c>
      <c r="F4342">
        <f>INT((C4342-Нед_Начало)/7)+1</f>
        <v/>
      </c>
      <c r="G4342">
        <f>IF(E4342=0,0,INDEX('Планы менеджеров'!$B$5:$M$16,B4342,D4342)/INDEX(Мес_Раб,D4342))</f>
        <v/>
      </c>
    </row>
    <row r="4343">
      <c r="A4343" t="inlineStr">
        <is>
          <t>Павлова</t>
        </is>
      </c>
      <c r="B4343" t="n">
        <v>16</v>
      </c>
      <c r="C4343" s="18">
        <f>'Календарь'!A259</f>
        <v/>
      </c>
      <c r="D4343">
        <f>MONTH(C4343)</f>
        <v/>
      </c>
      <c r="E4343">
        <f>'Календарь'!D259</f>
        <v/>
      </c>
      <c r="F4343">
        <f>INT((C4343-Нед_Начало)/7)+1</f>
        <v/>
      </c>
      <c r="G4343">
        <f>IF(E4343=0,0,INDEX('Планы менеджеров'!$B$5:$M$16,B4343,D4343)/INDEX(Мес_Раб,D4343))</f>
        <v/>
      </c>
    </row>
    <row r="4344">
      <c r="A4344" t="inlineStr">
        <is>
          <t>Павлова</t>
        </is>
      </c>
      <c r="B4344" t="n">
        <v>16</v>
      </c>
      <c r="C4344" s="18">
        <f>'Календарь'!A260</f>
        <v/>
      </c>
      <c r="D4344">
        <f>MONTH(C4344)</f>
        <v/>
      </c>
      <c r="E4344">
        <f>'Календарь'!D260</f>
        <v/>
      </c>
      <c r="F4344">
        <f>INT((C4344-Нед_Начало)/7)+1</f>
        <v/>
      </c>
      <c r="G4344">
        <f>IF(E4344=0,0,INDEX('Планы менеджеров'!$B$5:$M$16,B4344,D4344)/INDEX(Мес_Раб,D4344))</f>
        <v/>
      </c>
    </row>
    <row r="4345">
      <c r="A4345" t="inlineStr">
        <is>
          <t>Павлова</t>
        </is>
      </c>
      <c r="B4345" t="n">
        <v>16</v>
      </c>
      <c r="C4345" s="18">
        <f>'Календарь'!A261</f>
        <v/>
      </c>
      <c r="D4345">
        <f>MONTH(C4345)</f>
        <v/>
      </c>
      <c r="E4345">
        <f>'Календарь'!D261</f>
        <v/>
      </c>
      <c r="F4345">
        <f>INT((C4345-Нед_Начало)/7)+1</f>
        <v/>
      </c>
      <c r="G4345">
        <f>IF(E4345=0,0,INDEX('Планы менеджеров'!$B$5:$M$16,B4345,D4345)/INDEX(Мес_Раб,D4345))</f>
        <v/>
      </c>
    </row>
    <row r="4346">
      <c r="A4346" t="inlineStr">
        <is>
          <t>Павлова</t>
        </is>
      </c>
      <c r="B4346" t="n">
        <v>16</v>
      </c>
      <c r="C4346" s="18">
        <f>'Календарь'!A262</f>
        <v/>
      </c>
      <c r="D4346">
        <f>MONTH(C4346)</f>
        <v/>
      </c>
      <c r="E4346">
        <f>'Календарь'!D262</f>
        <v/>
      </c>
      <c r="F4346">
        <f>INT((C4346-Нед_Начало)/7)+1</f>
        <v/>
      </c>
      <c r="G4346">
        <f>IF(E4346=0,0,INDEX('Планы менеджеров'!$B$5:$M$16,B4346,D4346)/INDEX(Мес_Раб,D4346))</f>
        <v/>
      </c>
    </row>
    <row r="4347">
      <c r="A4347" t="inlineStr">
        <is>
          <t>Павлова</t>
        </is>
      </c>
      <c r="B4347" t="n">
        <v>16</v>
      </c>
      <c r="C4347" s="18">
        <f>'Календарь'!A263</f>
        <v/>
      </c>
      <c r="D4347">
        <f>MONTH(C4347)</f>
        <v/>
      </c>
      <c r="E4347">
        <f>'Календарь'!D263</f>
        <v/>
      </c>
      <c r="F4347">
        <f>INT((C4347-Нед_Начало)/7)+1</f>
        <v/>
      </c>
      <c r="G4347">
        <f>IF(E4347=0,0,INDEX('Планы менеджеров'!$B$5:$M$16,B4347,D4347)/INDEX(Мес_Раб,D4347))</f>
        <v/>
      </c>
    </row>
    <row r="4348">
      <c r="A4348" t="inlineStr">
        <is>
          <t>Павлова</t>
        </is>
      </c>
      <c r="B4348" t="n">
        <v>16</v>
      </c>
      <c r="C4348" s="18">
        <f>'Календарь'!A264</f>
        <v/>
      </c>
      <c r="D4348">
        <f>MONTH(C4348)</f>
        <v/>
      </c>
      <c r="E4348">
        <f>'Календарь'!D264</f>
        <v/>
      </c>
      <c r="F4348">
        <f>INT((C4348-Нед_Начало)/7)+1</f>
        <v/>
      </c>
      <c r="G4348">
        <f>IF(E4348=0,0,INDEX('Планы менеджеров'!$B$5:$M$16,B4348,D4348)/INDEX(Мес_Раб,D4348))</f>
        <v/>
      </c>
    </row>
    <row r="4349">
      <c r="A4349" t="inlineStr">
        <is>
          <t>Павлова</t>
        </is>
      </c>
      <c r="B4349" t="n">
        <v>16</v>
      </c>
      <c r="C4349" s="18">
        <f>'Календарь'!A265</f>
        <v/>
      </c>
      <c r="D4349">
        <f>MONTH(C4349)</f>
        <v/>
      </c>
      <c r="E4349">
        <f>'Календарь'!D265</f>
        <v/>
      </c>
      <c r="F4349">
        <f>INT((C4349-Нед_Начало)/7)+1</f>
        <v/>
      </c>
      <c r="G4349">
        <f>IF(E4349=0,0,INDEX('Планы менеджеров'!$B$5:$M$16,B4349,D4349)/INDEX(Мес_Раб,D4349))</f>
        <v/>
      </c>
    </row>
    <row r="4350">
      <c r="A4350" t="inlineStr">
        <is>
          <t>Павлова</t>
        </is>
      </c>
      <c r="B4350" t="n">
        <v>16</v>
      </c>
      <c r="C4350" s="18">
        <f>'Календарь'!A266</f>
        <v/>
      </c>
      <c r="D4350">
        <f>MONTH(C4350)</f>
        <v/>
      </c>
      <c r="E4350">
        <f>'Календарь'!D266</f>
        <v/>
      </c>
      <c r="F4350">
        <f>INT((C4350-Нед_Начало)/7)+1</f>
        <v/>
      </c>
      <c r="G4350">
        <f>IF(E4350=0,0,INDEX('Планы менеджеров'!$B$5:$M$16,B4350,D4350)/INDEX(Мес_Раб,D4350))</f>
        <v/>
      </c>
    </row>
    <row r="4351">
      <c r="A4351" t="inlineStr">
        <is>
          <t>Павлова</t>
        </is>
      </c>
      <c r="B4351" t="n">
        <v>16</v>
      </c>
      <c r="C4351" s="18">
        <f>'Календарь'!A267</f>
        <v/>
      </c>
      <c r="D4351">
        <f>MONTH(C4351)</f>
        <v/>
      </c>
      <c r="E4351">
        <f>'Календарь'!D267</f>
        <v/>
      </c>
      <c r="F4351">
        <f>INT((C4351-Нед_Начало)/7)+1</f>
        <v/>
      </c>
      <c r="G4351">
        <f>IF(E4351=0,0,INDEX('Планы менеджеров'!$B$5:$M$16,B4351,D4351)/INDEX(Мес_Раб,D4351))</f>
        <v/>
      </c>
    </row>
    <row r="4352">
      <c r="A4352" t="inlineStr">
        <is>
          <t>Павлова</t>
        </is>
      </c>
      <c r="B4352" t="n">
        <v>16</v>
      </c>
      <c r="C4352" s="18">
        <f>'Календарь'!A268</f>
        <v/>
      </c>
      <c r="D4352">
        <f>MONTH(C4352)</f>
        <v/>
      </c>
      <c r="E4352">
        <f>'Календарь'!D268</f>
        <v/>
      </c>
      <c r="F4352">
        <f>INT((C4352-Нед_Начало)/7)+1</f>
        <v/>
      </c>
      <c r="G4352">
        <f>IF(E4352=0,0,INDEX('Планы менеджеров'!$B$5:$M$16,B4352,D4352)/INDEX(Мес_Раб,D4352))</f>
        <v/>
      </c>
    </row>
    <row r="4353">
      <c r="A4353" t="inlineStr">
        <is>
          <t>Павлова</t>
        </is>
      </c>
      <c r="B4353" t="n">
        <v>16</v>
      </c>
      <c r="C4353" s="18">
        <f>'Календарь'!A269</f>
        <v/>
      </c>
      <c r="D4353">
        <f>MONTH(C4353)</f>
        <v/>
      </c>
      <c r="E4353">
        <f>'Календарь'!D269</f>
        <v/>
      </c>
      <c r="F4353">
        <f>INT((C4353-Нед_Начало)/7)+1</f>
        <v/>
      </c>
      <c r="G4353">
        <f>IF(E4353=0,0,INDEX('Планы менеджеров'!$B$5:$M$16,B4353,D4353)/INDEX(Мес_Раб,D4353))</f>
        <v/>
      </c>
    </row>
    <row r="4354">
      <c r="A4354" t="inlineStr">
        <is>
          <t>Павлова</t>
        </is>
      </c>
      <c r="B4354" t="n">
        <v>16</v>
      </c>
      <c r="C4354" s="18">
        <f>'Календарь'!A270</f>
        <v/>
      </c>
      <c r="D4354">
        <f>MONTH(C4354)</f>
        <v/>
      </c>
      <c r="E4354">
        <f>'Календарь'!D270</f>
        <v/>
      </c>
      <c r="F4354">
        <f>INT((C4354-Нед_Начало)/7)+1</f>
        <v/>
      </c>
      <c r="G4354">
        <f>IF(E4354=0,0,INDEX('Планы менеджеров'!$B$5:$M$16,B4354,D4354)/INDEX(Мес_Раб,D4354))</f>
        <v/>
      </c>
    </row>
    <row r="4355">
      <c r="A4355" t="inlineStr">
        <is>
          <t>Павлова</t>
        </is>
      </c>
      <c r="B4355" t="n">
        <v>16</v>
      </c>
      <c r="C4355" s="18">
        <f>'Календарь'!A271</f>
        <v/>
      </c>
      <c r="D4355">
        <f>MONTH(C4355)</f>
        <v/>
      </c>
      <c r="E4355">
        <f>'Календарь'!D271</f>
        <v/>
      </c>
      <c r="F4355">
        <f>INT((C4355-Нед_Начало)/7)+1</f>
        <v/>
      </c>
      <c r="G4355">
        <f>IF(E4355=0,0,INDEX('Планы менеджеров'!$B$5:$M$16,B4355,D4355)/INDEX(Мес_Раб,D4355))</f>
        <v/>
      </c>
    </row>
    <row r="4356">
      <c r="A4356" t="inlineStr">
        <is>
          <t>Павлова</t>
        </is>
      </c>
      <c r="B4356" t="n">
        <v>16</v>
      </c>
      <c r="C4356" s="18">
        <f>'Календарь'!A272</f>
        <v/>
      </c>
      <c r="D4356">
        <f>MONTH(C4356)</f>
        <v/>
      </c>
      <c r="E4356">
        <f>'Календарь'!D272</f>
        <v/>
      </c>
      <c r="F4356">
        <f>INT((C4356-Нед_Начало)/7)+1</f>
        <v/>
      </c>
      <c r="G4356">
        <f>IF(E4356=0,0,INDEX('Планы менеджеров'!$B$5:$M$16,B4356,D4356)/INDEX(Мес_Раб,D4356))</f>
        <v/>
      </c>
    </row>
    <row r="4357">
      <c r="A4357" t="inlineStr">
        <is>
          <t>Павлова</t>
        </is>
      </c>
      <c r="B4357" t="n">
        <v>16</v>
      </c>
      <c r="C4357" s="18">
        <f>'Календарь'!A273</f>
        <v/>
      </c>
      <c r="D4357">
        <f>MONTH(C4357)</f>
        <v/>
      </c>
      <c r="E4357">
        <f>'Календарь'!D273</f>
        <v/>
      </c>
      <c r="F4357">
        <f>INT((C4357-Нед_Начало)/7)+1</f>
        <v/>
      </c>
      <c r="G4357">
        <f>IF(E4357=0,0,INDEX('Планы менеджеров'!$B$5:$M$16,B4357,D4357)/INDEX(Мес_Раб,D4357))</f>
        <v/>
      </c>
    </row>
    <row r="4358">
      <c r="A4358" t="inlineStr">
        <is>
          <t>Павлова</t>
        </is>
      </c>
      <c r="B4358" t="n">
        <v>16</v>
      </c>
      <c r="C4358" s="18">
        <f>'Календарь'!A274</f>
        <v/>
      </c>
      <c r="D4358">
        <f>MONTH(C4358)</f>
        <v/>
      </c>
      <c r="E4358">
        <f>'Календарь'!D274</f>
        <v/>
      </c>
      <c r="F4358">
        <f>INT((C4358-Нед_Начало)/7)+1</f>
        <v/>
      </c>
      <c r="G4358">
        <f>IF(E4358=0,0,INDEX('Планы менеджеров'!$B$5:$M$16,B4358,D4358)/INDEX(Мес_Раб,D4358))</f>
        <v/>
      </c>
    </row>
    <row r="4359">
      <c r="A4359" t="inlineStr">
        <is>
          <t>Павлова</t>
        </is>
      </c>
      <c r="B4359" t="n">
        <v>16</v>
      </c>
      <c r="C4359" s="18">
        <f>'Календарь'!A275</f>
        <v/>
      </c>
      <c r="D4359">
        <f>MONTH(C4359)</f>
        <v/>
      </c>
      <c r="E4359">
        <f>'Календарь'!D275</f>
        <v/>
      </c>
      <c r="F4359">
        <f>INT((C4359-Нед_Начало)/7)+1</f>
        <v/>
      </c>
      <c r="G4359">
        <f>IF(E4359=0,0,INDEX('Планы менеджеров'!$B$5:$M$16,B4359,D4359)/INDEX(Мес_Раб,D4359))</f>
        <v/>
      </c>
    </row>
    <row r="4360">
      <c r="A4360" t="inlineStr">
        <is>
          <t>Павлова</t>
        </is>
      </c>
      <c r="B4360" t="n">
        <v>16</v>
      </c>
      <c r="C4360" s="18">
        <f>'Календарь'!A276</f>
        <v/>
      </c>
      <c r="D4360">
        <f>MONTH(C4360)</f>
        <v/>
      </c>
      <c r="E4360">
        <f>'Календарь'!D276</f>
        <v/>
      </c>
      <c r="F4360">
        <f>INT((C4360-Нед_Начало)/7)+1</f>
        <v/>
      </c>
      <c r="G4360">
        <f>IF(E4360=0,0,INDEX('Планы менеджеров'!$B$5:$M$16,B4360,D4360)/INDEX(Мес_Раб,D4360))</f>
        <v/>
      </c>
    </row>
    <row r="4361">
      <c r="A4361" t="inlineStr">
        <is>
          <t>Павлова</t>
        </is>
      </c>
      <c r="B4361" t="n">
        <v>16</v>
      </c>
      <c r="C4361" s="18">
        <f>'Календарь'!A277</f>
        <v/>
      </c>
      <c r="D4361">
        <f>MONTH(C4361)</f>
        <v/>
      </c>
      <c r="E4361">
        <f>'Календарь'!D277</f>
        <v/>
      </c>
      <c r="F4361">
        <f>INT((C4361-Нед_Начало)/7)+1</f>
        <v/>
      </c>
      <c r="G4361">
        <f>IF(E4361=0,0,INDEX('Планы менеджеров'!$B$5:$M$16,B4361,D4361)/INDEX(Мес_Раб,D4361))</f>
        <v/>
      </c>
    </row>
    <row r="4362">
      <c r="A4362" t="inlineStr">
        <is>
          <t>Павлова</t>
        </is>
      </c>
      <c r="B4362" t="n">
        <v>16</v>
      </c>
      <c r="C4362" s="18">
        <f>'Календарь'!A278</f>
        <v/>
      </c>
      <c r="D4362">
        <f>MONTH(C4362)</f>
        <v/>
      </c>
      <c r="E4362">
        <f>'Календарь'!D278</f>
        <v/>
      </c>
      <c r="F4362">
        <f>INT((C4362-Нед_Начало)/7)+1</f>
        <v/>
      </c>
      <c r="G4362">
        <f>IF(E4362=0,0,INDEX('Планы менеджеров'!$B$5:$M$16,B4362,D4362)/INDEX(Мес_Раб,D4362))</f>
        <v/>
      </c>
    </row>
    <row r="4363">
      <c r="A4363" t="inlineStr">
        <is>
          <t>Павлова</t>
        </is>
      </c>
      <c r="B4363" t="n">
        <v>16</v>
      </c>
      <c r="C4363" s="18">
        <f>'Календарь'!A279</f>
        <v/>
      </c>
      <c r="D4363">
        <f>MONTH(C4363)</f>
        <v/>
      </c>
      <c r="E4363">
        <f>'Календарь'!D279</f>
        <v/>
      </c>
      <c r="F4363">
        <f>INT((C4363-Нед_Начало)/7)+1</f>
        <v/>
      </c>
      <c r="G4363">
        <f>IF(E4363=0,0,INDEX('Планы менеджеров'!$B$5:$M$16,B4363,D4363)/INDEX(Мес_Раб,D4363))</f>
        <v/>
      </c>
    </row>
    <row r="4364">
      <c r="A4364" t="inlineStr">
        <is>
          <t>Павлова</t>
        </is>
      </c>
      <c r="B4364" t="n">
        <v>16</v>
      </c>
      <c r="C4364" s="18">
        <f>'Календарь'!A280</f>
        <v/>
      </c>
      <c r="D4364">
        <f>MONTH(C4364)</f>
        <v/>
      </c>
      <c r="E4364">
        <f>'Календарь'!D280</f>
        <v/>
      </c>
      <c r="F4364">
        <f>INT((C4364-Нед_Начало)/7)+1</f>
        <v/>
      </c>
      <c r="G4364">
        <f>IF(E4364=0,0,INDEX('Планы менеджеров'!$B$5:$M$16,B4364,D4364)/INDEX(Мес_Раб,D4364))</f>
        <v/>
      </c>
    </row>
    <row r="4365">
      <c r="A4365" t="inlineStr">
        <is>
          <t>Павлова</t>
        </is>
      </c>
      <c r="B4365" t="n">
        <v>16</v>
      </c>
      <c r="C4365" s="18">
        <f>'Календарь'!A281</f>
        <v/>
      </c>
      <c r="D4365">
        <f>MONTH(C4365)</f>
        <v/>
      </c>
      <c r="E4365">
        <f>'Календарь'!D281</f>
        <v/>
      </c>
      <c r="F4365">
        <f>INT((C4365-Нед_Начало)/7)+1</f>
        <v/>
      </c>
      <c r="G4365">
        <f>IF(E4365=0,0,INDEX('Планы менеджеров'!$B$5:$M$16,B4365,D4365)/INDEX(Мес_Раб,D4365))</f>
        <v/>
      </c>
    </row>
    <row r="4366">
      <c r="A4366" t="inlineStr">
        <is>
          <t>Павлова</t>
        </is>
      </c>
      <c r="B4366" t="n">
        <v>16</v>
      </c>
      <c r="C4366" s="18">
        <f>'Календарь'!A282</f>
        <v/>
      </c>
      <c r="D4366">
        <f>MONTH(C4366)</f>
        <v/>
      </c>
      <c r="E4366">
        <f>'Календарь'!D282</f>
        <v/>
      </c>
      <c r="F4366">
        <f>INT((C4366-Нед_Начало)/7)+1</f>
        <v/>
      </c>
      <c r="G4366">
        <f>IF(E4366=0,0,INDEX('Планы менеджеров'!$B$5:$M$16,B4366,D4366)/INDEX(Мес_Раб,D4366))</f>
        <v/>
      </c>
    </row>
    <row r="4367">
      <c r="A4367" t="inlineStr">
        <is>
          <t>Павлова</t>
        </is>
      </c>
      <c r="B4367" t="n">
        <v>16</v>
      </c>
      <c r="C4367" s="18">
        <f>'Календарь'!A283</f>
        <v/>
      </c>
      <c r="D4367">
        <f>MONTH(C4367)</f>
        <v/>
      </c>
      <c r="E4367">
        <f>'Календарь'!D283</f>
        <v/>
      </c>
      <c r="F4367">
        <f>INT((C4367-Нед_Начало)/7)+1</f>
        <v/>
      </c>
      <c r="G4367">
        <f>IF(E4367=0,0,INDEX('Планы менеджеров'!$B$5:$M$16,B4367,D4367)/INDEX(Мес_Раб,D4367))</f>
        <v/>
      </c>
    </row>
    <row r="4368">
      <c r="A4368" t="inlineStr">
        <is>
          <t>Павлова</t>
        </is>
      </c>
      <c r="B4368" t="n">
        <v>16</v>
      </c>
      <c r="C4368" s="18">
        <f>'Календарь'!A284</f>
        <v/>
      </c>
      <c r="D4368">
        <f>MONTH(C4368)</f>
        <v/>
      </c>
      <c r="E4368">
        <f>'Календарь'!D284</f>
        <v/>
      </c>
      <c r="F4368">
        <f>INT((C4368-Нед_Начало)/7)+1</f>
        <v/>
      </c>
      <c r="G4368">
        <f>IF(E4368=0,0,INDEX('Планы менеджеров'!$B$5:$M$16,B4368,D4368)/INDEX(Мес_Раб,D4368))</f>
        <v/>
      </c>
    </row>
    <row r="4369">
      <c r="A4369" t="inlineStr">
        <is>
          <t>Павлова</t>
        </is>
      </c>
      <c r="B4369" t="n">
        <v>16</v>
      </c>
      <c r="C4369" s="18">
        <f>'Календарь'!A285</f>
        <v/>
      </c>
      <c r="D4369">
        <f>MONTH(C4369)</f>
        <v/>
      </c>
      <c r="E4369">
        <f>'Календарь'!D285</f>
        <v/>
      </c>
      <c r="F4369">
        <f>INT((C4369-Нед_Начало)/7)+1</f>
        <v/>
      </c>
      <c r="G4369">
        <f>IF(E4369=0,0,INDEX('Планы менеджеров'!$B$5:$M$16,B4369,D4369)/INDEX(Мес_Раб,D4369))</f>
        <v/>
      </c>
    </row>
    <row r="4370">
      <c r="A4370" t="inlineStr">
        <is>
          <t>Павлова</t>
        </is>
      </c>
      <c r="B4370" t="n">
        <v>16</v>
      </c>
      <c r="C4370" s="18">
        <f>'Календарь'!A286</f>
        <v/>
      </c>
      <c r="D4370">
        <f>MONTH(C4370)</f>
        <v/>
      </c>
      <c r="E4370">
        <f>'Календарь'!D286</f>
        <v/>
      </c>
      <c r="F4370">
        <f>INT((C4370-Нед_Начало)/7)+1</f>
        <v/>
      </c>
      <c r="G4370">
        <f>IF(E4370=0,0,INDEX('Планы менеджеров'!$B$5:$M$16,B4370,D4370)/INDEX(Мес_Раб,D4370))</f>
        <v/>
      </c>
    </row>
    <row r="4371">
      <c r="A4371" t="inlineStr">
        <is>
          <t>Павлова</t>
        </is>
      </c>
      <c r="B4371" t="n">
        <v>16</v>
      </c>
      <c r="C4371" s="18">
        <f>'Календарь'!A287</f>
        <v/>
      </c>
      <c r="D4371">
        <f>MONTH(C4371)</f>
        <v/>
      </c>
      <c r="E4371">
        <f>'Календарь'!D287</f>
        <v/>
      </c>
      <c r="F4371">
        <f>INT((C4371-Нед_Начало)/7)+1</f>
        <v/>
      </c>
      <c r="G4371">
        <f>IF(E4371=0,0,INDEX('Планы менеджеров'!$B$5:$M$16,B4371,D4371)/INDEX(Мес_Раб,D4371))</f>
        <v/>
      </c>
    </row>
    <row r="4372">
      <c r="A4372" t="inlineStr">
        <is>
          <t>Павлова</t>
        </is>
      </c>
      <c r="B4372" t="n">
        <v>16</v>
      </c>
      <c r="C4372" s="18">
        <f>'Календарь'!A288</f>
        <v/>
      </c>
      <c r="D4372">
        <f>MONTH(C4372)</f>
        <v/>
      </c>
      <c r="E4372">
        <f>'Календарь'!D288</f>
        <v/>
      </c>
      <c r="F4372">
        <f>INT((C4372-Нед_Начало)/7)+1</f>
        <v/>
      </c>
      <c r="G4372">
        <f>IF(E4372=0,0,INDEX('Планы менеджеров'!$B$5:$M$16,B4372,D4372)/INDEX(Мес_Раб,D4372))</f>
        <v/>
      </c>
    </row>
    <row r="4373">
      <c r="A4373" t="inlineStr">
        <is>
          <t>Павлова</t>
        </is>
      </c>
      <c r="B4373" t="n">
        <v>16</v>
      </c>
      <c r="C4373" s="18">
        <f>'Календарь'!A289</f>
        <v/>
      </c>
      <c r="D4373">
        <f>MONTH(C4373)</f>
        <v/>
      </c>
      <c r="E4373">
        <f>'Календарь'!D289</f>
        <v/>
      </c>
      <c r="F4373">
        <f>INT((C4373-Нед_Начало)/7)+1</f>
        <v/>
      </c>
      <c r="G4373">
        <f>IF(E4373=0,0,INDEX('Планы менеджеров'!$B$5:$M$16,B4373,D4373)/INDEX(Мес_Раб,D4373))</f>
        <v/>
      </c>
    </row>
    <row r="4374">
      <c r="A4374" t="inlineStr">
        <is>
          <t>Павлова</t>
        </is>
      </c>
      <c r="B4374" t="n">
        <v>16</v>
      </c>
      <c r="C4374" s="18">
        <f>'Календарь'!A290</f>
        <v/>
      </c>
      <c r="D4374">
        <f>MONTH(C4374)</f>
        <v/>
      </c>
      <c r="E4374">
        <f>'Календарь'!D290</f>
        <v/>
      </c>
      <c r="F4374">
        <f>INT((C4374-Нед_Начало)/7)+1</f>
        <v/>
      </c>
      <c r="G4374">
        <f>IF(E4374=0,0,INDEX('Планы менеджеров'!$B$5:$M$16,B4374,D4374)/INDEX(Мес_Раб,D4374))</f>
        <v/>
      </c>
    </row>
    <row r="4375">
      <c r="A4375" t="inlineStr">
        <is>
          <t>Павлова</t>
        </is>
      </c>
      <c r="B4375" t="n">
        <v>16</v>
      </c>
      <c r="C4375" s="18">
        <f>'Календарь'!A291</f>
        <v/>
      </c>
      <c r="D4375">
        <f>MONTH(C4375)</f>
        <v/>
      </c>
      <c r="E4375">
        <f>'Календарь'!D291</f>
        <v/>
      </c>
      <c r="F4375">
        <f>INT((C4375-Нед_Начало)/7)+1</f>
        <v/>
      </c>
      <c r="G4375">
        <f>IF(E4375=0,0,INDEX('Планы менеджеров'!$B$5:$M$16,B4375,D4375)/INDEX(Мес_Раб,D4375))</f>
        <v/>
      </c>
    </row>
    <row r="4376">
      <c r="A4376" t="inlineStr">
        <is>
          <t>Павлова</t>
        </is>
      </c>
      <c r="B4376" t="n">
        <v>16</v>
      </c>
      <c r="C4376" s="18">
        <f>'Календарь'!A292</f>
        <v/>
      </c>
      <c r="D4376">
        <f>MONTH(C4376)</f>
        <v/>
      </c>
      <c r="E4376">
        <f>'Календарь'!D292</f>
        <v/>
      </c>
      <c r="F4376">
        <f>INT((C4376-Нед_Начало)/7)+1</f>
        <v/>
      </c>
      <c r="G4376">
        <f>IF(E4376=0,0,INDEX('Планы менеджеров'!$B$5:$M$16,B4376,D4376)/INDEX(Мес_Раб,D4376))</f>
        <v/>
      </c>
    </row>
    <row r="4377">
      <c r="A4377" t="inlineStr">
        <is>
          <t>Павлова</t>
        </is>
      </c>
      <c r="B4377" t="n">
        <v>16</v>
      </c>
      <c r="C4377" s="18">
        <f>'Календарь'!A293</f>
        <v/>
      </c>
      <c r="D4377">
        <f>MONTH(C4377)</f>
        <v/>
      </c>
      <c r="E4377">
        <f>'Календарь'!D293</f>
        <v/>
      </c>
      <c r="F4377">
        <f>INT((C4377-Нед_Начало)/7)+1</f>
        <v/>
      </c>
      <c r="G4377">
        <f>IF(E4377=0,0,INDEX('Планы менеджеров'!$B$5:$M$16,B4377,D4377)/INDEX(Мес_Раб,D4377))</f>
        <v/>
      </c>
    </row>
    <row r="4378">
      <c r="A4378" t="inlineStr">
        <is>
          <t>Павлова</t>
        </is>
      </c>
      <c r="B4378" t="n">
        <v>16</v>
      </c>
      <c r="C4378" s="18">
        <f>'Календарь'!A294</f>
        <v/>
      </c>
      <c r="D4378">
        <f>MONTH(C4378)</f>
        <v/>
      </c>
      <c r="E4378">
        <f>'Календарь'!D294</f>
        <v/>
      </c>
      <c r="F4378">
        <f>INT((C4378-Нед_Начало)/7)+1</f>
        <v/>
      </c>
      <c r="G4378">
        <f>IF(E4378=0,0,INDEX('Планы менеджеров'!$B$5:$M$16,B4378,D4378)/INDEX(Мес_Раб,D4378))</f>
        <v/>
      </c>
    </row>
    <row r="4379">
      <c r="A4379" t="inlineStr">
        <is>
          <t>Павлова</t>
        </is>
      </c>
      <c r="B4379" t="n">
        <v>16</v>
      </c>
      <c r="C4379" s="18">
        <f>'Календарь'!A295</f>
        <v/>
      </c>
      <c r="D4379">
        <f>MONTH(C4379)</f>
        <v/>
      </c>
      <c r="E4379">
        <f>'Календарь'!D295</f>
        <v/>
      </c>
      <c r="F4379">
        <f>INT((C4379-Нед_Начало)/7)+1</f>
        <v/>
      </c>
      <c r="G4379">
        <f>IF(E4379=0,0,INDEX('Планы менеджеров'!$B$5:$M$16,B4379,D4379)/INDEX(Мес_Раб,D4379))</f>
        <v/>
      </c>
    </row>
    <row r="4380">
      <c r="A4380" t="inlineStr">
        <is>
          <t>Павлова</t>
        </is>
      </c>
      <c r="B4380" t="n">
        <v>16</v>
      </c>
      <c r="C4380" s="18">
        <f>'Календарь'!A296</f>
        <v/>
      </c>
      <c r="D4380">
        <f>MONTH(C4380)</f>
        <v/>
      </c>
      <c r="E4380">
        <f>'Календарь'!D296</f>
        <v/>
      </c>
      <c r="F4380">
        <f>INT((C4380-Нед_Начало)/7)+1</f>
        <v/>
      </c>
      <c r="G4380">
        <f>IF(E4380=0,0,INDEX('Планы менеджеров'!$B$5:$M$16,B4380,D4380)/INDEX(Мес_Раб,D4380))</f>
        <v/>
      </c>
    </row>
    <row r="4381">
      <c r="A4381" t="inlineStr">
        <is>
          <t>Павлова</t>
        </is>
      </c>
      <c r="B4381" t="n">
        <v>16</v>
      </c>
      <c r="C4381" s="18">
        <f>'Календарь'!A297</f>
        <v/>
      </c>
      <c r="D4381">
        <f>MONTH(C4381)</f>
        <v/>
      </c>
      <c r="E4381">
        <f>'Календарь'!D297</f>
        <v/>
      </c>
      <c r="F4381">
        <f>INT((C4381-Нед_Начало)/7)+1</f>
        <v/>
      </c>
      <c r="G4381">
        <f>IF(E4381=0,0,INDEX('Планы менеджеров'!$B$5:$M$16,B4381,D4381)/INDEX(Мес_Раб,D4381))</f>
        <v/>
      </c>
    </row>
    <row r="4382">
      <c r="A4382" t="inlineStr">
        <is>
          <t>Павлова</t>
        </is>
      </c>
      <c r="B4382" t="n">
        <v>16</v>
      </c>
      <c r="C4382" s="18">
        <f>'Календарь'!A298</f>
        <v/>
      </c>
      <c r="D4382">
        <f>MONTH(C4382)</f>
        <v/>
      </c>
      <c r="E4382">
        <f>'Календарь'!D298</f>
        <v/>
      </c>
      <c r="F4382">
        <f>INT((C4382-Нед_Начало)/7)+1</f>
        <v/>
      </c>
      <c r="G4382">
        <f>IF(E4382=0,0,INDEX('Планы менеджеров'!$B$5:$M$16,B4382,D4382)/INDEX(Мес_Раб,D4382))</f>
        <v/>
      </c>
    </row>
    <row r="4383">
      <c r="A4383" t="inlineStr">
        <is>
          <t>Павлова</t>
        </is>
      </c>
      <c r="B4383" t="n">
        <v>16</v>
      </c>
      <c r="C4383" s="18">
        <f>'Календарь'!A299</f>
        <v/>
      </c>
      <c r="D4383">
        <f>MONTH(C4383)</f>
        <v/>
      </c>
      <c r="E4383">
        <f>'Календарь'!D299</f>
        <v/>
      </c>
      <c r="F4383">
        <f>INT((C4383-Нед_Начало)/7)+1</f>
        <v/>
      </c>
      <c r="G4383">
        <f>IF(E4383=0,0,INDEX('Планы менеджеров'!$B$5:$M$16,B4383,D4383)/INDEX(Мес_Раб,D4383))</f>
        <v/>
      </c>
    </row>
    <row r="4384">
      <c r="A4384" t="inlineStr">
        <is>
          <t>Павлова</t>
        </is>
      </c>
      <c r="B4384" t="n">
        <v>16</v>
      </c>
      <c r="C4384" s="18">
        <f>'Календарь'!A300</f>
        <v/>
      </c>
      <c r="D4384">
        <f>MONTH(C4384)</f>
        <v/>
      </c>
      <c r="E4384">
        <f>'Календарь'!D300</f>
        <v/>
      </c>
      <c r="F4384">
        <f>INT((C4384-Нед_Начало)/7)+1</f>
        <v/>
      </c>
      <c r="G4384">
        <f>IF(E4384=0,0,INDEX('Планы менеджеров'!$B$5:$M$16,B4384,D4384)/INDEX(Мес_Раб,D4384))</f>
        <v/>
      </c>
    </row>
    <row r="4385">
      <c r="A4385" t="inlineStr">
        <is>
          <t>Павлова</t>
        </is>
      </c>
      <c r="B4385" t="n">
        <v>16</v>
      </c>
      <c r="C4385" s="18">
        <f>'Календарь'!A301</f>
        <v/>
      </c>
      <c r="D4385">
        <f>MONTH(C4385)</f>
        <v/>
      </c>
      <c r="E4385">
        <f>'Календарь'!D301</f>
        <v/>
      </c>
      <c r="F4385">
        <f>INT((C4385-Нед_Начало)/7)+1</f>
        <v/>
      </c>
      <c r="G4385">
        <f>IF(E4385=0,0,INDEX('Планы менеджеров'!$B$5:$M$16,B4385,D4385)/INDEX(Мес_Раб,D4385))</f>
        <v/>
      </c>
    </row>
    <row r="4386">
      <c r="A4386" t="inlineStr">
        <is>
          <t>Павлова</t>
        </is>
      </c>
      <c r="B4386" t="n">
        <v>16</v>
      </c>
      <c r="C4386" s="18">
        <f>'Календарь'!A302</f>
        <v/>
      </c>
      <c r="D4386">
        <f>MONTH(C4386)</f>
        <v/>
      </c>
      <c r="E4386">
        <f>'Календарь'!D302</f>
        <v/>
      </c>
      <c r="F4386">
        <f>INT((C4386-Нед_Начало)/7)+1</f>
        <v/>
      </c>
      <c r="G4386">
        <f>IF(E4386=0,0,INDEX('Планы менеджеров'!$B$5:$M$16,B4386,D4386)/INDEX(Мес_Раб,D4386))</f>
        <v/>
      </c>
    </row>
    <row r="4387">
      <c r="A4387" t="inlineStr">
        <is>
          <t>Павлова</t>
        </is>
      </c>
      <c r="B4387" t="n">
        <v>16</v>
      </c>
      <c r="C4387" s="18">
        <f>'Календарь'!A303</f>
        <v/>
      </c>
      <c r="D4387">
        <f>MONTH(C4387)</f>
        <v/>
      </c>
      <c r="E4387">
        <f>'Календарь'!D303</f>
        <v/>
      </c>
      <c r="F4387">
        <f>INT((C4387-Нед_Начало)/7)+1</f>
        <v/>
      </c>
      <c r="G4387">
        <f>IF(E4387=0,0,INDEX('Планы менеджеров'!$B$5:$M$16,B4387,D4387)/INDEX(Мес_Раб,D4387))</f>
        <v/>
      </c>
    </row>
    <row r="4388">
      <c r="A4388" t="inlineStr">
        <is>
          <t>Павлова</t>
        </is>
      </c>
      <c r="B4388" t="n">
        <v>16</v>
      </c>
      <c r="C4388" s="18">
        <f>'Календарь'!A304</f>
        <v/>
      </c>
      <c r="D4388">
        <f>MONTH(C4388)</f>
        <v/>
      </c>
      <c r="E4388">
        <f>'Календарь'!D304</f>
        <v/>
      </c>
      <c r="F4388">
        <f>INT((C4388-Нед_Начало)/7)+1</f>
        <v/>
      </c>
      <c r="G4388">
        <f>IF(E4388=0,0,INDEX('Планы менеджеров'!$B$5:$M$16,B4388,D4388)/INDEX(Мес_Раб,D4388))</f>
        <v/>
      </c>
    </row>
    <row r="4389">
      <c r="A4389" t="inlineStr">
        <is>
          <t>Павлова</t>
        </is>
      </c>
      <c r="B4389" t="n">
        <v>16</v>
      </c>
      <c r="C4389" s="18">
        <f>'Календарь'!A305</f>
        <v/>
      </c>
      <c r="D4389">
        <f>MONTH(C4389)</f>
        <v/>
      </c>
      <c r="E4389">
        <f>'Календарь'!D305</f>
        <v/>
      </c>
      <c r="F4389">
        <f>INT((C4389-Нед_Начало)/7)+1</f>
        <v/>
      </c>
      <c r="G4389">
        <f>IF(E4389=0,0,INDEX('Планы менеджеров'!$B$5:$M$16,B4389,D4389)/INDEX(Мес_Раб,D4389))</f>
        <v/>
      </c>
    </row>
    <row r="4390">
      <c r="A4390" t="inlineStr">
        <is>
          <t>Павлова</t>
        </is>
      </c>
      <c r="B4390" t="n">
        <v>16</v>
      </c>
      <c r="C4390" s="18">
        <f>'Календарь'!A306</f>
        <v/>
      </c>
      <c r="D4390">
        <f>MONTH(C4390)</f>
        <v/>
      </c>
      <c r="E4390">
        <f>'Календарь'!D306</f>
        <v/>
      </c>
      <c r="F4390">
        <f>INT((C4390-Нед_Начало)/7)+1</f>
        <v/>
      </c>
      <c r="G4390">
        <f>IF(E4390=0,0,INDEX('Планы менеджеров'!$B$5:$M$16,B4390,D4390)/INDEX(Мес_Раб,D4390))</f>
        <v/>
      </c>
    </row>
    <row r="4391">
      <c r="A4391" t="inlineStr">
        <is>
          <t>Павлова</t>
        </is>
      </c>
      <c r="B4391" t="n">
        <v>16</v>
      </c>
      <c r="C4391" s="18">
        <f>'Календарь'!A307</f>
        <v/>
      </c>
      <c r="D4391">
        <f>MONTH(C4391)</f>
        <v/>
      </c>
      <c r="E4391">
        <f>'Календарь'!D307</f>
        <v/>
      </c>
      <c r="F4391">
        <f>INT((C4391-Нед_Начало)/7)+1</f>
        <v/>
      </c>
      <c r="G4391">
        <f>IF(E4391=0,0,INDEX('Планы менеджеров'!$B$5:$M$16,B4391,D4391)/INDEX(Мес_Раб,D4391))</f>
        <v/>
      </c>
    </row>
    <row r="4392">
      <c r="A4392" t="inlineStr">
        <is>
          <t>Павлова</t>
        </is>
      </c>
      <c r="B4392" t="n">
        <v>16</v>
      </c>
      <c r="C4392" s="18">
        <f>'Календарь'!A308</f>
        <v/>
      </c>
      <c r="D4392">
        <f>MONTH(C4392)</f>
        <v/>
      </c>
      <c r="E4392">
        <f>'Календарь'!D308</f>
        <v/>
      </c>
      <c r="F4392">
        <f>INT((C4392-Нед_Начало)/7)+1</f>
        <v/>
      </c>
      <c r="G4392">
        <f>IF(E4392=0,0,INDEX('Планы менеджеров'!$B$5:$M$16,B4392,D4392)/INDEX(Мес_Раб,D4392))</f>
        <v/>
      </c>
    </row>
    <row r="4393">
      <c r="A4393" t="inlineStr">
        <is>
          <t>Павлова</t>
        </is>
      </c>
      <c r="B4393" t="n">
        <v>16</v>
      </c>
      <c r="C4393" s="18">
        <f>'Календарь'!A309</f>
        <v/>
      </c>
      <c r="D4393">
        <f>MONTH(C4393)</f>
        <v/>
      </c>
      <c r="E4393">
        <f>'Календарь'!D309</f>
        <v/>
      </c>
      <c r="F4393">
        <f>INT((C4393-Нед_Начало)/7)+1</f>
        <v/>
      </c>
      <c r="G4393">
        <f>IF(E4393=0,0,INDEX('Планы менеджеров'!$B$5:$M$16,B4393,D4393)/INDEX(Мес_Раб,D4393))</f>
        <v/>
      </c>
    </row>
    <row r="4394">
      <c r="A4394" t="inlineStr">
        <is>
          <t>Павлова</t>
        </is>
      </c>
      <c r="B4394" t="n">
        <v>16</v>
      </c>
      <c r="C4394" s="18">
        <f>'Календарь'!A310</f>
        <v/>
      </c>
      <c r="D4394">
        <f>MONTH(C4394)</f>
        <v/>
      </c>
      <c r="E4394">
        <f>'Календарь'!D310</f>
        <v/>
      </c>
      <c r="F4394">
        <f>INT((C4394-Нед_Начало)/7)+1</f>
        <v/>
      </c>
      <c r="G4394">
        <f>IF(E4394=0,0,INDEX('Планы менеджеров'!$B$5:$M$16,B4394,D4394)/INDEX(Мес_Раб,D4394))</f>
        <v/>
      </c>
    </row>
    <row r="4395">
      <c r="A4395" t="inlineStr">
        <is>
          <t>Павлова</t>
        </is>
      </c>
      <c r="B4395" t="n">
        <v>16</v>
      </c>
      <c r="C4395" s="18">
        <f>'Календарь'!A311</f>
        <v/>
      </c>
      <c r="D4395">
        <f>MONTH(C4395)</f>
        <v/>
      </c>
      <c r="E4395">
        <f>'Календарь'!D311</f>
        <v/>
      </c>
      <c r="F4395">
        <f>INT((C4395-Нед_Начало)/7)+1</f>
        <v/>
      </c>
      <c r="G4395">
        <f>IF(E4395=0,0,INDEX('Планы менеджеров'!$B$5:$M$16,B4395,D4395)/INDEX(Мес_Раб,D4395))</f>
        <v/>
      </c>
    </row>
    <row r="4396">
      <c r="A4396" t="inlineStr">
        <is>
          <t>Павлова</t>
        </is>
      </c>
      <c r="B4396" t="n">
        <v>16</v>
      </c>
      <c r="C4396" s="18">
        <f>'Календарь'!A312</f>
        <v/>
      </c>
      <c r="D4396">
        <f>MONTH(C4396)</f>
        <v/>
      </c>
      <c r="E4396">
        <f>'Календарь'!D312</f>
        <v/>
      </c>
      <c r="F4396">
        <f>INT((C4396-Нед_Начало)/7)+1</f>
        <v/>
      </c>
      <c r="G4396">
        <f>IF(E4396=0,0,INDEX('Планы менеджеров'!$B$5:$M$16,B4396,D4396)/INDEX(Мес_Раб,D4396))</f>
        <v/>
      </c>
    </row>
    <row r="4397">
      <c r="A4397" t="inlineStr">
        <is>
          <t>Павлова</t>
        </is>
      </c>
      <c r="B4397" t="n">
        <v>16</v>
      </c>
      <c r="C4397" s="18">
        <f>'Календарь'!A313</f>
        <v/>
      </c>
      <c r="D4397">
        <f>MONTH(C4397)</f>
        <v/>
      </c>
      <c r="E4397">
        <f>'Календарь'!D313</f>
        <v/>
      </c>
      <c r="F4397">
        <f>INT((C4397-Нед_Начало)/7)+1</f>
        <v/>
      </c>
      <c r="G4397">
        <f>IF(E4397=0,0,INDEX('Планы менеджеров'!$B$5:$M$16,B4397,D4397)/INDEX(Мес_Раб,D4397))</f>
        <v/>
      </c>
    </row>
    <row r="4398">
      <c r="A4398" t="inlineStr">
        <is>
          <t>Павлова</t>
        </is>
      </c>
      <c r="B4398" t="n">
        <v>16</v>
      </c>
      <c r="C4398" s="18">
        <f>'Календарь'!A314</f>
        <v/>
      </c>
      <c r="D4398">
        <f>MONTH(C4398)</f>
        <v/>
      </c>
      <c r="E4398">
        <f>'Календарь'!D314</f>
        <v/>
      </c>
      <c r="F4398">
        <f>INT((C4398-Нед_Начало)/7)+1</f>
        <v/>
      </c>
      <c r="G4398">
        <f>IF(E4398=0,0,INDEX('Планы менеджеров'!$B$5:$M$16,B4398,D4398)/INDEX(Мес_Раб,D4398))</f>
        <v/>
      </c>
    </row>
    <row r="4399">
      <c r="A4399" t="inlineStr">
        <is>
          <t>Павлова</t>
        </is>
      </c>
      <c r="B4399" t="n">
        <v>16</v>
      </c>
      <c r="C4399" s="18">
        <f>'Календарь'!A315</f>
        <v/>
      </c>
      <c r="D4399">
        <f>MONTH(C4399)</f>
        <v/>
      </c>
      <c r="E4399">
        <f>'Календарь'!D315</f>
        <v/>
      </c>
      <c r="F4399">
        <f>INT((C4399-Нед_Начало)/7)+1</f>
        <v/>
      </c>
      <c r="G4399">
        <f>IF(E4399=0,0,INDEX('Планы менеджеров'!$B$5:$M$16,B4399,D4399)/INDEX(Мес_Раб,D4399))</f>
        <v/>
      </c>
    </row>
    <row r="4400">
      <c r="A4400" t="inlineStr">
        <is>
          <t>Павлова</t>
        </is>
      </c>
      <c r="B4400" t="n">
        <v>16</v>
      </c>
      <c r="C4400" s="18">
        <f>'Календарь'!A316</f>
        <v/>
      </c>
      <c r="D4400">
        <f>MONTH(C4400)</f>
        <v/>
      </c>
      <c r="E4400">
        <f>'Календарь'!D316</f>
        <v/>
      </c>
      <c r="F4400">
        <f>INT((C4400-Нед_Начало)/7)+1</f>
        <v/>
      </c>
      <c r="G4400">
        <f>IF(E4400=0,0,INDEX('Планы менеджеров'!$B$5:$M$16,B4400,D4400)/INDEX(Мес_Раб,D4400))</f>
        <v/>
      </c>
    </row>
    <row r="4401">
      <c r="A4401" t="inlineStr">
        <is>
          <t>Павлова</t>
        </is>
      </c>
      <c r="B4401" t="n">
        <v>16</v>
      </c>
      <c r="C4401" s="18">
        <f>'Календарь'!A317</f>
        <v/>
      </c>
      <c r="D4401">
        <f>MONTH(C4401)</f>
        <v/>
      </c>
      <c r="E4401">
        <f>'Календарь'!D317</f>
        <v/>
      </c>
      <c r="F4401">
        <f>INT((C4401-Нед_Начало)/7)+1</f>
        <v/>
      </c>
      <c r="G4401">
        <f>IF(E4401=0,0,INDEX('Планы менеджеров'!$B$5:$M$16,B4401,D4401)/INDEX(Мес_Раб,D4401))</f>
        <v/>
      </c>
    </row>
    <row r="4402">
      <c r="A4402" t="inlineStr">
        <is>
          <t>Павлова</t>
        </is>
      </c>
      <c r="B4402" t="n">
        <v>16</v>
      </c>
      <c r="C4402" s="18">
        <f>'Календарь'!A318</f>
        <v/>
      </c>
      <c r="D4402">
        <f>MONTH(C4402)</f>
        <v/>
      </c>
      <c r="E4402">
        <f>'Календарь'!D318</f>
        <v/>
      </c>
      <c r="F4402">
        <f>INT((C4402-Нед_Начало)/7)+1</f>
        <v/>
      </c>
      <c r="G4402">
        <f>IF(E4402=0,0,INDEX('Планы менеджеров'!$B$5:$M$16,B4402,D4402)/INDEX(Мес_Раб,D4402))</f>
        <v/>
      </c>
    </row>
    <row r="4403">
      <c r="A4403" t="inlineStr">
        <is>
          <t>Павлова</t>
        </is>
      </c>
      <c r="B4403" t="n">
        <v>16</v>
      </c>
      <c r="C4403" s="18">
        <f>'Календарь'!A319</f>
        <v/>
      </c>
      <c r="D4403">
        <f>MONTH(C4403)</f>
        <v/>
      </c>
      <c r="E4403">
        <f>'Календарь'!D319</f>
        <v/>
      </c>
      <c r="F4403">
        <f>INT((C4403-Нед_Начало)/7)+1</f>
        <v/>
      </c>
      <c r="G4403">
        <f>IF(E4403=0,0,INDEX('Планы менеджеров'!$B$5:$M$16,B4403,D4403)/INDEX(Мес_Раб,D4403))</f>
        <v/>
      </c>
    </row>
    <row r="4404">
      <c r="A4404" t="inlineStr">
        <is>
          <t>Павлова</t>
        </is>
      </c>
      <c r="B4404" t="n">
        <v>16</v>
      </c>
      <c r="C4404" s="18">
        <f>'Календарь'!A320</f>
        <v/>
      </c>
      <c r="D4404">
        <f>MONTH(C4404)</f>
        <v/>
      </c>
      <c r="E4404">
        <f>'Календарь'!D320</f>
        <v/>
      </c>
      <c r="F4404">
        <f>INT((C4404-Нед_Начало)/7)+1</f>
        <v/>
      </c>
      <c r="G4404">
        <f>IF(E4404=0,0,INDEX('Планы менеджеров'!$B$5:$M$16,B4404,D4404)/INDEX(Мес_Раб,D4404))</f>
        <v/>
      </c>
    </row>
    <row r="4405">
      <c r="A4405" t="inlineStr">
        <is>
          <t>Павлова</t>
        </is>
      </c>
      <c r="B4405" t="n">
        <v>16</v>
      </c>
      <c r="C4405" s="18">
        <f>'Календарь'!A321</f>
        <v/>
      </c>
      <c r="D4405">
        <f>MONTH(C4405)</f>
        <v/>
      </c>
      <c r="E4405">
        <f>'Календарь'!D321</f>
        <v/>
      </c>
      <c r="F4405">
        <f>INT((C4405-Нед_Начало)/7)+1</f>
        <v/>
      </c>
      <c r="G4405">
        <f>IF(E4405=0,0,INDEX('Планы менеджеров'!$B$5:$M$16,B4405,D4405)/INDEX(Мес_Раб,D4405))</f>
        <v/>
      </c>
    </row>
    <row r="4406">
      <c r="A4406" t="inlineStr">
        <is>
          <t>Павлова</t>
        </is>
      </c>
      <c r="B4406" t="n">
        <v>16</v>
      </c>
      <c r="C4406" s="18">
        <f>'Календарь'!A322</f>
        <v/>
      </c>
      <c r="D4406">
        <f>MONTH(C4406)</f>
        <v/>
      </c>
      <c r="E4406">
        <f>'Календарь'!D322</f>
        <v/>
      </c>
      <c r="F4406">
        <f>INT((C4406-Нед_Начало)/7)+1</f>
        <v/>
      </c>
      <c r="G4406">
        <f>IF(E4406=0,0,INDEX('Планы менеджеров'!$B$5:$M$16,B4406,D4406)/INDEX(Мес_Раб,D4406))</f>
        <v/>
      </c>
    </row>
    <row r="4407">
      <c r="A4407" t="inlineStr">
        <is>
          <t>Павлова</t>
        </is>
      </c>
      <c r="B4407" t="n">
        <v>16</v>
      </c>
      <c r="C4407" s="18">
        <f>'Календарь'!A323</f>
        <v/>
      </c>
      <c r="D4407">
        <f>MONTH(C4407)</f>
        <v/>
      </c>
      <c r="E4407">
        <f>'Календарь'!D323</f>
        <v/>
      </c>
      <c r="F4407">
        <f>INT((C4407-Нед_Начало)/7)+1</f>
        <v/>
      </c>
      <c r="G4407">
        <f>IF(E4407=0,0,INDEX('Планы менеджеров'!$B$5:$M$16,B4407,D4407)/INDEX(Мес_Раб,D4407))</f>
        <v/>
      </c>
    </row>
    <row r="4408">
      <c r="A4408" t="inlineStr">
        <is>
          <t>Павлова</t>
        </is>
      </c>
      <c r="B4408" t="n">
        <v>16</v>
      </c>
      <c r="C4408" s="18">
        <f>'Календарь'!A324</f>
        <v/>
      </c>
      <c r="D4408">
        <f>MONTH(C4408)</f>
        <v/>
      </c>
      <c r="E4408">
        <f>'Календарь'!D324</f>
        <v/>
      </c>
      <c r="F4408">
        <f>INT((C4408-Нед_Начало)/7)+1</f>
        <v/>
      </c>
      <c r="G4408">
        <f>IF(E4408=0,0,INDEX('Планы менеджеров'!$B$5:$M$16,B4408,D4408)/INDEX(Мес_Раб,D4408))</f>
        <v/>
      </c>
    </row>
    <row r="4409">
      <c r="A4409" t="inlineStr">
        <is>
          <t>Павлова</t>
        </is>
      </c>
      <c r="B4409" t="n">
        <v>16</v>
      </c>
      <c r="C4409" s="18">
        <f>'Календарь'!A325</f>
        <v/>
      </c>
      <c r="D4409">
        <f>MONTH(C4409)</f>
        <v/>
      </c>
      <c r="E4409">
        <f>'Календарь'!D325</f>
        <v/>
      </c>
      <c r="F4409">
        <f>INT((C4409-Нед_Начало)/7)+1</f>
        <v/>
      </c>
      <c r="G4409">
        <f>IF(E4409=0,0,INDEX('Планы менеджеров'!$B$5:$M$16,B4409,D4409)/INDEX(Мес_Раб,D4409))</f>
        <v/>
      </c>
    </row>
    <row r="4410">
      <c r="A4410" t="inlineStr">
        <is>
          <t>Павлова</t>
        </is>
      </c>
      <c r="B4410" t="n">
        <v>16</v>
      </c>
      <c r="C4410" s="18">
        <f>'Календарь'!A326</f>
        <v/>
      </c>
      <c r="D4410">
        <f>MONTH(C4410)</f>
        <v/>
      </c>
      <c r="E4410">
        <f>'Календарь'!D326</f>
        <v/>
      </c>
      <c r="F4410">
        <f>INT((C4410-Нед_Начало)/7)+1</f>
        <v/>
      </c>
      <c r="G4410">
        <f>IF(E4410=0,0,INDEX('Планы менеджеров'!$B$5:$M$16,B4410,D4410)/INDEX(Мес_Раб,D4410))</f>
        <v/>
      </c>
    </row>
    <row r="4411">
      <c r="A4411" t="inlineStr">
        <is>
          <t>Павлова</t>
        </is>
      </c>
      <c r="B4411" t="n">
        <v>16</v>
      </c>
      <c r="C4411" s="18">
        <f>'Календарь'!A327</f>
        <v/>
      </c>
      <c r="D4411">
        <f>MONTH(C4411)</f>
        <v/>
      </c>
      <c r="E4411">
        <f>'Календарь'!D327</f>
        <v/>
      </c>
      <c r="F4411">
        <f>INT((C4411-Нед_Начало)/7)+1</f>
        <v/>
      </c>
      <c r="G4411">
        <f>IF(E4411=0,0,INDEX('Планы менеджеров'!$B$5:$M$16,B4411,D4411)/INDEX(Мес_Раб,D4411))</f>
        <v/>
      </c>
    </row>
    <row r="4412">
      <c r="A4412" t="inlineStr">
        <is>
          <t>Павлова</t>
        </is>
      </c>
      <c r="B4412" t="n">
        <v>16</v>
      </c>
      <c r="C4412" s="18">
        <f>'Календарь'!A328</f>
        <v/>
      </c>
      <c r="D4412">
        <f>MONTH(C4412)</f>
        <v/>
      </c>
      <c r="E4412">
        <f>'Календарь'!D328</f>
        <v/>
      </c>
      <c r="F4412">
        <f>INT((C4412-Нед_Начало)/7)+1</f>
        <v/>
      </c>
      <c r="G4412">
        <f>IF(E4412=0,0,INDEX('Планы менеджеров'!$B$5:$M$16,B4412,D4412)/INDEX(Мес_Раб,D4412))</f>
        <v/>
      </c>
    </row>
    <row r="4413">
      <c r="A4413" t="inlineStr">
        <is>
          <t>Павлова</t>
        </is>
      </c>
      <c r="B4413" t="n">
        <v>16</v>
      </c>
      <c r="C4413" s="18">
        <f>'Календарь'!A329</f>
        <v/>
      </c>
      <c r="D4413">
        <f>MONTH(C4413)</f>
        <v/>
      </c>
      <c r="E4413">
        <f>'Календарь'!D329</f>
        <v/>
      </c>
      <c r="F4413">
        <f>INT((C4413-Нед_Начало)/7)+1</f>
        <v/>
      </c>
      <c r="G4413">
        <f>IF(E4413=0,0,INDEX('Планы менеджеров'!$B$5:$M$16,B4413,D4413)/INDEX(Мес_Раб,D4413))</f>
        <v/>
      </c>
    </row>
    <row r="4414">
      <c r="A4414" t="inlineStr">
        <is>
          <t>Павлова</t>
        </is>
      </c>
      <c r="B4414" t="n">
        <v>16</v>
      </c>
      <c r="C4414" s="18">
        <f>'Календарь'!A330</f>
        <v/>
      </c>
      <c r="D4414">
        <f>MONTH(C4414)</f>
        <v/>
      </c>
      <c r="E4414">
        <f>'Календарь'!D330</f>
        <v/>
      </c>
      <c r="F4414">
        <f>INT((C4414-Нед_Начало)/7)+1</f>
        <v/>
      </c>
      <c r="G4414">
        <f>IF(E4414=0,0,INDEX('Планы менеджеров'!$B$5:$M$16,B4414,D4414)/INDEX(Мес_Раб,D4414))</f>
        <v/>
      </c>
    </row>
    <row r="4415">
      <c r="A4415" t="inlineStr">
        <is>
          <t>Павлова</t>
        </is>
      </c>
      <c r="B4415" t="n">
        <v>16</v>
      </c>
      <c r="C4415" s="18">
        <f>'Календарь'!A331</f>
        <v/>
      </c>
      <c r="D4415">
        <f>MONTH(C4415)</f>
        <v/>
      </c>
      <c r="E4415">
        <f>'Календарь'!D331</f>
        <v/>
      </c>
      <c r="F4415">
        <f>INT((C4415-Нед_Начало)/7)+1</f>
        <v/>
      </c>
      <c r="G4415">
        <f>IF(E4415=0,0,INDEX('Планы менеджеров'!$B$5:$M$16,B4415,D4415)/INDEX(Мес_Раб,D4415))</f>
        <v/>
      </c>
    </row>
    <row r="4416">
      <c r="A4416" t="inlineStr">
        <is>
          <t>Павлова</t>
        </is>
      </c>
      <c r="B4416" t="n">
        <v>16</v>
      </c>
      <c r="C4416" s="18">
        <f>'Календарь'!A332</f>
        <v/>
      </c>
      <c r="D4416">
        <f>MONTH(C4416)</f>
        <v/>
      </c>
      <c r="E4416">
        <f>'Календарь'!D332</f>
        <v/>
      </c>
      <c r="F4416">
        <f>INT((C4416-Нед_Начало)/7)+1</f>
        <v/>
      </c>
      <c r="G4416">
        <f>IF(E4416=0,0,INDEX('Планы менеджеров'!$B$5:$M$16,B4416,D4416)/INDEX(Мес_Раб,D4416))</f>
        <v/>
      </c>
    </row>
    <row r="4417">
      <c r="A4417" t="inlineStr">
        <is>
          <t>Павлова</t>
        </is>
      </c>
      <c r="B4417" t="n">
        <v>16</v>
      </c>
      <c r="C4417" s="18">
        <f>'Календарь'!A333</f>
        <v/>
      </c>
      <c r="D4417">
        <f>MONTH(C4417)</f>
        <v/>
      </c>
      <c r="E4417">
        <f>'Календарь'!D333</f>
        <v/>
      </c>
      <c r="F4417">
        <f>INT((C4417-Нед_Начало)/7)+1</f>
        <v/>
      </c>
      <c r="G4417">
        <f>IF(E4417=0,0,INDEX('Планы менеджеров'!$B$5:$M$16,B4417,D4417)/INDEX(Мес_Раб,D4417))</f>
        <v/>
      </c>
    </row>
    <row r="4418">
      <c r="A4418" t="inlineStr">
        <is>
          <t>Павлова</t>
        </is>
      </c>
      <c r="B4418" t="n">
        <v>16</v>
      </c>
      <c r="C4418" s="18">
        <f>'Календарь'!A334</f>
        <v/>
      </c>
      <c r="D4418">
        <f>MONTH(C4418)</f>
        <v/>
      </c>
      <c r="E4418">
        <f>'Календарь'!D334</f>
        <v/>
      </c>
      <c r="F4418">
        <f>INT((C4418-Нед_Начало)/7)+1</f>
        <v/>
      </c>
      <c r="G4418">
        <f>IF(E4418=0,0,INDEX('Планы менеджеров'!$B$5:$M$16,B4418,D4418)/INDEX(Мес_Раб,D4418))</f>
        <v/>
      </c>
    </row>
    <row r="4419">
      <c r="A4419" t="inlineStr">
        <is>
          <t>Павлова</t>
        </is>
      </c>
      <c r="B4419" t="n">
        <v>16</v>
      </c>
      <c r="C4419" s="18">
        <f>'Календарь'!A335</f>
        <v/>
      </c>
      <c r="D4419">
        <f>MONTH(C4419)</f>
        <v/>
      </c>
      <c r="E4419">
        <f>'Календарь'!D335</f>
        <v/>
      </c>
      <c r="F4419">
        <f>INT((C4419-Нед_Начало)/7)+1</f>
        <v/>
      </c>
      <c r="G4419">
        <f>IF(E4419=0,0,INDEX('Планы менеджеров'!$B$5:$M$16,B4419,D4419)/INDEX(Мес_Раб,D4419))</f>
        <v/>
      </c>
    </row>
    <row r="4420">
      <c r="A4420" t="inlineStr">
        <is>
          <t>Павлова</t>
        </is>
      </c>
      <c r="B4420" t="n">
        <v>16</v>
      </c>
      <c r="C4420" s="18">
        <f>'Календарь'!A336</f>
        <v/>
      </c>
      <c r="D4420">
        <f>MONTH(C4420)</f>
        <v/>
      </c>
      <c r="E4420">
        <f>'Календарь'!D336</f>
        <v/>
      </c>
      <c r="F4420">
        <f>INT((C4420-Нед_Начало)/7)+1</f>
        <v/>
      </c>
      <c r="G4420">
        <f>IF(E4420=0,0,INDEX('Планы менеджеров'!$B$5:$M$16,B4420,D4420)/INDEX(Мес_Раб,D4420))</f>
        <v/>
      </c>
    </row>
    <row r="4421">
      <c r="A4421" t="inlineStr">
        <is>
          <t>Павлова</t>
        </is>
      </c>
      <c r="B4421" t="n">
        <v>16</v>
      </c>
      <c r="C4421" s="18">
        <f>'Календарь'!A337</f>
        <v/>
      </c>
      <c r="D4421">
        <f>MONTH(C4421)</f>
        <v/>
      </c>
      <c r="E4421">
        <f>'Календарь'!D337</f>
        <v/>
      </c>
      <c r="F4421">
        <f>INT((C4421-Нед_Начало)/7)+1</f>
        <v/>
      </c>
      <c r="G4421">
        <f>IF(E4421=0,0,INDEX('Планы менеджеров'!$B$5:$M$16,B4421,D4421)/INDEX(Мес_Раб,D4421))</f>
        <v/>
      </c>
    </row>
    <row r="4422">
      <c r="A4422" t="inlineStr">
        <is>
          <t>Павлова</t>
        </is>
      </c>
      <c r="B4422" t="n">
        <v>16</v>
      </c>
      <c r="C4422" s="18">
        <f>'Календарь'!A338</f>
        <v/>
      </c>
      <c r="D4422">
        <f>MONTH(C4422)</f>
        <v/>
      </c>
      <c r="E4422">
        <f>'Календарь'!D338</f>
        <v/>
      </c>
      <c r="F4422">
        <f>INT((C4422-Нед_Начало)/7)+1</f>
        <v/>
      </c>
      <c r="G4422">
        <f>IF(E4422=0,0,INDEX('Планы менеджеров'!$B$5:$M$16,B4422,D4422)/INDEX(Мес_Раб,D4422))</f>
        <v/>
      </c>
    </row>
    <row r="4423">
      <c r="A4423" t="inlineStr">
        <is>
          <t>Павлова</t>
        </is>
      </c>
      <c r="B4423" t="n">
        <v>16</v>
      </c>
      <c r="C4423" s="18">
        <f>'Календарь'!A339</f>
        <v/>
      </c>
      <c r="D4423">
        <f>MONTH(C4423)</f>
        <v/>
      </c>
      <c r="E4423">
        <f>'Календарь'!D339</f>
        <v/>
      </c>
      <c r="F4423">
        <f>INT((C4423-Нед_Начало)/7)+1</f>
        <v/>
      </c>
      <c r="G4423">
        <f>IF(E4423=0,0,INDEX('Планы менеджеров'!$B$5:$M$16,B4423,D4423)/INDEX(Мес_Раб,D4423))</f>
        <v/>
      </c>
    </row>
    <row r="4424">
      <c r="A4424" t="inlineStr">
        <is>
          <t>Павлова</t>
        </is>
      </c>
      <c r="B4424" t="n">
        <v>16</v>
      </c>
      <c r="C4424" s="18">
        <f>'Календарь'!A340</f>
        <v/>
      </c>
      <c r="D4424">
        <f>MONTH(C4424)</f>
        <v/>
      </c>
      <c r="E4424">
        <f>'Календарь'!D340</f>
        <v/>
      </c>
      <c r="F4424">
        <f>INT((C4424-Нед_Начало)/7)+1</f>
        <v/>
      </c>
      <c r="G4424">
        <f>IF(E4424=0,0,INDEX('Планы менеджеров'!$B$5:$M$16,B4424,D4424)/INDEX(Мес_Раб,D4424))</f>
        <v/>
      </c>
    </row>
    <row r="4425">
      <c r="A4425" t="inlineStr">
        <is>
          <t>Павлова</t>
        </is>
      </c>
      <c r="B4425" t="n">
        <v>16</v>
      </c>
      <c r="C4425" s="18">
        <f>'Календарь'!A341</f>
        <v/>
      </c>
      <c r="D4425">
        <f>MONTH(C4425)</f>
        <v/>
      </c>
      <c r="E4425">
        <f>'Календарь'!D341</f>
        <v/>
      </c>
      <c r="F4425">
        <f>INT((C4425-Нед_Начало)/7)+1</f>
        <v/>
      </c>
      <c r="G4425">
        <f>IF(E4425=0,0,INDEX('Планы менеджеров'!$B$5:$M$16,B4425,D4425)/INDEX(Мес_Раб,D4425))</f>
        <v/>
      </c>
    </row>
    <row r="4426">
      <c r="A4426" t="inlineStr">
        <is>
          <t>Павлова</t>
        </is>
      </c>
      <c r="B4426" t="n">
        <v>16</v>
      </c>
      <c r="C4426" s="18">
        <f>'Календарь'!A342</f>
        <v/>
      </c>
      <c r="D4426">
        <f>MONTH(C4426)</f>
        <v/>
      </c>
      <c r="E4426">
        <f>'Календарь'!D342</f>
        <v/>
      </c>
      <c r="F4426">
        <f>INT((C4426-Нед_Начало)/7)+1</f>
        <v/>
      </c>
      <c r="G4426">
        <f>IF(E4426=0,0,INDEX('Планы менеджеров'!$B$5:$M$16,B4426,D4426)/INDEX(Мес_Раб,D4426))</f>
        <v/>
      </c>
    </row>
    <row r="4427">
      <c r="A4427" t="inlineStr">
        <is>
          <t>Павлова</t>
        </is>
      </c>
      <c r="B4427" t="n">
        <v>16</v>
      </c>
      <c r="C4427" s="18">
        <f>'Календарь'!A343</f>
        <v/>
      </c>
      <c r="D4427">
        <f>MONTH(C4427)</f>
        <v/>
      </c>
      <c r="E4427">
        <f>'Календарь'!D343</f>
        <v/>
      </c>
      <c r="F4427">
        <f>INT((C4427-Нед_Начало)/7)+1</f>
        <v/>
      </c>
      <c r="G4427">
        <f>IF(E4427=0,0,INDEX('Планы менеджеров'!$B$5:$M$16,B4427,D4427)/INDEX(Мес_Раб,D4427))</f>
        <v/>
      </c>
    </row>
    <row r="4428">
      <c r="A4428" t="inlineStr">
        <is>
          <t>Павлова</t>
        </is>
      </c>
      <c r="B4428" t="n">
        <v>16</v>
      </c>
      <c r="C4428" s="18">
        <f>'Календарь'!A344</f>
        <v/>
      </c>
      <c r="D4428">
        <f>MONTH(C4428)</f>
        <v/>
      </c>
      <c r="E4428">
        <f>'Календарь'!D344</f>
        <v/>
      </c>
      <c r="F4428">
        <f>INT((C4428-Нед_Начало)/7)+1</f>
        <v/>
      </c>
      <c r="G4428">
        <f>IF(E4428=0,0,INDEX('Планы менеджеров'!$B$5:$M$16,B4428,D4428)/INDEX(Мес_Раб,D4428))</f>
        <v/>
      </c>
    </row>
    <row r="4429">
      <c r="A4429" t="inlineStr">
        <is>
          <t>Павлова</t>
        </is>
      </c>
      <c r="B4429" t="n">
        <v>16</v>
      </c>
      <c r="C4429" s="18">
        <f>'Календарь'!A345</f>
        <v/>
      </c>
      <c r="D4429">
        <f>MONTH(C4429)</f>
        <v/>
      </c>
      <c r="E4429">
        <f>'Календарь'!D345</f>
        <v/>
      </c>
      <c r="F4429">
        <f>INT((C4429-Нед_Начало)/7)+1</f>
        <v/>
      </c>
      <c r="G4429">
        <f>IF(E4429=0,0,INDEX('Планы менеджеров'!$B$5:$M$16,B4429,D4429)/INDEX(Мес_Раб,D4429))</f>
        <v/>
      </c>
    </row>
    <row r="4430">
      <c r="A4430" t="inlineStr">
        <is>
          <t>Павлова</t>
        </is>
      </c>
      <c r="B4430" t="n">
        <v>16</v>
      </c>
      <c r="C4430" s="18">
        <f>'Календарь'!A346</f>
        <v/>
      </c>
      <c r="D4430">
        <f>MONTH(C4430)</f>
        <v/>
      </c>
      <c r="E4430">
        <f>'Календарь'!D346</f>
        <v/>
      </c>
      <c r="F4430">
        <f>INT((C4430-Нед_Начало)/7)+1</f>
        <v/>
      </c>
      <c r="G4430">
        <f>IF(E4430=0,0,INDEX('Планы менеджеров'!$B$5:$M$16,B4430,D4430)/INDEX(Мес_Раб,D4430))</f>
        <v/>
      </c>
    </row>
    <row r="4431">
      <c r="A4431" t="inlineStr">
        <is>
          <t>Павлова</t>
        </is>
      </c>
      <c r="B4431" t="n">
        <v>16</v>
      </c>
      <c r="C4431" s="18">
        <f>'Календарь'!A347</f>
        <v/>
      </c>
      <c r="D4431">
        <f>MONTH(C4431)</f>
        <v/>
      </c>
      <c r="E4431">
        <f>'Календарь'!D347</f>
        <v/>
      </c>
      <c r="F4431">
        <f>INT((C4431-Нед_Начало)/7)+1</f>
        <v/>
      </c>
      <c r="G4431">
        <f>IF(E4431=0,0,INDEX('Планы менеджеров'!$B$5:$M$16,B4431,D4431)/INDEX(Мес_Раб,D4431))</f>
        <v/>
      </c>
    </row>
    <row r="4432">
      <c r="A4432" t="inlineStr">
        <is>
          <t>Павлова</t>
        </is>
      </c>
      <c r="B4432" t="n">
        <v>16</v>
      </c>
      <c r="C4432" s="18">
        <f>'Календарь'!A348</f>
        <v/>
      </c>
      <c r="D4432">
        <f>MONTH(C4432)</f>
        <v/>
      </c>
      <c r="E4432">
        <f>'Календарь'!D348</f>
        <v/>
      </c>
      <c r="F4432">
        <f>INT((C4432-Нед_Начало)/7)+1</f>
        <v/>
      </c>
      <c r="G4432">
        <f>IF(E4432=0,0,INDEX('Планы менеджеров'!$B$5:$M$16,B4432,D4432)/INDEX(Мес_Раб,D4432))</f>
        <v/>
      </c>
    </row>
    <row r="4433">
      <c r="A4433" t="inlineStr">
        <is>
          <t>Павлова</t>
        </is>
      </c>
      <c r="B4433" t="n">
        <v>16</v>
      </c>
      <c r="C4433" s="18">
        <f>'Календарь'!A349</f>
        <v/>
      </c>
      <c r="D4433">
        <f>MONTH(C4433)</f>
        <v/>
      </c>
      <c r="E4433">
        <f>'Календарь'!D349</f>
        <v/>
      </c>
      <c r="F4433">
        <f>INT((C4433-Нед_Начало)/7)+1</f>
        <v/>
      </c>
      <c r="G4433">
        <f>IF(E4433=0,0,INDEX('Планы менеджеров'!$B$5:$M$16,B4433,D4433)/INDEX(Мес_Раб,D4433))</f>
        <v/>
      </c>
    </row>
    <row r="4434">
      <c r="A4434" t="inlineStr">
        <is>
          <t>Павлова</t>
        </is>
      </c>
      <c r="B4434" t="n">
        <v>16</v>
      </c>
      <c r="C4434" s="18">
        <f>'Календарь'!A350</f>
        <v/>
      </c>
      <c r="D4434">
        <f>MONTH(C4434)</f>
        <v/>
      </c>
      <c r="E4434">
        <f>'Календарь'!D350</f>
        <v/>
      </c>
      <c r="F4434">
        <f>INT((C4434-Нед_Начало)/7)+1</f>
        <v/>
      </c>
      <c r="G4434">
        <f>IF(E4434=0,0,INDEX('Планы менеджеров'!$B$5:$M$16,B4434,D4434)/INDEX(Мес_Раб,D4434))</f>
        <v/>
      </c>
    </row>
    <row r="4435">
      <c r="A4435" t="inlineStr">
        <is>
          <t>Павлова</t>
        </is>
      </c>
      <c r="B4435" t="n">
        <v>16</v>
      </c>
      <c r="C4435" s="18">
        <f>'Календарь'!A351</f>
        <v/>
      </c>
      <c r="D4435">
        <f>MONTH(C4435)</f>
        <v/>
      </c>
      <c r="E4435">
        <f>'Календарь'!D351</f>
        <v/>
      </c>
      <c r="F4435">
        <f>INT((C4435-Нед_Начало)/7)+1</f>
        <v/>
      </c>
      <c r="G4435">
        <f>IF(E4435=0,0,INDEX('Планы менеджеров'!$B$5:$M$16,B4435,D4435)/INDEX(Мес_Раб,D4435))</f>
        <v/>
      </c>
    </row>
    <row r="4436">
      <c r="A4436" t="inlineStr">
        <is>
          <t>Павлова</t>
        </is>
      </c>
      <c r="B4436" t="n">
        <v>16</v>
      </c>
      <c r="C4436" s="18">
        <f>'Календарь'!A352</f>
        <v/>
      </c>
      <c r="D4436">
        <f>MONTH(C4436)</f>
        <v/>
      </c>
      <c r="E4436">
        <f>'Календарь'!D352</f>
        <v/>
      </c>
      <c r="F4436">
        <f>INT((C4436-Нед_Начало)/7)+1</f>
        <v/>
      </c>
      <c r="G4436">
        <f>IF(E4436=0,0,INDEX('Планы менеджеров'!$B$5:$M$16,B4436,D4436)/INDEX(Мес_Раб,D4436))</f>
        <v/>
      </c>
    </row>
    <row r="4437">
      <c r="A4437" t="inlineStr">
        <is>
          <t>Павлова</t>
        </is>
      </c>
      <c r="B4437" t="n">
        <v>16</v>
      </c>
      <c r="C4437" s="18">
        <f>'Календарь'!A353</f>
        <v/>
      </c>
      <c r="D4437">
        <f>MONTH(C4437)</f>
        <v/>
      </c>
      <c r="E4437">
        <f>'Календарь'!D353</f>
        <v/>
      </c>
      <c r="F4437">
        <f>INT((C4437-Нед_Начало)/7)+1</f>
        <v/>
      </c>
      <c r="G4437">
        <f>IF(E4437=0,0,INDEX('Планы менеджеров'!$B$5:$M$16,B4437,D4437)/INDEX(Мес_Раб,D4437))</f>
        <v/>
      </c>
    </row>
    <row r="4438">
      <c r="A4438" t="inlineStr">
        <is>
          <t>Павлова</t>
        </is>
      </c>
      <c r="B4438" t="n">
        <v>16</v>
      </c>
      <c r="C4438" s="18">
        <f>'Календарь'!A354</f>
        <v/>
      </c>
      <c r="D4438">
        <f>MONTH(C4438)</f>
        <v/>
      </c>
      <c r="E4438">
        <f>'Календарь'!D354</f>
        <v/>
      </c>
      <c r="F4438">
        <f>INT((C4438-Нед_Начало)/7)+1</f>
        <v/>
      </c>
      <c r="G4438">
        <f>IF(E4438=0,0,INDEX('Планы менеджеров'!$B$5:$M$16,B4438,D4438)/INDEX(Мес_Раб,D4438))</f>
        <v/>
      </c>
    </row>
    <row r="4439">
      <c r="A4439" t="inlineStr">
        <is>
          <t>Павлова</t>
        </is>
      </c>
      <c r="B4439" t="n">
        <v>16</v>
      </c>
      <c r="C4439" s="18">
        <f>'Календарь'!A355</f>
        <v/>
      </c>
      <c r="D4439">
        <f>MONTH(C4439)</f>
        <v/>
      </c>
      <c r="E4439">
        <f>'Календарь'!D355</f>
        <v/>
      </c>
      <c r="F4439">
        <f>INT((C4439-Нед_Начало)/7)+1</f>
        <v/>
      </c>
      <c r="G4439">
        <f>IF(E4439=0,0,INDEX('Планы менеджеров'!$B$5:$M$16,B4439,D4439)/INDEX(Мес_Раб,D4439))</f>
        <v/>
      </c>
    </row>
    <row r="4440">
      <c r="A4440" t="inlineStr">
        <is>
          <t>Павлова</t>
        </is>
      </c>
      <c r="B4440" t="n">
        <v>16</v>
      </c>
      <c r="C4440" s="18">
        <f>'Календарь'!A356</f>
        <v/>
      </c>
      <c r="D4440">
        <f>MONTH(C4440)</f>
        <v/>
      </c>
      <c r="E4440">
        <f>'Календарь'!D356</f>
        <v/>
      </c>
      <c r="F4440">
        <f>INT((C4440-Нед_Начало)/7)+1</f>
        <v/>
      </c>
      <c r="G4440">
        <f>IF(E4440=0,0,INDEX('Планы менеджеров'!$B$5:$M$16,B4440,D4440)/INDEX(Мес_Раб,D4440))</f>
        <v/>
      </c>
    </row>
    <row r="4441">
      <c r="A4441" t="inlineStr">
        <is>
          <t>Павлова</t>
        </is>
      </c>
      <c r="B4441" t="n">
        <v>16</v>
      </c>
      <c r="C4441" s="18">
        <f>'Календарь'!A357</f>
        <v/>
      </c>
      <c r="D4441">
        <f>MONTH(C4441)</f>
        <v/>
      </c>
      <c r="E4441">
        <f>'Календарь'!D357</f>
        <v/>
      </c>
      <c r="F4441">
        <f>INT((C4441-Нед_Начало)/7)+1</f>
        <v/>
      </c>
      <c r="G4441">
        <f>IF(E4441=0,0,INDEX('Планы менеджеров'!$B$5:$M$16,B4441,D4441)/INDEX(Мес_Раб,D4441))</f>
        <v/>
      </c>
    </row>
    <row r="4442">
      <c r="A4442" t="inlineStr">
        <is>
          <t>Павлова</t>
        </is>
      </c>
      <c r="B4442" t="n">
        <v>16</v>
      </c>
      <c r="C4442" s="18">
        <f>'Календарь'!A358</f>
        <v/>
      </c>
      <c r="D4442">
        <f>MONTH(C4442)</f>
        <v/>
      </c>
      <c r="E4442">
        <f>'Календарь'!D358</f>
        <v/>
      </c>
      <c r="F4442">
        <f>INT((C4442-Нед_Начало)/7)+1</f>
        <v/>
      </c>
      <c r="G4442">
        <f>IF(E4442=0,0,INDEX('Планы менеджеров'!$B$5:$M$16,B4442,D4442)/INDEX(Мес_Раб,D4442))</f>
        <v/>
      </c>
    </row>
    <row r="4443">
      <c r="A4443" t="inlineStr">
        <is>
          <t>Павлова</t>
        </is>
      </c>
      <c r="B4443" t="n">
        <v>16</v>
      </c>
      <c r="C4443" s="18">
        <f>'Календарь'!A359</f>
        <v/>
      </c>
      <c r="D4443">
        <f>MONTH(C4443)</f>
        <v/>
      </c>
      <c r="E4443">
        <f>'Календарь'!D359</f>
        <v/>
      </c>
      <c r="F4443">
        <f>INT((C4443-Нед_Начало)/7)+1</f>
        <v/>
      </c>
      <c r="G4443">
        <f>IF(E4443=0,0,INDEX('Планы менеджеров'!$B$5:$M$16,B4443,D4443)/INDEX(Мес_Раб,D4443))</f>
        <v/>
      </c>
    </row>
    <row r="4444">
      <c r="A4444" t="inlineStr">
        <is>
          <t>Павлова</t>
        </is>
      </c>
      <c r="B4444" t="n">
        <v>16</v>
      </c>
      <c r="C4444" s="18">
        <f>'Календарь'!A360</f>
        <v/>
      </c>
      <c r="D4444">
        <f>MONTH(C4444)</f>
        <v/>
      </c>
      <c r="E4444">
        <f>'Календарь'!D360</f>
        <v/>
      </c>
      <c r="F4444">
        <f>INT((C4444-Нед_Начало)/7)+1</f>
        <v/>
      </c>
      <c r="G4444">
        <f>IF(E4444=0,0,INDEX('Планы менеджеров'!$B$5:$M$16,B4444,D4444)/INDEX(Мес_Раб,D4444))</f>
        <v/>
      </c>
    </row>
    <row r="4445">
      <c r="A4445" t="inlineStr">
        <is>
          <t>Павлова</t>
        </is>
      </c>
      <c r="B4445" t="n">
        <v>16</v>
      </c>
      <c r="C4445" s="18">
        <f>'Календарь'!A361</f>
        <v/>
      </c>
      <c r="D4445">
        <f>MONTH(C4445)</f>
        <v/>
      </c>
      <c r="E4445">
        <f>'Календарь'!D361</f>
        <v/>
      </c>
      <c r="F4445">
        <f>INT((C4445-Нед_Начало)/7)+1</f>
        <v/>
      </c>
      <c r="G4445">
        <f>IF(E4445=0,0,INDEX('Планы менеджеров'!$B$5:$M$16,B4445,D4445)/INDEX(Мес_Раб,D4445))</f>
        <v/>
      </c>
    </row>
    <row r="4446">
      <c r="A4446" t="inlineStr">
        <is>
          <t>Павлова</t>
        </is>
      </c>
      <c r="B4446" t="n">
        <v>16</v>
      </c>
      <c r="C4446" s="18">
        <f>'Календарь'!A362</f>
        <v/>
      </c>
      <c r="D4446">
        <f>MONTH(C4446)</f>
        <v/>
      </c>
      <c r="E4446">
        <f>'Календарь'!D362</f>
        <v/>
      </c>
      <c r="F4446">
        <f>INT((C4446-Нед_Начало)/7)+1</f>
        <v/>
      </c>
      <c r="G4446">
        <f>IF(E4446=0,0,INDEX('Планы менеджеров'!$B$5:$M$16,B4446,D4446)/INDEX(Мес_Раб,D4446))</f>
        <v/>
      </c>
    </row>
    <row r="4447">
      <c r="A4447" t="inlineStr">
        <is>
          <t>Павлова</t>
        </is>
      </c>
      <c r="B4447" t="n">
        <v>16</v>
      </c>
      <c r="C4447" s="18">
        <f>'Календарь'!A363</f>
        <v/>
      </c>
      <c r="D4447">
        <f>MONTH(C4447)</f>
        <v/>
      </c>
      <c r="E4447">
        <f>'Календарь'!D363</f>
        <v/>
      </c>
      <c r="F4447">
        <f>INT((C4447-Нед_Начало)/7)+1</f>
        <v/>
      </c>
      <c r="G4447">
        <f>IF(E4447=0,0,INDEX('Планы менеджеров'!$B$5:$M$16,B4447,D4447)/INDEX(Мес_Раб,D4447))</f>
        <v/>
      </c>
    </row>
    <row r="4448">
      <c r="A4448" t="inlineStr">
        <is>
          <t>Павлова</t>
        </is>
      </c>
      <c r="B4448" t="n">
        <v>16</v>
      </c>
      <c r="C4448" s="18">
        <f>'Календарь'!A364</f>
        <v/>
      </c>
      <c r="D4448">
        <f>MONTH(C4448)</f>
        <v/>
      </c>
      <c r="E4448">
        <f>'Календарь'!D364</f>
        <v/>
      </c>
      <c r="F4448">
        <f>INT((C4448-Нед_Начало)/7)+1</f>
        <v/>
      </c>
      <c r="G4448">
        <f>IF(E4448=0,0,INDEX('Планы менеджеров'!$B$5:$M$16,B4448,D4448)/INDEX(Мес_Раб,D4448))</f>
        <v/>
      </c>
    </row>
    <row r="4449">
      <c r="A4449" t="inlineStr">
        <is>
          <t>Павлова</t>
        </is>
      </c>
      <c r="B4449" t="n">
        <v>16</v>
      </c>
      <c r="C4449" s="18">
        <f>'Календарь'!A365</f>
        <v/>
      </c>
      <c r="D4449">
        <f>MONTH(C4449)</f>
        <v/>
      </c>
      <c r="E4449">
        <f>'Календарь'!D365</f>
        <v/>
      </c>
      <c r="F4449">
        <f>INT((C4449-Нед_Начало)/7)+1</f>
        <v/>
      </c>
      <c r="G4449">
        <f>IF(E4449=0,0,INDEX('Планы менеджеров'!$B$5:$M$16,B4449,D4449)/INDEX(Мес_Раб,D4449))</f>
        <v/>
      </c>
    </row>
    <row r="4450">
      <c r="A4450" t="inlineStr">
        <is>
          <t>Павлова</t>
        </is>
      </c>
      <c r="B4450" t="n">
        <v>16</v>
      </c>
      <c r="C4450" s="18">
        <f>'Календарь'!A366</f>
        <v/>
      </c>
      <c r="D4450">
        <f>MONTH(C4450)</f>
        <v/>
      </c>
      <c r="E4450">
        <f>'Календарь'!D366</f>
        <v/>
      </c>
      <c r="F4450">
        <f>INT((C4450-Нед_Начало)/7)+1</f>
        <v/>
      </c>
      <c r="G4450">
        <f>IF(E4450=0,0,INDEX('Планы менеджеров'!$B$5:$M$16,B4450,D4450)/INDEX(Мес_Раб,D4450))</f>
        <v/>
      </c>
    </row>
    <row r="4451">
      <c r="A4451" t="inlineStr">
        <is>
          <t>Павлова</t>
        </is>
      </c>
      <c r="B4451" t="n">
        <v>16</v>
      </c>
      <c r="C4451" s="18">
        <f>'Календарь'!A367</f>
        <v/>
      </c>
      <c r="D4451">
        <f>MONTH(C4451)</f>
        <v/>
      </c>
      <c r="E4451">
        <f>'Календарь'!D367</f>
        <v/>
      </c>
      <c r="F4451">
        <f>INT((C4451-Нед_Начало)/7)+1</f>
        <v/>
      </c>
      <c r="G4451">
        <f>IF(E4451=0,0,INDEX('Планы менеджеров'!$B$5:$M$16,B4451,D4451)/INDEX(Мес_Раб,D4451))</f>
        <v/>
      </c>
    </row>
    <row r="4452">
      <c r="A4452" t="inlineStr">
        <is>
          <t>Павлова</t>
        </is>
      </c>
      <c r="B4452" t="n">
        <v>16</v>
      </c>
      <c r="C4452" s="18">
        <f>'Календарь'!A368</f>
        <v/>
      </c>
      <c r="D4452">
        <f>MONTH(C4452)</f>
        <v/>
      </c>
      <c r="E4452">
        <f>'Календарь'!D368</f>
        <v/>
      </c>
      <c r="F4452">
        <f>INT((C4452-Нед_Начало)/7)+1</f>
        <v/>
      </c>
      <c r="G4452">
        <f>IF(E4452=0,0,INDEX('Планы менеджеров'!$B$5:$M$16,B4452,D4452)/INDEX(Мес_Раб,D4452))</f>
        <v/>
      </c>
    </row>
    <row r="4453">
      <c r="A4453" t="inlineStr">
        <is>
          <t>Павлова</t>
        </is>
      </c>
      <c r="B4453" t="n">
        <v>16</v>
      </c>
      <c r="C4453" s="18">
        <f>'Календарь'!A369</f>
        <v/>
      </c>
      <c r="D4453">
        <f>MONTH(C4453)</f>
        <v/>
      </c>
      <c r="E4453">
        <f>'Календарь'!D369</f>
        <v/>
      </c>
      <c r="F4453">
        <f>INT((C4453-Нед_Начало)/7)+1</f>
        <v/>
      </c>
      <c r="G4453">
        <f>IF(E4453=0,0,INDEX('Планы менеджеров'!$B$5:$M$16,B4453,D4453)/INDEX(Мес_Раб,D4453))</f>
        <v/>
      </c>
    </row>
    <row r="4454">
      <c r="A4454" t="inlineStr">
        <is>
          <t>Павлова</t>
        </is>
      </c>
      <c r="B4454" t="n">
        <v>16</v>
      </c>
      <c r="C4454" s="18">
        <f>'Календарь'!A370</f>
        <v/>
      </c>
      <c r="D4454">
        <f>MONTH(C4454)</f>
        <v/>
      </c>
      <c r="E4454">
        <f>'Календарь'!D370</f>
        <v/>
      </c>
      <c r="F4454">
        <f>INT((C4454-Нед_Начало)/7)+1</f>
        <v/>
      </c>
      <c r="G4454">
        <f>IF(E4454=0,0,INDEX('Планы менеджеров'!$B$5:$M$16,B4454,D4454)/INDEX(Мес_Раб,D4454))</f>
        <v/>
      </c>
    </row>
    <row r="4455">
      <c r="A4455" t="inlineStr">
        <is>
          <t>Павлова</t>
        </is>
      </c>
      <c r="B4455" t="n">
        <v>16</v>
      </c>
      <c r="C4455" s="18">
        <f>'Календарь'!A371</f>
        <v/>
      </c>
      <c r="D4455">
        <f>MONTH(C4455)</f>
        <v/>
      </c>
      <c r="E4455">
        <f>'Календарь'!D371</f>
        <v/>
      </c>
      <c r="F4455">
        <f>INT((C4455-Нед_Начало)/7)+1</f>
        <v/>
      </c>
      <c r="G4455">
        <f>IF(E4455=0,0,INDEX('Планы менеджеров'!$B$5:$M$16,B4455,D4455)/INDEX(Мес_Раб,D4455))</f>
        <v/>
      </c>
    </row>
    <row r="4456">
      <c r="A4456" t="inlineStr">
        <is>
          <t>Павлова</t>
        </is>
      </c>
      <c r="B4456" t="n">
        <v>16</v>
      </c>
      <c r="C4456" s="18">
        <f>'Календарь'!A372</f>
        <v/>
      </c>
      <c r="D4456">
        <f>MONTH(C4456)</f>
        <v/>
      </c>
      <c r="E4456">
        <f>'Календарь'!D372</f>
        <v/>
      </c>
      <c r="F4456">
        <f>INT((C4456-Нед_Начало)/7)+1</f>
        <v/>
      </c>
      <c r="G4456">
        <f>IF(E4456=0,0,INDEX('Планы менеджеров'!$B$5:$M$16,B4456,D4456)/INDEX(Мес_Раб,D4456))</f>
        <v/>
      </c>
    </row>
    <row r="4458">
      <c r="A4458" s="3" t="inlineStr">
        <is>
          <t>Блок 2. План по финансовым неделям</t>
        </is>
      </c>
    </row>
    <row r="4459">
      <c r="A4459" s="5" t="inlineStr">
        <is>
          <t>Менеджер</t>
        </is>
      </c>
      <c r="B4459" s="5" t="inlineStr">
        <is>
          <t>№ недели</t>
        </is>
      </c>
      <c r="C4459" s="5" t="inlineStr">
        <is>
          <t>Рабочих дней в неделе</t>
        </is>
      </c>
      <c r="D4459" s="5" t="inlineStr">
        <is>
          <t>План недели (итого)</t>
        </is>
      </c>
      <c r="E4459" s="5" t="inlineStr">
        <is>
          <t>Из них план мес. A</t>
        </is>
      </c>
      <c r="F4459" s="5" t="inlineStr">
        <is>
          <t>Из них план мес. B (стык)</t>
        </is>
      </c>
      <c r="G4459" s="5" t="inlineStr">
        <is>
          <t>Проверка A+B=итого</t>
        </is>
      </c>
    </row>
    <row r="4460">
      <c r="A4460" s="15" t="inlineStr">
        <is>
          <t>Иванов</t>
        </is>
      </c>
      <c r="B4460" s="6" t="n">
        <v>1</v>
      </c>
      <c r="C4460" s="7">
        <f>INDEX(Нед_Раб,1)</f>
        <v/>
      </c>
      <c r="D4460" s="10">
        <f>SUM(G5:G11)</f>
        <v/>
      </c>
      <c r="E4460" s="10">
        <f>SUMIFS($G$5:$G$11,$D$5:$D$11,INDEX($D$5:$D$11,1))</f>
        <v/>
      </c>
      <c r="F4460" s="10">
        <f>SUMIFS($G$5:$G$11,$D$5:$D$11,INDEX($D$5:$D$11,7))</f>
        <v/>
      </c>
      <c r="G4460" s="7">
        <f>IF(ROUND(E4460+F4460-D4460,2)=0,"OK","ОШИБКА")</f>
        <v/>
      </c>
    </row>
    <row r="4461">
      <c r="A4461" s="15" t="inlineStr">
        <is>
          <t>Иванов</t>
        </is>
      </c>
      <c r="B4461" s="6" t="n">
        <v>2</v>
      </c>
      <c r="C4461" s="7">
        <f>INDEX(Нед_Раб,2)</f>
        <v/>
      </c>
      <c r="D4461" s="10">
        <f>SUM(G12:G18)</f>
        <v/>
      </c>
      <c r="E4461" s="10">
        <f>SUMIFS($G$12:$G$18,$D$12:$D$18,INDEX($D$12:$D$18,1))</f>
        <v/>
      </c>
      <c r="F4461" s="10">
        <f>SUMIFS($G$12:$G$18,$D$12:$D$18,INDEX($D$12:$D$18,7))</f>
        <v/>
      </c>
      <c r="G4461" s="7">
        <f>IF(ROUND(E4461+F4461-D4461,2)=0,"OK","ОШИБКА")</f>
        <v/>
      </c>
    </row>
    <row r="4462">
      <c r="A4462" s="15" t="inlineStr">
        <is>
          <t>Иванов</t>
        </is>
      </c>
      <c r="B4462" s="6" t="n">
        <v>3</v>
      </c>
      <c r="C4462" s="7">
        <f>INDEX(Нед_Раб,3)</f>
        <v/>
      </c>
      <c r="D4462" s="10">
        <f>SUM(G19:G25)</f>
        <v/>
      </c>
      <c r="E4462" s="10">
        <f>SUMIFS($G$19:$G$25,$D$19:$D$25,INDEX($D$19:$D$25,1))</f>
        <v/>
      </c>
      <c r="F4462" s="10">
        <f>SUMIFS($G$19:$G$25,$D$19:$D$25,INDEX($D$19:$D$25,7))</f>
        <v/>
      </c>
      <c r="G4462" s="7">
        <f>IF(ROUND(E4462+F4462-D4462,2)=0,"OK","ОШИБКА")</f>
        <v/>
      </c>
    </row>
    <row r="4463">
      <c r="A4463" s="15" t="inlineStr">
        <is>
          <t>Иванов</t>
        </is>
      </c>
      <c r="B4463" s="6" t="n">
        <v>4</v>
      </c>
      <c r="C4463" s="7">
        <f>INDEX(Нед_Раб,4)</f>
        <v/>
      </c>
      <c r="D4463" s="10">
        <f>SUM(G26:G32)</f>
        <v/>
      </c>
      <c r="E4463" s="10">
        <f>SUMIFS($G$26:$G$32,$D$26:$D$32,INDEX($D$26:$D$32,1))</f>
        <v/>
      </c>
      <c r="F4463" s="10">
        <f>SUMIFS($G$26:$G$32,$D$26:$D$32,INDEX($D$26:$D$32,7))</f>
        <v/>
      </c>
      <c r="G4463" s="7">
        <f>IF(ROUND(E4463+F4463-D4463,2)=0,"OK","ОШИБКА")</f>
        <v/>
      </c>
    </row>
    <row r="4464">
      <c r="A4464" s="15" t="inlineStr">
        <is>
          <t>Иванов</t>
        </is>
      </c>
      <c r="B4464" s="6" t="n">
        <v>5</v>
      </c>
      <c r="C4464" s="7">
        <f>INDEX(Нед_Раб,5)</f>
        <v/>
      </c>
      <c r="D4464" s="10">
        <f>SUM(G33:G39)</f>
        <v/>
      </c>
      <c r="E4464" s="10">
        <f>SUMIFS($G$33:$G$39,$D$33:$D$39,INDEX($D$33:$D$39,1))</f>
        <v/>
      </c>
      <c r="F4464" s="10">
        <f>SUMIFS($G$33:$G$39,$D$33:$D$39,INDEX($D$33:$D$39,7))</f>
        <v/>
      </c>
      <c r="G4464" s="7">
        <f>IF(ROUND(E4464+F4464-D4464,2)=0,"OK","ОШИБКА")</f>
        <v/>
      </c>
    </row>
    <row r="4465">
      <c r="A4465" s="15" t="inlineStr">
        <is>
          <t>Иванов</t>
        </is>
      </c>
      <c r="B4465" s="6" t="n">
        <v>6</v>
      </c>
      <c r="C4465" s="7">
        <f>INDEX(Нед_Раб,6)</f>
        <v/>
      </c>
      <c r="D4465" s="10">
        <f>SUM(G40:G46)</f>
        <v/>
      </c>
      <c r="E4465" s="10">
        <f>SUMIFS($G$40:$G$46,$D$40:$D$46,INDEX($D$40:$D$46,1))</f>
        <v/>
      </c>
      <c r="F4465" s="10">
        <f>SUMIFS($G$40:$G$46,$D$40:$D$46,INDEX($D$40:$D$46,7))</f>
        <v/>
      </c>
      <c r="G4465" s="7">
        <f>IF(ROUND(E4465+F4465-D4465,2)=0,"OK","ОШИБКА")</f>
        <v/>
      </c>
    </row>
    <row r="4466">
      <c r="A4466" s="15" t="inlineStr">
        <is>
          <t>Иванов</t>
        </is>
      </c>
      <c r="B4466" s="6" t="n">
        <v>7</v>
      </c>
      <c r="C4466" s="7">
        <f>INDEX(Нед_Раб,7)</f>
        <v/>
      </c>
      <c r="D4466" s="10">
        <f>SUM(G47:G53)</f>
        <v/>
      </c>
      <c r="E4466" s="10">
        <f>SUMIFS($G$47:$G$53,$D$47:$D$53,INDEX($D$47:$D$53,1))</f>
        <v/>
      </c>
      <c r="F4466" s="10">
        <f>SUMIFS($G$47:$G$53,$D$47:$D$53,INDEX($D$47:$D$53,7))</f>
        <v/>
      </c>
      <c r="G4466" s="7">
        <f>IF(ROUND(E4466+F4466-D4466,2)=0,"OK","ОШИБКА")</f>
        <v/>
      </c>
    </row>
    <row r="4467">
      <c r="A4467" s="15" t="inlineStr">
        <is>
          <t>Иванов</t>
        </is>
      </c>
      <c r="B4467" s="6" t="n">
        <v>8</v>
      </c>
      <c r="C4467" s="7">
        <f>INDEX(Нед_Раб,8)</f>
        <v/>
      </c>
      <c r="D4467" s="10">
        <f>SUM(G54:G60)</f>
        <v/>
      </c>
      <c r="E4467" s="10">
        <f>SUMIFS($G$54:$G$60,$D$54:$D$60,INDEX($D$54:$D$60,1))</f>
        <v/>
      </c>
      <c r="F4467" s="10">
        <f>SUMIFS($G$54:$G$60,$D$54:$D$60,INDEX($D$54:$D$60,7))</f>
        <v/>
      </c>
      <c r="G4467" s="7">
        <f>IF(ROUND(E4467+F4467-D4467,2)=0,"OK","ОШИБКА")</f>
        <v/>
      </c>
    </row>
    <row r="4468">
      <c r="A4468" s="15" t="inlineStr">
        <is>
          <t>Иванов</t>
        </is>
      </c>
      <c r="B4468" s="6" t="n">
        <v>9</v>
      </c>
      <c r="C4468" s="7">
        <f>INDEX(Нед_Раб,9)</f>
        <v/>
      </c>
      <c r="D4468" s="10">
        <f>SUM(G61:G67)</f>
        <v/>
      </c>
      <c r="E4468" s="10">
        <f>SUMIFS($G$61:$G$67,$D$61:$D$67,INDEX($D$61:$D$67,1))</f>
        <v/>
      </c>
      <c r="F4468" s="10">
        <f>SUMIFS($G$61:$G$67,$D$61:$D$67,INDEX($D$61:$D$67,7))</f>
        <v/>
      </c>
      <c r="G4468" s="7">
        <f>IF(ROUND(E4468+F4468-D4468,2)=0,"OK","ОШИБКА")</f>
        <v/>
      </c>
    </row>
    <row r="4469">
      <c r="A4469" s="15" t="inlineStr">
        <is>
          <t>Иванов</t>
        </is>
      </c>
      <c r="B4469" s="6" t="n">
        <v>10</v>
      </c>
      <c r="C4469" s="7">
        <f>INDEX(Нед_Раб,10)</f>
        <v/>
      </c>
      <c r="D4469" s="10">
        <f>SUM(G68:G74)</f>
        <v/>
      </c>
      <c r="E4469" s="10">
        <f>SUMIFS($G$68:$G$74,$D$68:$D$74,INDEX($D$68:$D$74,1))</f>
        <v/>
      </c>
      <c r="F4469" s="10">
        <f>SUMIFS($G$68:$G$74,$D$68:$D$74,INDEX($D$68:$D$74,7))</f>
        <v/>
      </c>
      <c r="G4469" s="7">
        <f>IF(ROUND(E4469+F4469-D4469,2)=0,"OK","ОШИБКА")</f>
        <v/>
      </c>
    </row>
    <row r="4470">
      <c r="A4470" s="15" t="inlineStr">
        <is>
          <t>Иванов</t>
        </is>
      </c>
      <c r="B4470" s="6" t="n">
        <v>11</v>
      </c>
      <c r="C4470" s="7">
        <f>INDEX(Нед_Раб,11)</f>
        <v/>
      </c>
      <c r="D4470" s="10">
        <f>SUM(G75:G81)</f>
        <v/>
      </c>
      <c r="E4470" s="10">
        <f>SUMIFS($G$75:$G$81,$D$75:$D$81,INDEX($D$75:$D$81,1))</f>
        <v/>
      </c>
      <c r="F4470" s="10">
        <f>SUMIFS($G$75:$G$81,$D$75:$D$81,INDEX($D$75:$D$81,7))</f>
        <v/>
      </c>
      <c r="G4470" s="7">
        <f>IF(ROUND(E4470+F4470-D4470,2)=0,"OK","ОШИБКА")</f>
        <v/>
      </c>
    </row>
    <row r="4471">
      <c r="A4471" s="15" t="inlineStr">
        <is>
          <t>Иванов</t>
        </is>
      </c>
      <c r="B4471" s="6" t="n">
        <v>12</v>
      </c>
      <c r="C4471" s="7">
        <f>INDEX(Нед_Раб,12)</f>
        <v/>
      </c>
      <c r="D4471" s="10">
        <f>SUM(G82:G88)</f>
        <v/>
      </c>
      <c r="E4471" s="10">
        <f>SUMIFS($G$82:$G$88,$D$82:$D$88,INDEX($D$82:$D$88,1))</f>
        <v/>
      </c>
      <c r="F4471" s="10">
        <f>SUMIFS($G$82:$G$88,$D$82:$D$88,INDEX($D$82:$D$88,7))</f>
        <v/>
      </c>
      <c r="G4471" s="7">
        <f>IF(ROUND(E4471+F4471-D4471,2)=0,"OK","ОШИБКА")</f>
        <v/>
      </c>
    </row>
    <row r="4472">
      <c r="A4472" s="15" t="inlineStr">
        <is>
          <t>Иванов</t>
        </is>
      </c>
      <c r="B4472" s="6" t="n">
        <v>13</v>
      </c>
      <c r="C4472" s="7">
        <f>INDEX(Нед_Раб,13)</f>
        <v/>
      </c>
      <c r="D4472" s="10">
        <f>SUM(G89:G95)</f>
        <v/>
      </c>
      <c r="E4472" s="10">
        <f>SUMIFS($G$89:$G$95,$D$89:$D$95,INDEX($D$89:$D$95,1))</f>
        <v/>
      </c>
      <c r="F4472" s="10">
        <f>SUMIFS($G$89:$G$95,$D$89:$D$95,INDEX($D$89:$D$95,7))</f>
        <v/>
      </c>
      <c r="G4472" s="7">
        <f>IF(ROUND(E4472+F4472-D4472,2)=0,"OK","ОШИБКА")</f>
        <v/>
      </c>
    </row>
    <row r="4473">
      <c r="A4473" s="15" t="inlineStr">
        <is>
          <t>Иванов</t>
        </is>
      </c>
      <c r="B4473" s="6" t="n">
        <v>14</v>
      </c>
      <c r="C4473" s="7">
        <f>INDEX(Нед_Раб,14)</f>
        <v/>
      </c>
      <c r="D4473" s="10">
        <f>SUM(G96:G102)</f>
        <v/>
      </c>
      <c r="E4473" s="10">
        <f>SUMIFS($G$96:$G$102,$D$96:$D$102,INDEX($D$96:$D$102,1))</f>
        <v/>
      </c>
      <c r="F4473" s="10">
        <f>SUMIFS($G$96:$G$102,$D$96:$D$102,INDEX($D$96:$D$102,7))</f>
        <v/>
      </c>
      <c r="G4473" s="7">
        <f>IF(ROUND(E4473+F4473-D4473,2)=0,"OK","ОШИБКА")</f>
        <v/>
      </c>
    </row>
    <row r="4474">
      <c r="A4474" s="15" t="inlineStr">
        <is>
          <t>Иванов</t>
        </is>
      </c>
      <c r="B4474" s="6" t="n">
        <v>15</v>
      </c>
      <c r="C4474" s="7">
        <f>INDEX(Нед_Раб,15)</f>
        <v/>
      </c>
      <c r="D4474" s="10">
        <f>SUM(G103:G109)</f>
        <v/>
      </c>
      <c r="E4474" s="10">
        <f>SUMIFS($G$103:$G$109,$D$103:$D$109,INDEX($D$103:$D$109,1))</f>
        <v/>
      </c>
      <c r="F4474" s="10">
        <f>SUMIFS($G$103:$G$109,$D$103:$D$109,INDEX($D$103:$D$109,7))</f>
        <v/>
      </c>
      <c r="G4474" s="7">
        <f>IF(ROUND(E4474+F4474-D4474,2)=0,"OK","ОШИБКА")</f>
        <v/>
      </c>
    </row>
    <row r="4475">
      <c r="A4475" s="15" t="inlineStr">
        <is>
          <t>Иванов</t>
        </is>
      </c>
      <c r="B4475" s="6" t="n">
        <v>16</v>
      </c>
      <c r="C4475" s="7">
        <f>INDEX(Нед_Раб,16)</f>
        <v/>
      </c>
      <c r="D4475" s="10">
        <f>SUM(G110:G116)</f>
        <v/>
      </c>
      <c r="E4475" s="10">
        <f>SUMIFS($G$110:$G$116,$D$110:$D$116,INDEX($D$110:$D$116,1))</f>
        <v/>
      </c>
      <c r="F4475" s="10">
        <f>SUMIFS($G$110:$G$116,$D$110:$D$116,INDEX($D$110:$D$116,7))</f>
        <v/>
      </c>
      <c r="G4475" s="7">
        <f>IF(ROUND(E4475+F4475-D4475,2)=0,"OK","ОШИБКА")</f>
        <v/>
      </c>
    </row>
    <row r="4476">
      <c r="A4476" s="15" t="inlineStr">
        <is>
          <t>Иванов</t>
        </is>
      </c>
      <c r="B4476" s="6" t="n">
        <v>17</v>
      </c>
      <c r="C4476" s="7">
        <f>INDEX(Нед_Раб,17)</f>
        <v/>
      </c>
      <c r="D4476" s="10">
        <f>SUM(G117:G123)</f>
        <v/>
      </c>
      <c r="E4476" s="10">
        <f>SUMIFS($G$117:$G$123,$D$117:$D$123,INDEX($D$117:$D$123,1))</f>
        <v/>
      </c>
      <c r="F4476" s="10">
        <f>SUMIFS($G$117:$G$123,$D$117:$D$123,INDEX($D$117:$D$123,7))</f>
        <v/>
      </c>
      <c r="G4476" s="7">
        <f>IF(ROUND(E4476+F4476-D4476,2)=0,"OK","ОШИБКА")</f>
        <v/>
      </c>
    </row>
    <row r="4477">
      <c r="A4477" s="15" t="inlineStr">
        <is>
          <t>Иванов</t>
        </is>
      </c>
      <c r="B4477" s="6" t="n">
        <v>18</v>
      </c>
      <c r="C4477" s="7">
        <f>INDEX(Нед_Раб,18)</f>
        <v/>
      </c>
      <c r="D4477" s="10">
        <f>SUM(G124:G130)</f>
        <v/>
      </c>
      <c r="E4477" s="10">
        <f>SUMIFS($G$124:$G$130,$D$124:$D$130,INDEX($D$124:$D$130,1))</f>
        <v/>
      </c>
      <c r="F4477" s="10">
        <f>SUMIFS($G$124:$G$130,$D$124:$D$130,INDEX($D$124:$D$130,7))</f>
        <v/>
      </c>
      <c r="G4477" s="7">
        <f>IF(ROUND(E4477+F4477-D4477,2)=0,"OK","ОШИБКА")</f>
        <v/>
      </c>
    </row>
    <row r="4478">
      <c r="A4478" s="15" t="inlineStr">
        <is>
          <t>Иванов</t>
        </is>
      </c>
      <c r="B4478" s="6" t="n">
        <v>19</v>
      </c>
      <c r="C4478" s="7">
        <f>INDEX(Нед_Раб,19)</f>
        <v/>
      </c>
      <c r="D4478" s="10">
        <f>SUM(G131:G137)</f>
        <v/>
      </c>
      <c r="E4478" s="10">
        <f>SUMIFS($G$131:$G$137,$D$131:$D$137,INDEX($D$131:$D$137,1))</f>
        <v/>
      </c>
      <c r="F4478" s="10">
        <f>SUMIFS($G$131:$G$137,$D$131:$D$137,INDEX($D$131:$D$137,7))</f>
        <v/>
      </c>
      <c r="G4478" s="7">
        <f>IF(ROUND(E4478+F4478-D4478,2)=0,"OK","ОШИБКА")</f>
        <v/>
      </c>
    </row>
    <row r="4479">
      <c r="A4479" s="15" t="inlineStr">
        <is>
          <t>Иванов</t>
        </is>
      </c>
      <c r="B4479" s="6" t="n">
        <v>20</v>
      </c>
      <c r="C4479" s="7">
        <f>INDEX(Нед_Раб,20)</f>
        <v/>
      </c>
      <c r="D4479" s="10">
        <f>SUM(G138:G144)</f>
        <v/>
      </c>
      <c r="E4479" s="10">
        <f>SUMIFS($G$138:$G$144,$D$138:$D$144,INDEX($D$138:$D$144,1))</f>
        <v/>
      </c>
      <c r="F4479" s="10">
        <f>SUMIFS($G$138:$G$144,$D$138:$D$144,INDEX($D$138:$D$144,7))</f>
        <v/>
      </c>
      <c r="G4479" s="7">
        <f>IF(ROUND(E4479+F4479-D4479,2)=0,"OK","ОШИБКА")</f>
        <v/>
      </c>
    </row>
    <row r="4480">
      <c r="A4480" s="15" t="inlineStr">
        <is>
          <t>Иванов</t>
        </is>
      </c>
      <c r="B4480" s="6" t="n">
        <v>21</v>
      </c>
      <c r="C4480" s="7">
        <f>INDEX(Нед_Раб,21)</f>
        <v/>
      </c>
      <c r="D4480" s="10">
        <f>SUM(G145:G151)</f>
        <v/>
      </c>
      <c r="E4480" s="10">
        <f>SUMIFS($G$145:$G$151,$D$145:$D$151,INDEX($D$145:$D$151,1))</f>
        <v/>
      </c>
      <c r="F4480" s="10">
        <f>SUMIFS($G$145:$G$151,$D$145:$D$151,INDEX($D$145:$D$151,7))</f>
        <v/>
      </c>
      <c r="G4480" s="7">
        <f>IF(ROUND(E4480+F4480-D4480,2)=0,"OK","ОШИБКА")</f>
        <v/>
      </c>
    </row>
    <row r="4481">
      <c r="A4481" s="15" t="inlineStr">
        <is>
          <t>Иванов</t>
        </is>
      </c>
      <c r="B4481" s="6" t="n">
        <v>22</v>
      </c>
      <c r="C4481" s="7">
        <f>INDEX(Нед_Раб,22)</f>
        <v/>
      </c>
      <c r="D4481" s="10">
        <f>SUM(G152:G158)</f>
        <v/>
      </c>
      <c r="E4481" s="10">
        <f>SUMIFS($G$152:$G$158,$D$152:$D$158,INDEX($D$152:$D$158,1))</f>
        <v/>
      </c>
      <c r="F4481" s="10">
        <f>SUMIFS($G$152:$G$158,$D$152:$D$158,INDEX($D$152:$D$158,7))</f>
        <v/>
      </c>
      <c r="G4481" s="7">
        <f>IF(ROUND(E4481+F4481-D4481,2)=0,"OK","ОШИБКА")</f>
        <v/>
      </c>
    </row>
    <row r="4482">
      <c r="A4482" s="15" t="inlineStr">
        <is>
          <t>Иванов</t>
        </is>
      </c>
      <c r="B4482" s="6" t="n">
        <v>23</v>
      </c>
      <c r="C4482" s="7">
        <f>INDEX(Нед_Раб,23)</f>
        <v/>
      </c>
      <c r="D4482" s="10">
        <f>SUM(G159:G165)</f>
        <v/>
      </c>
      <c r="E4482" s="10">
        <f>SUMIFS($G$159:$G$165,$D$159:$D$165,INDEX($D$159:$D$165,1))</f>
        <v/>
      </c>
      <c r="F4482" s="10">
        <f>SUMIFS($G$159:$G$165,$D$159:$D$165,INDEX($D$159:$D$165,7))</f>
        <v/>
      </c>
      <c r="G4482" s="7">
        <f>IF(ROUND(E4482+F4482-D4482,2)=0,"OK","ОШИБКА")</f>
        <v/>
      </c>
    </row>
    <row r="4483">
      <c r="A4483" s="15" t="inlineStr">
        <is>
          <t>Иванов</t>
        </is>
      </c>
      <c r="B4483" s="6" t="n">
        <v>24</v>
      </c>
      <c r="C4483" s="7">
        <f>INDEX(Нед_Раб,24)</f>
        <v/>
      </c>
      <c r="D4483" s="10">
        <f>SUM(G166:G172)</f>
        <v/>
      </c>
      <c r="E4483" s="10">
        <f>SUMIFS($G$166:$G$172,$D$166:$D$172,INDEX($D$166:$D$172,1))</f>
        <v/>
      </c>
      <c r="F4483" s="10">
        <f>SUMIFS($G$166:$G$172,$D$166:$D$172,INDEX($D$166:$D$172,7))</f>
        <v/>
      </c>
      <c r="G4483" s="7">
        <f>IF(ROUND(E4483+F4483-D4483,2)=0,"OK","ОШИБКА")</f>
        <v/>
      </c>
    </row>
    <row r="4484">
      <c r="A4484" s="15" t="inlineStr">
        <is>
          <t>Иванов</t>
        </is>
      </c>
      <c r="B4484" s="6" t="n">
        <v>25</v>
      </c>
      <c r="C4484" s="7">
        <f>INDEX(Нед_Раб,25)</f>
        <v/>
      </c>
      <c r="D4484" s="10">
        <f>SUM(G173:G179)</f>
        <v/>
      </c>
      <c r="E4484" s="10">
        <f>SUMIFS($G$173:$G$179,$D$173:$D$179,INDEX($D$173:$D$179,1))</f>
        <v/>
      </c>
      <c r="F4484" s="10">
        <f>SUMIFS($G$173:$G$179,$D$173:$D$179,INDEX($D$173:$D$179,7))</f>
        <v/>
      </c>
      <c r="G4484" s="7">
        <f>IF(ROUND(E4484+F4484-D4484,2)=0,"OK","ОШИБКА")</f>
        <v/>
      </c>
    </row>
    <row r="4485">
      <c r="A4485" s="15" t="inlineStr">
        <is>
          <t>Иванов</t>
        </is>
      </c>
      <c r="B4485" s="6" t="n">
        <v>26</v>
      </c>
      <c r="C4485" s="7">
        <f>INDEX(Нед_Раб,26)</f>
        <v/>
      </c>
      <c r="D4485" s="10">
        <f>SUM(G180:G186)</f>
        <v/>
      </c>
      <c r="E4485" s="10">
        <f>SUMIFS($G$180:$G$186,$D$180:$D$186,INDEX($D$180:$D$186,1))</f>
        <v/>
      </c>
      <c r="F4485" s="10">
        <f>SUMIFS($G$180:$G$186,$D$180:$D$186,INDEX($D$180:$D$186,7))</f>
        <v/>
      </c>
      <c r="G4485" s="7">
        <f>IF(ROUND(E4485+F4485-D4485,2)=0,"OK","ОШИБКА")</f>
        <v/>
      </c>
    </row>
    <row r="4486">
      <c r="A4486" s="15" t="inlineStr">
        <is>
          <t>Иванов</t>
        </is>
      </c>
      <c r="B4486" s="6" t="n">
        <v>27</v>
      </c>
      <c r="C4486" s="7">
        <f>INDEX(Нед_Раб,27)</f>
        <v/>
      </c>
      <c r="D4486" s="10">
        <f>SUM(G187:G193)</f>
        <v/>
      </c>
      <c r="E4486" s="10">
        <f>SUMIFS($G$187:$G$193,$D$187:$D$193,INDEX($D$187:$D$193,1))</f>
        <v/>
      </c>
      <c r="F4486" s="10">
        <f>SUMIFS($G$187:$G$193,$D$187:$D$193,INDEX($D$187:$D$193,7))</f>
        <v/>
      </c>
      <c r="G4486" s="7">
        <f>IF(ROUND(E4486+F4486-D4486,2)=0,"OK","ОШИБКА")</f>
        <v/>
      </c>
    </row>
    <row r="4487">
      <c r="A4487" s="15" t="inlineStr">
        <is>
          <t>Иванов</t>
        </is>
      </c>
      <c r="B4487" s="6" t="n">
        <v>28</v>
      </c>
      <c r="C4487" s="7">
        <f>INDEX(Нед_Раб,28)</f>
        <v/>
      </c>
      <c r="D4487" s="10">
        <f>SUM(G194:G200)</f>
        <v/>
      </c>
      <c r="E4487" s="10">
        <f>SUMIFS($G$194:$G$200,$D$194:$D$200,INDEX($D$194:$D$200,1))</f>
        <v/>
      </c>
      <c r="F4487" s="10">
        <f>SUMIFS($G$194:$G$200,$D$194:$D$200,INDEX($D$194:$D$200,7))</f>
        <v/>
      </c>
      <c r="G4487" s="7">
        <f>IF(ROUND(E4487+F4487-D4487,2)=0,"OK","ОШИБКА")</f>
        <v/>
      </c>
    </row>
    <row r="4488">
      <c r="A4488" s="15" t="inlineStr">
        <is>
          <t>Иванов</t>
        </is>
      </c>
      <c r="B4488" s="6" t="n">
        <v>29</v>
      </c>
      <c r="C4488" s="7">
        <f>INDEX(Нед_Раб,29)</f>
        <v/>
      </c>
      <c r="D4488" s="10">
        <f>SUM(G201:G207)</f>
        <v/>
      </c>
      <c r="E4488" s="10">
        <f>SUMIFS($G$201:$G$207,$D$201:$D$207,INDEX($D$201:$D$207,1))</f>
        <v/>
      </c>
      <c r="F4488" s="10">
        <f>SUMIFS($G$201:$G$207,$D$201:$D$207,INDEX($D$201:$D$207,7))</f>
        <v/>
      </c>
      <c r="G4488" s="7">
        <f>IF(ROUND(E4488+F4488-D4488,2)=0,"OK","ОШИБКА")</f>
        <v/>
      </c>
    </row>
    <row r="4489">
      <c r="A4489" s="15" t="inlineStr">
        <is>
          <t>Иванов</t>
        </is>
      </c>
      <c r="B4489" s="6" t="n">
        <v>30</v>
      </c>
      <c r="C4489" s="7">
        <f>INDEX(Нед_Раб,30)</f>
        <v/>
      </c>
      <c r="D4489" s="10">
        <f>SUM(G208:G214)</f>
        <v/>
      </c>
      <c r="E4489" s="10">
        <f>SUMIFS($G$208:$G$214,$D$208:$D$214,INDEX($D$208:$D$214,1))</f>
        <v/>
      </c>
      <c r="F4489" s="10">
        <f>SUMIFS($G$208:$G$214,$D$208:$D$214,INDEX($D$208:$D$214,7))</f>
        <v/>
      </c>
      <c r="G4489" s="7">
        <f>IF(ROUND(E4489+F4489-D4489,2)=0,"OK","ОШИБКА")</f>
        <v/>
      </c>
    </row>
    <row r="4490">
      <c r="A4490" s="15" t="inlineStr">
        <is>
          <t>Иванов</t>
        </is>
      </c>
      <c r="B4490" s="6" t="n">
        <v>31</v>
      </c>
      <c r="C4490" s="7">
        <f>INDEX(Нед_Раб,31)</f>
        <v/>
      </c>
      <c r="D4490" s="10">
        <f>SUM(G215:G221)</f>
        <v/>
      </c>
      <c r="E4490" s="10">
        <f>SUMIFS($G$215:$G$221,$D$215:$D$221,INDEX($D$215:$D$221,1))</f>
        <v/>
      </c>
      <c r="F4490" s="10">
        <f>SUMIFS($G$215:$G$221,$D$215:$D$221,INDEX($D$215:$D$221,7))</f>
        <v/>
      </c>
      <c r="G4490" s="7">
        <f>IF(ROUND(E4490+F4490-D4490,2)=0,"OK","ОШИБКА")</f>
        <v/>
      </c>
    </row>
    <row r="4491">
      <c r="A4491" s="15" t="inlineStr">
        <is>
          <t>Иванов</t>
        </is>
      </c>
      <c r="B4491" s="6" t="n">
        <v>32</v>
      </c>
      <c r="C4491" s="7">
        <f>INDEX(Нед_Раб,32)</f>
        <v/>
      </c>
      <c r="D4491" s="10">
        <f>SUM(G222:G228)</f>
        <v/>
      </c>
      <c r="E4491" s="10">
        <f>SUMIFS($G$222:$G$228,$D$222:$D$228,INDEX($D$222:$D$228,1))</f>
        <v/>
      </c>
      <c r="F4491" s="10">
        <f>SUMIFS($G$222:$G$228,$D$222:$D$228,INDEX($D$222:$D$228,7))</f>
        <v/>
      </c>
      <c r="G4491" s="7">
        <f>IF(ROUND(E4491+F4491-D4491,2)=0,"OK","ОШИБКА")</f>
        <v/>
      </c>
    </row>
    <row r="4492">
      <c r="A4492" s="15" t="inlineStr">
        <is>
          <t>Иванов</t>
        </is>
      </c>
      <c r="B4492" s="6" t="n">
        <v>33</v>
      </c>
      <c r="C4492" s="7">
        <f>INDEX(Нед_Раб,33)</f>
        <v/>
      </c>
      <c r="D4492" s="10">
        <f>SUM(G229:G235)</f>
        <v/>
      </c>
      <c r="E4492" s="10">
        <f>SUMIFS($G$229:$G$235,$D$229:$D$235,INDEX($D$229:$D$235,1))</f>
        <v/>
      </c>
      <c r="F4492" s="10">
        <f>SUMIFS($G$229:$G$235,$D$229:$D$235,INDEX($D$229:$D$235,7))</f>
        <v/>
      </c>
      <c r="G4492" s="7">
        <f>IF(ROUND(E4492+F4492-D4492,2)=0,"OK","ОШИБКА")</f>
        <v/>
      </c>
    </row>
    <row r="4493">
      <c r="A4493" s="15" t="inlineStr">
        <is>
          <t>Иванов</t>
        </is>
      </c>
      <c r="B4493" s="6" t="n">
        <v>34</v>
      </c>
      <c r="C4493" s="7">
        <f>INDEX(Нед_Раб,34)</f>
        <v/>
      </c>
      <c r="D4493" s="10">
        <f>SUM(G236:G242)</f>
        <v/>
      </c>
      <c r="E4493" s="10">
        <f>SUMIFS($G$236:$G$242,$D$236:$D$242,INDEX($D$236:$D$242,1))</f>
        <v/>
      </c>
      <c r="F4493" s="10">
        <f>SUMIFS($G$236:$G$242,$D$236:$D$242,INDEX($D$236:$D$242,7))</f>
        <v/>
      </c>
      <c r="G4493" s="7">
        <f>IF(ROUND(E4493+F4493-D4493,2)=0,"OK","ОШИБКА")</f>
        <v/>
      </c>
    </row>
    <row r="4494">
      <c r="A4494" s="15" t="inlineStr">
        <is>
          <t>Иванов</t>
        </is>
      </c>
      <c r="B4494" s="6" t="n">
        <v>35</v>
      </c>
      <c r="C4494" s="7">
        <f>INDEX(Нед_Раб,35)</f>
        <v/>
      </c>
      <c r="D4494" s="10">
        <f>SUM(G243:G249)</f>
        <v/>
      </c>
      <c r="E4494" s="10">
        <f>SUMIFS($G$243:$G$249,$D$243:$D$249,INDEX($D$243:$D$249,1))</f>
        <v/>
      </c>
      <c r="F4494" s="10">
        <f>SUMIFS($G$243:$G$249,$D$243:$D$249,INDEX($D$243:$D$249,7))</f>
        <v/>
      </c>
      <c r="G4494" s="7">
        <f>IF(ROUND(E4494+F4494-D4494,2)=0,"OK","ОШИБКА")</f>
        <v/>
      </c>
    </row>
    <row r="4495">
      <c r="A4495" s="15" t="inlineStr">
        <is>
          <t>Иванов</t>
        </is>
      </c>
      <c r="B4495" s="6" t="n">
        <v>36</v>
      </c>
      <c r="C4495" s="7">
        <f>INDEX(Нед_Раб,36)</f>
        <v/>
      </c>
      <c r="D4495" s="10">
        <f>SUM(G250:G256)</f>
        <v/>
      </c>
      <c r="E4495" s="10">
        <f>SUMIFS($G$250:$G$256,$D$250:$D$256,INDEX($D$250:$D$256,1))</f>
        <v/>
      </c>
      <c r="F4495" s="10">
        <f>SUMIFS($G$250:$G$256,$D$250:$D$256,INDEX($D$250:$D$256,7))</f>
        <v/>
      </c>
      <c r="G4495" s="7">
        <f>IF(ROUND(E4495+F4495-D4495,2)=0,"OK","ОШИБКА")</f>
        <v/>
      </c>
    </row>
    <row r="4496">
      <c r="A4496" s="15" t="inlineStr">
        <is>
          <t>Иванов</t>
        </is>
      </c>
      <c r="B4496" s="6" t="n">
        <v>37</v>
      </c>
      <c r="C4496" s="7">
        <f>INDEX(Нед_Раб,37)</f>
        <v/>
      </c>
      <c r="D4496" s="10">
        <f>SUM(G257:G263)</f>
        <v/>
      </c>
      <c r="E4496" s="10">
        <f>SUMIFS($G$257:$G$263,$D$257:$D$263,INDEX($D$257:$D$263,1))</f>
        <v/>
      </c>
      <c r="F4496" s="10">
        <f>SUMIFS($G$257:$G$263,$D$257:$D$263,INDEX($D$257:$D$263,7))</f>
        <v/>
      </c>
      <c r="G4496" s="7">
        <f>IF(ROUND(E4496+F4496-D4496,2)=0,"OK","ОШИБКА")</f>
        <v/>
      </c>
    </row>
    <row r="4497">
      <c r="A4497" s="15" t="inlineStr">
        <is>
          <t>Иванов</t>
        </is>
      </c>
      <c r="B4497" s="6" t="n">
        <v>38</v>
      </c>
      <c r="C4497" s="7">
        <f>INDEX(Нед_Раб,38)</f>
        <v/>
      </c>
      <c r="D4497" s="10">
        <f>SUM(G264:G270)</f>
        <v/>
      </c>
      <c r="E4497" s="10">
        <f>SUMIFS($G$264:$G$270,$D$264:$D$270,INDEX($D$264:$D$270,1))</f>
        <v/>
      </c>
      <c r="F4497" s="10">
        <f>SUMIFS($G$264:$G$270,$D$264:$D$270,INDEX($D$264:$D$270,7))</f>
        <v/>
      </c>
      <c r="G4497" s="7">
        <f>IF(ROUND(E4497+F4497-D4497,2)=0,"OK","ОШИБКА")</f>
        <v/>
      </c>
    </row>
    <row r="4498">
      <c r="A4498" s="15" t="inlineStr">
        <is>
          <t>Иванов</t>
        </is>
      </c>
      <c r="B4498" s="6" t="n">
        <v>39</v>
      </c>
      <c r="C4498" s="7">
        <f>INDEX(Нед_Раб,39)</f>
        <v/>
      </c>
      <c r="D4498" s="10">
        <f>SUM(G271:G277)</f>
        <v/>
      </c>
      <c r="E4498" s="10">
        <f>SUMIFS($G$271:$G$277,$D$271:$D$277,INDEX($D$271:$D$277,1))</f>
        <v/>
      </c>
      <c r="F4498" s="10">
        <f>SUMIFS($G$271:$G$277,$D$271:$D$277,INDEX($D$271:$D$277,7))</f>
        <v/>
      </c>
      <c r="G4498" s="7">
        <f>IF(ROUND(E4498+F4498-D4498,2)=0,"OK","ОШИБКА")</f>
        <v/>
      </c>
    </row>
    <row r="4499">
      <c r="A4499" s="15" t="inlineStr">
        <is>
          <t>Иванов</t>
        </is>
      </c>
      <c r="B4499" s="6" t="n">
        <v>40</v>
      </c>
      <c r="C4499" s="7">
        <f>INDEX(Нед_Раб,40)</f>
        <v/>
      </c>
      <c r="D4499" s="10">
        <f>SUM(G278:G284)</f>
        <v/>
      </c>
      <c r="E4499" s="10">
        <f>SUMIFS($G$278:$G$284,$D$278:$D$284,INDEX($D$278:$D$284,1))</f>
        <v/>
      </c>
      <c r="F4499" s="10">
        <f>SUMIFS($G$278:$G$284,$D$278:$D$284,INDEX($D$278:$D$284,7))</f>
        <v/>
      </c>
      <c r="G4499" s="7">
        <f>IF(ROUND(E4499+F4499-D4499,2)=0,"OK","ОШИБКА")</f>
        <v/>
      </c>
    </row>
    <row r="4500">
      <c r="A4500" s="15" t="inlineStr">
        <is>
          <t>Иванов</t>
        </is>
      </c>
      <c r="B4500" s="6" t="n">
        <v>41</v>
      </c>
      <c r="C4500" s="7">
        <f>INDEX(Нед_Раб,41)</f>
        <v/>
      </c>
      <c r="D4500" s="10">
        <f>SUM(G285:G291)</f>
        <v/>
      </c>
      <c r="E4500" s="10">
        <f>SUMIFS($G$285:$G$291,$D$285:$D$291,INDEX($D$285:$D$291,1))</f>
        <v/>
      </c>
      <c r="F4500" s="10">
        <f>SUMIFS($G$285:$G$291,$D$285:$D$291,INDEX($D$285:$D$291,7))</f>
        <v/>
      </c>
      <c r="G4500" s="7">
        <f>IF(ROUND(E4500+F4500-D4500,2)=0,"OK","ОШИБКА")</f>
        <v/>
      </c>
    </row>
    <row r="4501">
      <c r="A4501" s="15" t="inlineStr">
        <is>
          <t>Иванов</t>
        </is>
      </c>
      <c r="B4501" s="6" t="n">
        <v>42</v>
      </c>
      <c r="C4501" s="7">
        <f>INDEX(Нед_Раб,42)</f>
        <v/>
      </c>
      <c r="D4501" s="10">
        <f>SUM(G292:G298)</f>
        <v/>
      </c>
      <c r="E4501" s="10">
        <f>SUMIFS($G$292:$G$298,$D$292:$D$298,INDEX($D$292:$D$298,1))</f>
        <v/>
      </c>
      <c r="F4501" s="10">
        <f>SUMIFS($G$292:$G$298,$D$292:$D$298,INDEX($D$292:$D$298,7))</f>
        <v/>
      </c>
      <c r="G4501" s="7">
        <f>IF(ROUND(E4501+F4501-D4501,2)=0,"OK","ОШИБКА")</f>
        <v/>
      </c>
    </row>
    <row r="4502">
      <c r="A4502" s="15" t="inlineStr">
        <is>
          <t>Иванов</t>
        </is>
      </c>
      <c r="B4502" s="6" t="n">
        <v>43</v>
      </c>
      <c r="C4502" s="7">
        <f>INDEX(Нед_Раб,43)</f>
        <v/>
      </c>
      <c r="D4502" s="10">
        <f>SUM(G299:G305)</f>
        <v/>
      </c>
      <c r="E4502" s="10">
        <f>SUMIFS($G$299:$G$305,$D$299:$D$305,INDEX($D$299:$D$305,1))</f>
        <v/>
      </c>
      <c r="F4502" s="10">
        <f>SUMIFS($G$299:$G$305,$D$299:$D$305,INDEX($D$299:$D$305,7))</f>
        <v/>
      </c>
      <c r="G4502" s="7">
        <f>IF(ROUND(E4502+F4502-D4502,2)=0,"OK","ОШИБКА")</f>
        <v/>
      </c>
    </row>
    <row r="4503">
      <c r="A4503" s="15" t="inlineStr">
        <is>
          <t>Иванов</t>
        </is>
      </c>
      <c r="B4503" s="6" t="n">
        <v>44</v>
      </c>
      <c r="C4503" s="7">
        <f>INDEX(Нед_Раб,44)</f>
        <v/>
      </c>
      <c r="D4503" s="10">
        <f>SUM(G306:G312)</f>
        <v/>
      </c>
      <c r="E4503" s="10">
        <f>SUMIFS($G$306:$G$312,$D$306:$D$312,INDEX($D$306:$D$312,1))</f>
        <v/>
      </c>
      <c r="F4503" s="10">
        <f>SUMIFS($G$306:$G$312,$D$306:$D$312,INDEX($D$306:$D$312,7))</f>
        <v/>
      </c>
      <c r="G4503" s="7">
        <f>IF(ROUND(E4503+F4503-D4503,2)=0,"OK","ОШИБКА")</f>
        <v/>
      </c>
    </row>
    <row r="4504">
      <c r="A4504" s="15" t="inlineStr">
        <is>
          <t>Иванов</t>
        </is>
      </c>
      <c r="B4504" s="6" t="n">
        <v>45</v>
      </c>
      <c r="C4504" s="7">
        <f>INDEX(Нед_Раб,45)</f>
        <v/>
      </c>
      <c r="D4504" s="10">
        <f>SUM(G313:G319)</f>
        <v/>
      </c>
      <c r="E4504" s="10">
        <f>SUMIFS($G$313:$G$319,$D$313:$D$319,INDEX($D$313:$D$319,1))</f>
        <v/>
      </c>
      <c r="F4504" s="10">
        <f>SUMIFS($G$313:$G$319,$D$313:$D$319,INDEX($D$313:$D$319,7))</f>
        <v/>
      </c>
      <c r="G4504" s="7">
        <f>IF(ROUND(E4504+F4504-D4504,2)=0,"OK","ОШИБКА")</f>
        <v/>
      </c>
    </row>
    <row r="4505">
      <c r="A4505" s="15" t="inlineStr">
        <is>
          <t>Иванов</t>
        </is>
      </c>
      <c r="B4505" s="6" t="n">
        <v>46</v>
      </c>
      <c r="C4505" s="7">
        <f>INDEX(Нед_Раб,46)</f>
        <v/>
      </c>
      <c r="D4505" s="10">
        <f>SUM(G320:G326)</f>
        <v/>
      </c>
      <c r="E4505" s="10">
        <f>SUMIFS($G$320:$G$326,$D$320:$D$326,INDEX($D$320:$D$326,1))</f>
        <v/>
      </c>
      <c r="F4505" s="10">
        <f>SUMIFS($G$320:$G$326,$D$320:$D$326,INDEX($D$320:$D$326,7))</f>
        <v/>
      </c>
      <c r="G4505" s="7">
        <f>IF(ROUND(E4505+F4505-D4505,2)=0,"OK","ОШИБКА")</f>
        <v/>
      </c>
    </row>
    <row r="4506">
      <c r="A4506" s="15" t="inlineStr">
        <is>
          <t>Иванов</t>
        </is>
      </c>
      <c r="B4506" s="6" t="n">
        <v>47</v>
      </c>
      <c r="C4506" s="7">
        <f>INDEX(Нед_Раб,47)</f>
        <v/>
      </c>
      <c r="D4506" s="10">
        <f>SUM(G327:G333)</f>
        <v/>
      </c>
      <c r="E4506" s="10">
        <f>SUMIFS($G$327:$G$333,$D$327:$D$333,INDEX($D$327:$D$333,1))</f>
        <v/>
      </c>
      <c r="F4506" s="10">
        <f>SUMIFS($G$327:$G$333,$D$327:$D$333,INDEX($D$327:$D$333,7))</f>
        <v/>
      </c>
      <c r="G4506" s="7">
        <f>IF(ROUND(E4506+F4506-D4506,2)=0,"OK","ОШИБКА")</f>
        <v/>
      </c>
    </row>
    <row r="4507">
      <c r="A4507" s="15" t="inlineStr">
        <is>
          <t>Иванов</t>
        </is>
      </c>
      <c r="B4507" s="6" t="n">
        <v>48</v>
      </c>
      <c r="C4507" s="7">
        <f>INDEX(Нед_Раб,48)</f>
        <v/>
      </c>
      <c r="D4507" s="10">
        <f>SUM(G334:G340)</f>
        <v/>
      </c>
      <c r="E4507" s="10">
        <f>SUMIFS($G$334:$G$340,$D$334:$D$340,INDEX($D$334:$D$340,1))</f>
        <v/>
      </c>
      <c r="F4507" s="10">
        <f>SUMIFS($G$334:$G$340,$D$334:$D$340,INDEX($D$334:$D$340,7))</f>
        <v/>
      </c>
      <c r="G4507" s="7">
        <f>IF(ROUND(E4507+F4507-D4507,2)=0,"OK","ОШИБКА")</f>
        <v/>
      </c>
    </row>
    <row r="4508">
      <c r="A4508" s="15" t="inlineStr">
        <is>
          <t>Иванов</t>
        </is>
      </c>
      <c r="B4508" s="6" t="n">
        <v>49</v>
      </c>
      <c r="C4508" s="7">
        <f>INDEX(Нед_Раб,49)</f>
        <v/>
      </c>
      <c r="D4508" s="10">
        <f>SUM(G341:G347)</f>
        <v/>
      </c>
      <c r="E4508" s="10">
        <f>SUMIFS($G$341:$G$347,$D$341:$D$347,INDEX($D$341:$D$347,1))</f>
        <v/>
      </c>
      <c r="F4508" s="10">
        <f>SUMIFS($G$341:$G$347,$D$341:$D$347,INDEX($D$341:$D$347,7))</f>
        <v/>
      </c>
      <c r="G4508" s="7">
        <f>IF(ROUND(E4508+F4508-D4508,2)=0,"OK","ОШИБКА")</f>
        <v/>
      </c>
    </row>
    <row r="4509">
      <c r="A4509" s="15" t="inlineStr">
        <is>
          <t>Иванов</t>
        </is>
      </c>
      <c r="B4509" s="6" t="n">
        <v>50</v>
      </c>
      <c r="C4509" s="7">
        <f>INDEX(Нед_Раб,50)</f>
        <v/>
      </c>
      <c r="D4509" s="10">
        <f>SUM(G348:G354)</f>
        <v/>
      </c>
      <c r="E4509" s="10">
        <f>SUMIFS($G$348:$G$354,$D$348:$D$354,INDEX($D$348:$D$354,1))</f>
        <v/>
      </c>
      <c r="F4509" s="10">
        <f>SUMIFS($G$348:$G$354,$D$348:$D$354,INDEX($D$348:$D$354,7))</f>
        <v/>
      </c>
      <c r="G4509" s="7">
        <f>IF(ROUND(E4509+F4509-D4509,2)=0,"OK","ОШИБКА")</f>
        <v/>
      </c>
    </row>
    <row r="4510">
      <c r="A4510" s="15" t="inlineStr">
        <is>
          <t>Иванов</t>
        </is>
      </c>
      <c r="B4510" s="6" t="n">
        <v>51</v>
      </c>
      <c r="C4510" s="7">
        <f>INDEX(Нед_Раб,51)</f>
        <v/>
      </c>
      <c r="D4510" s="10">
        <f>SUM(G355:G361)</f>
        <v/>
      </c>
      <c r="E4510" s="10">
        <f>SUMIFS($G$355:$G$361,$D$355:$D$361,INDEX($D$355:$D$361,1))</f>
        <v/>
      </c>
      <c r="F4510" s="10">
        <f>SUMIFS($G$355:$G$361,$D$355:$D$361,INDEX($D$355:$D$361,7))</f>
        <v/>
      </c>
      <c r="G4510" s="7">
        <f>IF(ROUND(E4510+F4510-D4510,2)=0,"OK","ОШИБКА")</f>
        <v/>
      </c>
    </row>
    <row r="4511">
      <c r="A4511" s="15" t="inlineStr">
        <is>
          <t>Иванов</t>
        </is>
      </c>
      <c r="B4511" s="6" t="n">
        <v>52</v>
      </c>
      <c r="C4511" s="7">
        <f>INDEX(Нед_Раб,52)</f>
        <v/>
      </c>
      <c r="D4511" s="10">
        <f>SUM(G362:G368)</f>
        <v/>
      </c>
      <c r="E4511" s="10">
        <f>SUMIFS($G$362:$G$368,$D$362:$D$368,INDEX($D$362:$D$368,1))</f>
        <v/>
      </c>
      <c r="F4511" s="10">
        <f>SUMIFS($G$362:$G$368,$D$362:$D$368,INDEX($D$362:$D$368,7))</f>
        <v/>
      </c>
      <c r="G4511" s="7">
        <f>IF(ROUND(E4511+F4511-D4511,2)=0,"OK","ОШИБКА")</f>
        <v/>
      </c>
    </row>
    <row r="4512">
      <c r="A4512" s="15" t="inlineStr">
        <is>
          <t>Иванов</t>
        </is>
      </c>
      <c r="B4512" s="6" t="n">
        <v>53</v>
      </c>
      <c r="C4512" s="7">
        <f>INDEX(Нед_Раб,53)</f>
        <v/>
      </c>
      <c r="D4512" s="10">
        <f>SUM(G369:G375)</f>
        <v/>
      </c>
      <c r="E4512" s="10">
        <f>SUMIFS($G$369:$G$375,$D$369:$D$375,INDEX($D$369:$D$375,1))</f>
        <v/>
      </c>
      <c r="F4512" s="10">
        <f>SUMIFS($G$369:$G$375,$D$369:$D$375,INDEX($D$369:$D$375,7))</f>
        <v/>
      </c>
      <c r="G4512" s="7">
        <f>IF(ROUND(E4512+F4512-D4512,2)=0,"OK","ОШИБКА")</f>
        <v/>
      </c>
    </row>
    <row r="4513">
      <c r="A4513" s="15" t="inlineStr">
        <is>
          <t>Петрова</t>
        </is>
      </c>
      <c r="B4513" s="6" t="n">
        <v>1</v>
      </c>
      <c r="C4513" s="7">
        <f>INDEX(Нед_Раб,1)</f>
        <v/>
      </c>
      <c r="D4513" s="10">
        <f>SUM(G5:G11)</f>
        <v/>
      </c>
      <c r="E4513" s="10">
        <f>SUMIFS($G$5:$G$11,$D$5:$D$11,INDEX($D$5:$D$11,1))</f>
        <v/>
      </c>
      <c r="F4513" s="10">
        <f>SUMIFS($G$5:$G$11,$D$5:$D$11,INDEX($D$5:$D$11,7))</f>
        <v/>
      </c>
      <c r="G4513" s="7">
        <f>IF(ROUND(E4513+F4513-D4513,2)=0,"OK","ОШИБКА")</f>
        <v/>
      </c>
    </row>
    <row r="4514">
      <c r="A4514" s="15" t="inlineStr">
        <is>
          <t>Петрова</t>
        </is>
      </c>
      <c r="B4514" s="6" t="n">
        <v>2</v>
      </c>
      <c r="C4514" s="7">
        <f>INDEX(Нед_Раб,2)</f>
        <v/>
      </c>
      <c r="D4514" s="10">
        <f>SUM(G12:G18)</f>
        <v/>
      </c>
      <c r="E4514" s="10">
        <f>SUMIFS($G$12:$G$18,$D$12:$D$18,INDEX($D$12:$D$18,1))</f>
        <v/>
      </c>
      <c r="F4514" s="10">
        <f>SUMIFS($G$12:$G$18,$D$12:$D$18,INDEX($D$12:$D$18,7))</f>
        <v/>
      </c>
      <c r="G4514" s="7">
        <f>IF(ROUND(E4514+F4514-D4514,2)=0,"OK","ОШИБКА")</f>
        <v/>
      </c>
    </row>
    <row r="4515">
      <c r="A4515" s="15" t="inlineStr">
        <is>
          <t>Петрова</t>
        </is>
      </c>
      <c r="B4515" s="6" t="n">
        <v>3</v>
      </c>
      <c r="C4515" s="7">
        <f>INDEX(Нед_Раб,3)</f>
        <v/>
      </c>
      <c r="D4515" s="10">
        <f>SUM(G19:G25)</f>
        <v/>
      </c>
      <c r="E4515" s="10">
        <f>SUMIFS($G$19:$G$25,$D$19:$D$25,INDEX($D$19:$D$25,1))</f>
        <v/>
      </c>
      <c r="F4515" s="10">
        <f>SUMIFS($G$19:$G$25,$D$19:$D$25,INDEX($D$19:$D$25,7))</f>
        <v/>
      </c>
      <c r="G4515" s="7">
        <f>IF(ROUND(E4515+F4515-D4515,2)=0,"OK","ОШИБКА")</f>
        <v/>
      </c>
    </row>
    <row r="4516">
      <c r="A4516" s="15" t="inlineStr">
        <is>
          <t>Петрова</t>
        </is>
      </c>
      <c r="B4516" s="6" t="n">
        <v>4</v>
      </c>
      <c r="C4516" s="7">
        <f>INDEX(Нед_Раб,4)</f>
        <v/>
      </c>
      <c r="D4516" s="10">
        <f>SUM(G26:G32)</f>
        <v/>
      </c>
      <c r="E4516" s="10">
        <f>SUMIFS($G$26:$G$32,$D$26:$D$32,INDEX($D$26:$D$32,1))</f>
        <v/>
      </c>
      <c r="F4516" s="10">
        <f>SUMIFS($G$26:$G$32,$D$26:$D$32,INDEX($D$26:$D$32,7))</f>
        <v/>
      </c>
      <c r="G4516" s="7">
        <f>IF(ROUND(E4516+F4516-D4516,2)=0,"OK","ОШИБКА")</f>
        <v/>
      </c>
    </row>
    <row r="4517">
      <c r="A4517" s="15" t="inlineStr">
        <is>
          <t>Петрова</t>
        </is>
      </c>
      <c r="B4517" s="6" t="n">
        <v>5</v>
      </c>
      <c r="C4517" s="7">
        <f>INDEX(Нед_Раб,5)</f>
        <v/>
      </c>
      <c r="D4517" s="10">
        <f>SUM(G33:G39)</f>
        <v/>
      </c>
      <c r="E4517" s="10">
        <f>SUMIFS($G$33:$G$39,$D$33:$D$39,INDEX($D$33:$D$39,1))</f>
        <v/>
      </c>
      <c r="F4517" s="10">
        <f>SUMIFS($G$33:$G$39,$D$33:$D$39,INDEX($D$33:$D$39,7))</f>
        <v/>
      </c>
      <c r="G4517" s="7">
        <f>IF(ROUND(E4517+F4517-D4517,2)=0,"OK","ОШИБКА")</f>
        <v/>
      </c>
    </row>
    <row r="4518">
      <c r="A4518" s="15" t="inlineStr">
        <is>
          <t>Петрова</t>
        </is>
      </c>
      <c r="B4518" s="6" t="n">
        <v>6</v>
      </c>
      <c r="C4518" s="7">
        <f>INDEX(Нед_Раб,6)</f>
        <v/>
      </c>
      <c r="D4518" s="10">
        <f>SUM(G40:G46)</f>
        <v/>
      </c>
      <c r="E4518" s="10">
        <f>SUMIFS($G$40:$G$46,$D$40:$D$46,INDEX($D$40:$D$46,1))</f>
        <v/>
      </c>
      <c r="F4518" s="10">
        <f>SUMIFS($G$40:$G$46,$D$40:$D$46,INDEX($D$40:$D$46,7))</f>
        <v/>
      </c>
      <c r="G4518" s="7">
        <f>IF(ROUND(E4518+F4518-D4518,2)=0,"OK","ОШИБКА")</f>
        <v/>
      </c>
    </row>
    <row r="4519">
      <c r="A4519" s="15" t="inlineStr">
        <is>
          <t>Петрова</t>
        </is>
      </c>
      <c r="B4519" s="6" t="n">
        <v>7</v>
      </c>
      <c r="C4519" s="7">
        <f>INDEX(Нед_Раб,7)</f>
        <v/>
      </c>
      <c r="D4519" s="10">
        <f>SUM(G47:G53)</f>
        <v/>
      </c>
      <c r="E4519" s="10">
        <f>SUMIFS($G$47:$G$53,$D$47:$D$53,INDEX($D$47:$D$53,1))</f>
        <v/>
      </c>
      <c r="F4519" s="10">
        <f>SUMIFS($G$47:$G$53,$D$47:$D$53,INDEX($D$47:$D$53,7))</f>
        <v/>
      </c>
      <c r="G4519" s="7">
        <f>IF(ROUND(E4519+F4519-D4519,2)=0,"OK","ОШИБКА")</f>
        <v/>
      </c>
    </row>
    <row r="4520">
      <c r="A4520" s="15" t="inlineStr">
        <is>
          <t>Петрова</t>
        </is>
      </c>
      <c r="B4520" s="6" t="n">
        <v>8</v>
      </c>
      <c r="C4520" s="7">
        <f>INDEX(Нед_Раб,8)</f>
        <v/>
      </c>
      <c r="D4520" s="10">
        <f>SUM(G54:G60)</f>
        <v/>
      </c>
      <c r="E4520" s="10">
        <f>SUMIFS($G$54:$G$60,$D$54:$D$60,INDEX($D$54:$D$60,1))</f>
        <v/>
      </c>
      <c r="F4520" s="10">
        <f>SUMIFS($G$54:$G$60,$D$54:$D$60,INDEX($D$54:$D$60,7))</f>
        <v/>
      </c>
      <c r="G4520" s="7">
        <f>IF(ROUND(E4520+F4520-D4520,2)=0,"OK","ОШИБКА")</f>
        <v/>
      </c>
    </row>
    <row r="4521">
      <c r="A4521" s="15" t="inlineStr">
        <is>
          <t>Петрова</t>
        </is>
      </c>
      <c r="B4521" s="6" t="n">
        <v>9</v>
      </c>
      <c r="C4521" s="7">
        <f>INDEX(Нед_Раб,9)</f>
        <v/>
      </c>
      <c r="D4521" s="10">
        <f>SUM(G61:G67)</f>
        <v/>
      </c>
      <c r="E4521" s="10">
        <f>SUMIFS($G$61:$G$67,$D$61:$D$67,INDEX($D$61:$D$67,1))</f>
        <v/>
      </c>
      <c r="F4521" s="10">
        <f>SUMIFS($G$61:$G$67,$D$61:$D$67,INDEX($D$61:$D$67,7))</f>
        <v/>
      </c>
      <c r="G4521" s="7">
        <f>IF(ROUND(E4521+F4521-D4521,2)=0,"OK","ОШИБКА")</f>
        <v/>
      </c>
    </row>
    <row r="4522">
      <c r="A4522" s="15" t="inlineStr">
        <is>
          <t>Петрова</t>
        </is>
      </c>
      <c r="B4522" s="6" t="n">
        <v>10</v>
      </c>
      <c r="C4522" s="7">
        <f>INDEX(Нед_Раб,10)</f>
        <v/>
      </c>
      <c r="D4522" s="10">
        <f>SUM(G68:G74)</f>
        <v/>
      </c>
      <c r="E4522" s="10">
        <f>SUMIFS($G$68:$G$74,$D$68:$D$74,INDEX($D$68:$D$74,1))</f>
        <v/>
      </c>
      <c r="F4522" s="10">
        <f>SUMIFS($G$68:$G$74,$D$68:$D$74,INDEX($D$68:$D$74,7))</f>
        <v/>
      </c>
      <c r="G4522" s="7">
        <f>IF(ROUND(E4522+F4522-D4522,2)=0,"OK","ОШИБКА")</f>
        <v/>
      </c>
    </row>
    <row r="4523">
      <c r="A4523" s="15" t="inlineStr">
        <is>
          <t>Петрова</t>
        </is>
      </c>
      <c r="B4523" s="6" t="n">
        <v>11</v>
      </c>
      <c r="C4523" s="7">
        <f>INDEX(Нед_Раб,11)</f>
        <v/>
      </c>
      <c r="D4523" s="10">
        <f>SUM(G75:G81)</f>
        <v/>
      </c>
      <c r="E4523" s="10">
        <f>SUMIFS($G$75:$G$81,$D$75:$D$81,INDEX($D$75:$D$81,1))</f>
        <v/>
      </c>
      <c r="F4523" s="10">
        <f>SUMIFS($G$75:$G$81,$D$75:$D$81,INDEX($D$75:$D$81,7))</f>
        <v/>
      </c>
      <c r="G4523" s="7">
        <f>IF(ROUND(E4523+F4523-D4523,2)=0,"OK","ОШИБКА")</f>
        <v/>
      </c>
    </row>
    <row r="4524">
      <c r="A4524" s="15" t="inlineStr">
        <is>
          <t>Петрова</t>
        </is>
      </c>
      <c r="B4524" s="6" t="n">
        <v>12</v>
      </c>
      <c r="C4524" s="7">
        <f>INDEX(Нед_Раб,12)</f>
        <v/>
      </c>
      <c r="D4524" s="10">
        <f>SUM(G82:G88)</f>
        <v/>
      </c>
      <c r="E4524" s="10">
        <f>SUMIFS($G$82:$G$88,$D$82:$D$88,INDEX($D$82:$D$88,1))</f>
        <v/>
      </c>
      <c r="F4524" s="10">
        <f>SUMIFS($G$82:$G$88,$D$82:$D$88,INDEX($D$82:$D$88,7))</f>
        <v/>
      </c>
      <c r="G4524" s="7">
        <f>IF(ROUND(E4524+F4524-D4524,2)=0,"OK","ОШИБКА")</f>
        <v/>
      </c>
    </row>
    <row r="4525">
      <c r="A4525" s="15" t="inlineStr">
        <is>
          <t>Петрова</t>
        </is>
      </c>
      <c r="B4525" s="6" t="n">
        <v>13</v>
      </c>
      <c r="C4525" s="7">
        <f>INDEX(Нед_Раб,13)</f>
        <v/>
      </c>
      <c r="D4525" s="10">
        <f>SUM(G89:G95)</f>
        <v/>
      </c>
      <c r="E4525" s="10">
        <f>SUMIFS($G$89:$G$95,$D$89:$D$95,INDEX($D$89:$D$95,1))</f>
        <v/>
      </c>
      <c r="F4525" s="10">
        <f>SUMIFS($G$89:$G$95,$D$89:$D$95,INDEX($D$89:$D$95,7))</f>
        <v/>
      </c>
      <c r="G4525" s="7">
        <f>IF(ROUND(E4525+F4525-D4525,2)=0,"OK","ОШИБКА")</f>
        <v/>
      </c>
    </row>
    <row r="4526">
      <c r="A4526" s="15" t="inlineStr">
        <is>
          <t>Петрова</t>
        </is>
      </c>
      <c r="B4526" s="6" t="n">
        <v>14</v>
      </c>
      <c r="C4526" s="7">
        <f>INDEX(Нед_Раб,14)</f>
        <v/>
      </c>
      <c r="D4526" s="10">
        <f>SUM(G96:G102)</f>
        <v/>
      </c>
      <c r="E4526" s="10">
        <f>SUMIFS($G$96:$G$102,$D$96:$D$102,INDEX($D$96:$D$102,1))</f>
        <v/>
      </c>
      <c r="F4526" s="10">
        <f>SUMIFS($G$96:$G$102,$D$96:$D$102,INDEX($D$96:$D$102,7))</f>
        <v/>
      </c>
      <c r="G4526" s="7">
        <f>IF(ROUND(E4526+F4526-D4526,2)=0,"OK","ОШИБКА")</f>
        <v/>
      </c>
    </row>
    <row r="4527">
      <c r="A4527" s="15" t="inlineStr">
        <is>
          <t>Петрова</t>
        </is>
      </c>
      <c r="B4527" s="6" t="n">
        <v>15</v>
      </c>
      <c r="C4527" s="7">
        <f>INDEX(Нед_Раб,15)</f>
        <v/>
      </c>
      <c r="D4527" s="10">
        <f>SUM(G103:G109)</f>
        <v/>
      </c>
      <c r="E4527" s="10">
        <f>SUMIFS($G$103:$G$109,$D$103:$D$109,INDEX($D$103:$D$109,1))</f>
        <v/>
      </c>
      <c r="F4527" s="10">
        <f>SUMIFS($G$103:$G$109,$D$103:$D$109,INDEX($D$103:$D$109,7))</f>
        <v/>
      </c>
      <c r="G4527" s="7">
        <f>IF(ROUND(E4527+F4527-D4527,2)=0,"OK","ОШИБКА")</f>
        <v/>
      </c>
    </row>
    <row r="4528">
      <c r="A4528" s="15" t="inlineStr">
        <is>
          <t>Петрова</t>
        </is>
      </c>
      <c r="B4528" s="6" t="n">
        <v>16</v>
      </c>
      <c r="C4528" s="7">
        <f>INDEX(Нед_Раб,16)</f>
        <v/>
      </c>
      <c r="D4528" s="10">
        <f>SUM(G110:G116)</f>
        <v/>
      </c>
      <c r="E4528" s="10">
        <f>SUMIFS($G$110:$G$116,$D$110:$D$116,INDEX($D$110:$D$116,1))</f>
        <v/>
      </c>
      <c r="F4528" s="10">
        <f>SUMIFS($G$110:$G$116,$D$110:$D$116,INDEX($D$110:$D$116,7))</f>
        <v/>
      </c>
      <c r="G4528" s="7">
        <f>IF(ROUND(E4528+F4528-D4528,2)=0,"OK","ОШИБКА")</f>
        <v/>
      </c>
    </row>
    <row r="4529">
      <c r="A4529" s="15" t="inlineStr">
        <is>
          <t>Петрова</t>
        </is>
      </c>
      <c r="B4529" s="6" t="n">
        <v>17</v>
      </c>
      <c r="C4529" s="7">
        <f>INDEX(Нед_Раб,17)</f>
        <v/>
      </c>
      <c r="D4529" s="10">
        <f>SUM(G117:G123)</f>
        <v/>
      </c>
      <c r="E4529" s="10">
        <f>SUMIFS($G$117:$G$123,$D$117:$D$123,INDEX($D$117:$D$123,1))</f>
        <v/>
      </c>
      <c r="F4529" s="10">
        <f>SUMIFS($G$117:$G$123,$D$117:$D$123,INDEX($D$117:$D$123,7))</f>
        <v/>
      </c>
      <c r="G4529" s="7">
        <f>IF(ROUND(E4529+F4529-D4529,2)=0,"OK","ОШИБКА")</f>
        <v/>
      </c>
    </row>
    <row r="4530">
      <c r="A4530" s="15" t="inlineStr">
        <is>
          <t>Петрова</t>
        </is>
      </c>
      <c r="B4530" s="6" t="n">
        <v>18</v>
      </c>
      <c r="C4530" s="7">
        <f>INDEX(Нед_Раб,18)</f>
        <v/>
      </c>
      <c r="D4530" s="10">
        <f>SUM(G124:G130)</f>
        <v/>
      </c>
      <c r="E4530" s="10">
        <f>SUMIFS($G$124:$G$130,$D$124:$D$130,INDEX($D$124:$D$130,1))</f>
        <v/>
      </c>
      <c r="F4530" s="10">
        <f>SUMIFS($G$124:$G$130,$D$124:$D$130,INDEX($D$124:$D$130,7))</f>
        <v/>
      </c>
      <c r="G4530" s="7">
        <f>IF(ROUND(E4530+F4530-D4530,2)=0,"OK","ОШИБКА")</f>
        <v/>
      </c>
    </row>
    <row r="4531">
      <c r="A4531" s="15" t="inlineStr">
        <is>
          <t>Петрова</t>
        </is>
      </c>
      <c r="B4531" s="6" t="n">
        <v>19</v>
      </c>
      <c r="C4531" s="7">
        <f>INDEX(Нед_Раб,19)</f>
        <v/>
      </c>
      <c r="D4531" s="10">
        <f>SUM(G131:G137)</f>
        <v/>
      </c>
      <c r="E4531" s="10">
        <f>SUMIFS($G$131:$G$137,$D$131:$D$137,INDEX($D$131:$D$137,1))</f>
        <v/>
      </c>
      <c r="F4531" s="10">
        <f>SUMIFS($G$131:$G$137,$D$131:$D$137,INDEX($D$131:$D$137,7))</f>
        <v/>
      </c>
      <c r="G4531" s="7">
        <f>IF(ROUND(E4531+F4531-D4531,2)=0,"OK","ОШИБКА")</f>
        <v/>
      </c>
    </row>
    <row r="4532">
      <c r="A4532" s="15" t="inlineStr">
        <is>
          <t>Петрова</t>
        </is>
      </c>
      <c r="B4532" s="6" t="n">
        <v>20</v>
      </c>
      <c r="C4532" s="7">
        <f>INDEX(Нед_Раб,20)</f>
        <v/>
      </c>
      <c r="D4532" s="10">
        <f>SUM(G138:G144)</f>
        <v/>
      </c>
      <c r="E4532" s="10">
        <f>SUMIFS($G$138:$G$144,$D$138:$D$144,INDEX($D$138:$D$144,1))</f>
        <v/>
      </c>
      <c r="F4532" s="10">
        <f>SUMIFS($G$138:$G$144,$D$138:$D$144,INDEX($D$138:$D$144,7))</f>
        <v/>
      </c>
      <c r="G4532" s="7">
        <f>IF(ROUND(E4532+F4532-D4532,2)=0,"OK","ОШИБКА")</f>
        <v/>
      </c>
    </row>
    <row r="4533">
      <c r="A4533" s="15" t="inlineStr">
        <is>
          <t>Петрова</t>
        </is>
      </c>
      <c r="B4533" s="6" t="n">
        <v>21</v>
      </c>
      <c r="C4533" s="7">
        <f>INDEX(Нед_Раб,21)</f>
        <v/>
      </c>
      <c r="D4533" s="10">
        <f>SUM(G145:G151)</f>
        <v/>
      </c>
      <c r="E4533" s="10">
        <f>SUMIFS($G$145:$G$151,$D$145:$D$151,INDEX($D$145:$D$151,1))</f>
        <v/>
      </c>
      <c r="F4533" s="10">
        <f>SUMIFS($G$145:$G$151,$D$145:$D$151,INDEX($D$145:$D$151,7))</f>
        <v/>
      </c>
      <c r="G4533" s="7">
        <f>IF(ROUND(E4533+F4533-D4533,2)=0,"OK","ОШИБКА")</f>
        <v/>
      </c>
    </row>
    <row r="4534">
      <c r="A4534" s="15" t="inlineStr">
        <is>
          <t>Петрова</t>
        </is>
      </c>
      <c r="B4534" s="6" t="n">
        <v>22</v>
      </c>
      <c r="C4534" s="7">
        <f>INDEX(Нед_Раб,22)</f>
        <v/>
      </c>
      <c r="D4534" s="10">
        <f>SUM(G152:G158)</f>
        <v/>
      </c>
      <c r="E4534" s="10">
        <f>SUMIFS($G$152:$G$158,$D$152:$D$158,INDEX($D$152:$D$158,1))</f>
        <v/>
      </c>
      <c r="F4534" s="10">
        <f>SUMIFS($G$152:$G$158,$D$152:$D$158,INDEX($D$152:$D$158,7))</f>
        <v/>
      </c>
      <c r="G4534" s="7">
        <f>IF(ROUND(E4534+F4534-D4534,2)=0,"OK","ОШИБКА")</f>
        <v/>
      </c>
    </row>
    <row r="4535">
      <c r="A4535" s="15" t="inlineStr">
        <is>
          <t>Петрова</t>
        </is>
      </c>
      <c r="B4535" s="6" t="n">
        <v>23</v>
      </c>
      <c r="C4535" s="7">
        <f>INDEX(Нед_Раб,23)</f>
        <v/>
      </c>
      <c r="D4535" s="10">
        <f>SUM(G159:G165)</f>
        <v/>
      </c>
      <c r="E4535" s="10">
        <f>SUMIFS($G$159:$G$165,$D$159:$D$165,INDEX($D$159:$D$165,1))</f>
        <v/>
      </c>
      <c r="F4535" s="10">
        <f>SUMIFS($G$159:$G$165,$D$159:$D$165,INDEX($D$159:$D$165,7))</f>
        <v/>
      </c>
      <c r="G4535" s="7">
        <f>IF(ROUND(E4535+F4535-D4535,2)=0,"OK","ОШИБКА")</f>
        <v/>
      </c>
    </row>
    <row r="4536">
      <c r="A4536" s="15" t="inlineStr">
        <is>
          <t>Петрова</t>
        </is>
      </c>
      <c r="B4536" s="6" t="n">
        <v>24</v>
      </c>
      <c r="C4536" s="7">
        <f>INDEX(Нед_Раб,24)</f>
        <v/>
      </c>
      <c r="D4536" s="10">
        <f>SUM(G166:G172)</f>
        <v/>
      </c>
      <c r="E4536" s="10">
        <f>SUMIFS($G$166:$G$172,$D$166:$D$172,INDEX($D$166:$D$172,1))</f>
        <v/>
      </c>
      <c r="F4536" s="10">
        <f>SUMIFS($G$166:$G$172,$D$166:$D$172,INDEX($D$166:$D$172,7))</f>
        <v/>
      </c>
      <c r="G4536" s="7">
        <f>IF(ROUND(E4536+F4536-D4536,2)=0,"OK","ОШИБКА")</f>
        <v/>
      </c>
    </row>
    <row r="4537">
      <c r="A4537" s="15" t="inlineStr">
        <is>
          <t>Петрова</t>
        </is>
      </c>
      <c r="B4537" s="6" t="n">
        <v>25</v>
      </c>
      <c r="C4537" s="7">
        <f>INDEX(Нед_Раб,25)</f>
        <v/>
      </c>
      <c r="D4537" s="10">
        <f>SUM(G173:G179)</f>
        <v/>
      </c>
      <c r="E4537" s="10">
        <f>SUMIFS($G$173:$G$179,$D$173:$D$179,INDEX($D$173:$D$179,1))</f>
        <v/>
      </c>
      <c r="F4537" s="10">
        <f>SUMIFS($G$173:$G$179,$D$173:$D$179,INDEX($D$173:$D$179,7))</f>
        <v/>
      </c>
      <c r="G4537" s="7">
        <f>IF(ROUND(E4537+F4537-D4537,2)=0,"OK","ОШИБКА")</f>
        <v/>
      </c>
    </row>
    <row r="4538">
      <c r="A4538" s="15" t="inlineStr">
        <is>
          <t>Петрова</t>
        </is>
      </c>
      <c r="B4538" s="6" t="n">
        <v>26</v>
      </c>
      <c r="C4538" s="7">
        <f>INDEX(Нед_Раб,26)</f>
        <v/>
      </c>
      <c r="D4538" s="10">
        <f>SUM(G180:G186)</f>
        <v/>
      </c>
      <c r="E4538" s="10">
        <f>SUMIFS($G$180:$G$186,$D$180:$D$186,INDEX($D$180:$D$186,1))</f>
        <v/>
      </c>
      <c r="F4538" s="10">
        <f>SUMIFS($G$180:$G$186,$D$180:$D$186,INDEX($D$180:$D$186,7))</f>
        <v/>
      </c>
      <c r="G4538" s="7">
        <f>IF(ROUND(E4538+F4538-D4538,2)=0,"OK","ОШИБКА")</f>
        <v/>
      </c>
    </row>
    <row r="4539">
      <c r="A4539" s="15" t="inlineStr">
        <is>
          <t>Петрова</t>
        </is>
      </c>
      <c r="B4539" s="6" t="n">
        <v>27</v>
      </c>
      <c r="C4539" s="7">
        <f>INDEX(Нед_Раб,27)</f>
        <v/>
      </c>
      <c r="D4539" s="10">
        <f>SUM(G187:G193)</f>
        <v/>
      </c>
      <c r="E4539" s="10">
        <f>SUMIFS($G$187:$G$193,$D$187:$D$193,INDEX($D$187:$D$193,1))</f>
        <v/>
      </c>
      <c r="F4539" s="10">
        <f>SUMIFS($G$187:$G$193,$D$187:$D$193,INDEX($D$187:$D$193,7))</f>
        <v/>
      </c>
      <c r="G4539" s="7">
        <f>IF(ROUND(E4539+F4539-D4539,2)=0,"OK","ОШИБКА")</f>
        <v/>
      </c>
    </row>
    <row r="4540">
      <c r="A4540" s="15" t="inlineStr">
        <is>
          <t>Петрова</t>
        </is>
      </c>
      <c r="B4540" s="6" t="n">
        <v>28</v>
      </c>
      <c r="C4540" s="7">
        <f>INDEX(Нед_Раб,28)</f>
        <v/>
      </c>
      <c r="D4540" s="10">
        <f>SUM(G194:G200)</f>
        <v/>
      </c>
      <c r="E4540" s="10">
        <f>SUMIFS($G$194:$G$200,$D$194:$D$200,INDEX($D$194:$D$200,1))</f>
        <v/>
      </c>
      <c r="F4540" s="10">
        <f>SUMIFS($G$194:$G$200,$D$194:$D$200,INDEX($D$194:$D$200,7))</f>
        <v/>
      </c>
      <c r="G4540" s="7">
        <f>IF(ROUND(E4540+F4540-D4540,2)=0,"OK","ОШИБКА")</f>
        <v/>
      </c>
    </row>
    <row r="4541">
      <c r="A4541" s="15" t="inlineStr">
        <is>
          <t>Петрова</t>
        </is>
      </c>
      <c r="B4541" s="6" t="n">
        <v>29</v>
      </c>
      <c r="C4541" s="7">
        <f>INDEX(Нед_Раб,29)</f>
        <v/>
      </c>
      <c r="D4541" s="10">
        <f>SUM(G201:G207)</f>
        <v/>
      </c>
      <c r="E4541" s="10">
        <f>SUMIFS($G$201:$G$207,$D$201:$D$207,INDEX($D$201:$D$207,1))</f>
        <v/>
      </c>
      <c r="F4541" s="10">
        <f>SUMIFS($G$201:$G$207,$D$201:$D$207,INDEX($D$201:$D$207,7))</f>
        <v/>
      </c>
      <c r="G4541" s="7">
        <f>IF(ROUND(E4541+F4541-D4541,2)=0,"OK","ОШИБКА")</f>
        <v/>
      </c>
    </row>
    <row r="4542">
      <c r="A4542" s="15" t="inlineStr">
        <is>
          <t>Петрова</t>
        </is>
      </c>
      <c r="B4542" s="6" t="n">
        <v>30</v>
      </c>
      <c r="C4542" s="7">
        <f>INDEX(Нед_Раб,30)</f>
        <v/>
      </c>
      <c r="D4542" s="10">
        <f>SUM(G208:G214)</f>
        <v/>
      </c>
      <c r="E4542" s="10">
        <f>SUMIFS($G$208:$G$214,$D$208:$D$214,INDEX($D$208:$D$214,1))</f>
        <v/>
      </c>
      <c r="F4542" s="10">
        <f>SUMIFS($G$208:$G$214,$D$208:$D$214,INDEX($D$208:$D$214,7))</f>
        <v/>
      </c>
      <c r="G4542" s="7">
        <f>IF(ROUND(E4542+F4542-D4542,2)=0,"OK","ОШИБКА")</f>
        <v/>
      </c>
    </row>
    <row r="4543">
      <c r="A4543" s="15" t="inlineStr">
        <is>
          <t>Петрова</t>
        </is>
      </c>
      <c r="B4543" s="6" t="n">
        <v>31</v>
      </c>
      <c r="C4543" s="7">
        <f>INDEX(Нед_Раб,31)</f>
        <v/>
      </c>
      <c r="D4543" s="10">
        <f>SUM(G215:G221)</f>
        <v/>
      </c>
      <c r="E4543" s="10">
        <f>SUMIFS($G$215:$G$221,$D$215:$D$221,INDEX($D$215:$D$221,1))</f>
        <v/>
      </c>
      <c r="F4543" s="10">
        <f>SUMIFS($G$215:$G$221,$D$215:$D$221,INDEX($D$215:$D$221,7))</f>
        <v/>
      </c>
      <c r="G4543" s="7">
        <f>IF(ROUND(E4543+F4543-D4543,2)=0,"OK","ОШИБКА")</f>
        <v/>
      </c>
    </row>
    <row r="4544">
      <c r="A4544" s="15" t="inlineStr">
        <is>
          <t>Петрова</t>
        </is>
      </c>
      <c r="B4544" s="6" t="n">
        <v>32</v>
      </c>
      <c r="C4544" s="7">
        <f>INDEX(Нед_Раб,32)</f>
        <v/>
      </c>
      <c r="D4544" s="10">
        <f>SUM(G222:G228)</f>
        <v/>
      </c>
      <c r="E4544" s="10">
        <f>SUMIFS($G$222:$G$228,$D$222:$D$228,INDEX($D$222:$D$228,1))</f>
        <v/>
      </c>
      <c r="F4544" s="10">
        <f>SUMIFS($G$222:$G$228,$D$222:$D$228,INDEX($D$222:$D$228,7))</f>
        <v/>
      </c>
      <c r="G4544" s="7">
        <f>IF(ROUND(E4544+F4544-D4544,2)=0,"OK","ОШИБКА")</f>
        <v/>
      </c>
    </row>
    <row r="4545">
      <c r="A4545" s="15" t="inlineStr">
        <is>
          <t>Петрова</t>
        </is>
      </c>
      <c r="B4545" s="6" t="n">
        <v>33</v>
      </c>
      <c r="C4545" s="7">
        <f>INDEX(Нед_Раб,33)</f>
        <v/>
      </c>
      <c r="D4545" s="10">
        <f>SUM(G229:G235)</f>
        <v/>
      </c>
      <c r="E4545" s="10">
        <f>SUMIFS($G$229:$G$235,$D$229:$D$235,INDEX($D$229:$D$235,1))</f>
        <v/>
      </c>
      <c r="F4545" s="10">
        <f>SUMIFS($G$229:$G$235,$D$229:$D$235,INDEX($D$229:$D$235,7))</f>
        <v/>
      </c>
      <c r="G4545" s="7">
        <f>IF(ROUND(E4545+F4545-D4545,2)=0,"OK","ОШИБКА")</f>
        <v/>
      </c>
    </row>
    <row r="4546">
      <c r="A4546" s="15" t="inlineStr">
        <is>
          <t>Петрова</t>
        </is>
      </c>
      <c r="B4546" s="6" t="n">
        <v>34</v>
      </c>
      <c r="C4546" s="7">
        <f>INDEX(Нед_Раб,34)</f>
        <v/>
      </c>
      <c r="D4546" s="10">
        <f>SUM(G236:G242)</f>
        <v/>
      </c>
      <c r="E4546" s="10">
        <f>SUMIFS($G$236:$G$242,$D$236:$D$242,INDEX($D$236:$D$242,1))</f>
        <v/>
      </c>
      <c r="F4546" s="10">
        <f>SUMIFS($G$236:$G$242,$D$236:$D$242,INDEX($D$236:$D$242,7))</f>
        <v/>
      </c>
      <c r="G4546" s="7">
        <f>IF(ROUND(E4546+F4546-D4546,2)=0,"OK","ОШИБКА")</f>
        <v/>
      </c>
    </row>
    <row r="4547">
      <c r="A4547" s="15" t="inlineStr">
        <is>
          <t>Петрова</t>
        </is>
      </c>
      <c r="B4547" s="6" t="n">
        <v>35</v>
      </c>
      <c r="C4547" s="7">
        <f>INDEX(Нед_Раб,35)</f>
        <v/>
      </c>
      <c r="D4547" s="10">
        <f>SUM(G243:G249)</f>
        <v/>
      </c>
      <c r="E4547" s="10">
        <f>SUMIFS($G$243:$G$249,$D$243:$D$249,INDEX($D$243:$D$249,1))</f>
        <v/>
      </c>
      <c r="F4547" s="10">
        <f>SUMIFS($G$243:$G$249,$D$243:$D$249,INDEX($D$243:$D$249,7))</f>
        <v/>
      </c>
      <c r="G4547" s="7">
        <f>IF(ROUND(E4547+F4547-D4547,2)=0,"OK","ОШИБКА")</f>
        <v/>
      </c>
    </row>
    <row r="4548">
      <c r="A4548" s="15" t="inlineStr">
        <is>
          <t>Петрова</t>
        </is>
      </c>
      <c r="B4548" s="6" t="n">
        <v>36</v>
      </c>
      <c r="C4548" s="7">
        <f>INDEX(Нед_Раб,36)</f>
        <v/>
      </c>
      <c r="D4548" s="10">
        <f>SUM(G250:G256)</f>
        <v/>
      </c>
      <c r="E4548" s="10">
        <f>SUMIFS($G$250:$G$256,$D$250:$D$256,INDEX($D$250:$D$256,1))</f>
        <v/>
      </c>
      <c r="F4548" s="10">
        <f>SUMIFS($G$250:$G$256,$D$250:$D$256,INDEX($D$250:$D$256,7))</f>
        <v/>
      </c>
      <c r="G4548" s="7">
        <f>IF(ROUND(E4548+F4548-D4548,2)=0,"OK","ОШИБКА")</f>
        <v/>
      </c>
    </row>
    <row r="4549">
      <c r="A4549" s="15" t="inlineStr">
        <is>
          <t>Петрова</t>
        </is>
      </c>
      <c r="B4549" s="6" t="n">
        <v>37</v>
      </c>
      <c r="C4549" s="7">
        <f>INDEX(Нед_Раб,37)</f>
        <v/>
      </c>
      <c r="D4549" s="10">
        <f>SUM(G257:G263)</f>
        <v/>
      </c>
      <c r="E4549" s="10">
        <f>SUMIFS($G$257:$G$263,$D$257:$D$263,INDEX($D$257:$D$263,1))</f>
        <v/>
      </c>
      <c r="F4549" s="10">
        <f>SUMIFS($G$257:$G$263,$D$257:$D$263,INDEX($D$257:$D$263,7))</f>
        <v/>
      </c>
      <c r="G4549" s="7">
        <f>IF(ROUND(E4549+F4549-D4549,2)=0,"OK","ОШИБКА")</f>
        <v/>
      </c>
    </row>
    <row r="4550">
      <c r="A4550" s="15" t="inlineStr">
        <is>
          <t>Петрова</t>
        </is>
      </c>
      <c r="B4550" s="6" t="n">
        <v>38</v>
      </c>
      <c r="C4550" s="7">
        <f>INDEX(Нед_Раб,38)</f>
        <v/>
      </c>
      <c r="D4550" s="10">
        <f>SUM(G264:G270)</f>
        <v/>
      </c>
      <c r="E4550" s="10">
        <f>SUMIFS($G$264:$G$270,$D$264:$D$270,INDEX($D$264:$D$270,1))</f>
        <v/>
      </c>
      <c r="F4550" s="10">
        <f>SUMIFS($G$264:$G$270,$D$264:$D$270,INDEX($D$264:$D$270,7))</f>
        <v/>
      </c>
      <c r="G4550" s="7">
        <f>IF(ROUND(E4550+F4550-D4550,2)=0,"OK","ОШИБКА")</f>
        <v/>
      </c>
    </row>
    <row r="4551">
      <c r="A4551" s="15" t="inlineStr">
        <is>
          <t>Петрова</t>
        </is>
      </c>
      <c r="B4551" s="6" t="n">
        <v>39</v>
      </c>
      <c r="C4551" s="7">
        <f>INDEX(Нед_Раб,39)</f>
        <v/>
      </c>
      <c r="D4551" s="10">
        <f>SUM(G271:G277)</f>
        <v/>
      </c>
      <c r="E4551" s="10">
        <f>SUMIFS($G$271:$G$277,$D$271:$D$277,INDEX($D$271:$D$277,1))</f>
        <v/>
      </c>
      <c r="F4551" s="10">
        <f>SUMIFS($G$271:$G$277,$D$271:$D$277,INDEX($D$271:$D$277,7))</f>
        <v/>
      </c>
      <c r="G4551" s="7">
        <f>IF(ROUND(E4551+F4551-D4551,2)=0,"OK","ОШИБКА")</f>
        <v/>
      </c>
    </row>
    <row r="4552">
      <c r="A4552" s="15" t="inlineStr">
        <is>
          <t>Петрова</t>
        </is>
      </c>
      <c r="B4552" s="6" t="n">
        <v>40</v>
      </c>
      <c r="C4552" s="7">
        <f>INDEX(Нед_Раб,40)</f>
        <v/>
      </c>
      <c r="D4552" s="10">
        <f>SUM(G278:G284)</f>
        <v/>
      </c>
      <c r="E4552" s="10">
        <f>SUMIFS($G$278:$G$284,$D$278:$D$284,INDEX($D$278:$D$284,1))</f>
        <v/>
      </c>
      <c r="F4552" s="10">
        <f>SUMIFS($G$278:$G$284,$D$278:$D$284,INDEX($D$278:$D$284,7))</f>
        <v/>
      </c>
      <c r="G4552" s="7">
        <f>IF(ROUND(E4552+F4552-D4552,2)=0,"OK","ОШИБКА")</f>
        <v/>
      </c>
    </row>
    <row r="4553">
      <c r="A4553" s="15" t="inlineStr">
        <is>
          <t>Петрова</t>
        </is>
      </c>
      <c r="B4553" s="6" t="n">
        <v>41</v>
      </c>
      <c r="C4553" s="7">
        <f>INDEX(Нед_Раб,41)</f>
        <v/>
      </c>
      <c r="D4553" s="10">
        <f>SUM(G285:G291)</f>
        <v/>
      </c>
      <c r="E4553" s="10">
        <f>SUMIFS($G$285:$G$291,$D$285:$D$291,INDEX($D$285:$D$291,1))</f>
        <v/>
      </c>
      <c r="F4553" s="10">
        <f>SUMIFS($G$285:$G$291,$D$285:$D$291,INDEX($D$285:$D$291,7))</f>
        <v/>
      </c>
      <c r="G4553" s="7">
        <f>IF(ROUND(E4553+F4553-D4553,2)=0,"OK","ОШИБКА")</f>
        <v/>
      </c>
    </row>
    <row r="4554">
      <c r="A4554" s="15" t="inlineStr">
        <is>
          <t>Петрова</t>
        </is>
      </c>
      <c r="B4554" s="6" t="n">
        <v>42</v>
      </c>
      <c r="C4554" s="7">
        <f>INDEX(Нед_Раб,42)</f>
        <v/>
      </c>
      <c r="D4554" s="10">
        <f>SUM(G292:G298)</f>
        <v/>
      </c>
      <c r="E4554" s="10">
        <f>SUMIFS($G$292:$G$298,$D$292:$D$298,INDEX($D$292:$D$298,1))</f>
        <v/>
      </c>
      <c r="F4554" s="10">
        <f>SUMIFS($G$292:$G$298,$D$292:$D$298,INDEX($D$292:$D$298,7))</f>
        <v/>
      </c>
      <c r="G4554" s="7">
        <f>IF(ROUND(E4554+F4554-D4554,2)=0,"OK","ОШИБКА")</f>
        <v/>
      </c>
    </row>
    <row r="4555">
      <c r="A4555" s="15" t="inlineStr">
        <is>
          <t>Петрова</t>
        </is>
      </c>
      <c r="B4555" s="6" t="n">
        <v>43</v>
      </c>
      <c r="C4555" s="7">
        <f>INDEX(Нед_Раб,43)</f>
        <v/>
      </c>
      <c r="D4555" s="10">
        <f>SUM(G299:G305)</f>
        <v/>
      </c>
      <c r="E4555" s="10">
        <f>SUMIFS($G$299:$G$305,$D$299:$D$305,INDEX($D$299:$D$305,1))</f>
        <v/>
      </c>
      <c r="F4555" s="10">
        <f>SUMIFS($G$299:$G$305,$D$299:$D$305,INDEX($D$299:$D$305,7))</f>
        <v/>
      </c>
      <c r="G4555" s="7">
        <f>IF(ROUND(E4555+F4555-D4555,2)=0,"OK","ОШИБКА")</f>
        <v/>
      </c>
    </row>
    <row r="4556">
      <c r="A4556" s="15" t="inlineStr">
        <is>
          <t>Петрова</t>
        </is>
      </c>
      <c r="B4556" s="6" t="n">
        <v>44</v>
      </c>
      <c r="C4556" s="7">
        <f>INDEX(Нед_Раб,44)</f>
        <v/>
      </c>
      <c r="D4556" s="10">
        <f>SUM(G306:G312)</f>
        <v/>
      </c>
      <c r="E4556" s="10">
        <f>SUMIFS($G$306:$G$312,$D$306:$D$312,INDEX($D$306:$D$312,1))</f>
        <v/>
      </c>
      <c r="F4556" s="10">
        <f>SUMIFS($G$306:$G$312,$D$306:$D$312,INDEX($D$306:$D$312,7))</f>
        <v/>
      </c>
      <c r="G4556" s="7">
        <f>IF(ROUND(E4556+F4556-D4556,2)=0,"OK","ОШИБКА")</f>
        <v/>
      </c>
    </row>
    <row r="4557">
      <c r="A4557" s="15" t="inlineStr">
        <is>
          <t>Петрова</t>
        </is>
      </c>
      <c r="B4557" s="6" t="n">
        <v>45</v>
      </c>
      <c r="C4557" s="7">
        <f>INDEX(Нед_Раб,45)</f>
        <v/>
      </c>
      <c r="D4557" s="10">
        <f>SUM(G313:G319)</f>
        <v/>
      </c>
      <c r="E4557" s="10">
        <f>SUMIFS($G$313:$G$319,$D$313:$D$319,INDEX($D$313:$D$319,1))</f>
        <v/>
      </c>
      <c r="F4557" s="10">
        <f>SUMIFS($G$313:$G$319,$D$313:$D$319,INDEX($D$313:$D$319,7))</f>
        <v/>
      </c>
      <c r="G4557" s="7">
        <f>IF(ROUND(E4557+F4557-D4557,2)=0,"OK","ОШИБКА")</f>
        <v/>
      </c>
    </row>
    <row r="4558">
      <c r="A4558" s="15" t="inlineStr">
        <is>
          <t>Петрова</t>
        </is>
      </c>
      <c r="B4558" s="6" t="n">
        <v>46</v>
      </c>
      <c r="C4558" s="7">
        <f>INDEX(Нед_Раб,46)</f>
        <v/>
      </c>
      <c r="D4558" s="10">
        <f>SUM(G320:G326)</f>
        <v/>
      </c>
      <c r="E4558" s="10">
        <f>SUMIFS($G$320:$G$326,$D$320:$D$326,INDEX($D$320:$D$326,1))</f>
        <v/>
      </c>
      <c r="F4558" s="10">
        <f>SUMIFS($G$320:$G$326,$D$320:$D$326,INDEX($D$320:$D$326,7))</f>
        <v/>
      </c>
      <c r="G4558" s="7">
        <f>IF(ROUND(E4558+F4558-D4558,2)=0,"OK","ОШИБКА")</f>
        <v/>
      </c>
    </row>
    <row r="4559">
      <c r="A4559" s="15" t="inlineStr">
        <is>
          <t>Петрова</t>
        </is>
      </c>
      <c r="B4559" s="6" t="n">
        <v>47</v>
      </c>
      <c r="C4559" s="7">
        <f>INDEX(Нед_Раб,47)</f>
        <v/>
      </c>
      <c r="D4559" s="10">
        <f>SUM(G327:G333)</f>
        <v/>
      </c>
      <c r="E4559" s="10">
        <f>SUMIFS($G$327:$G$333,$D$327:$D$333,INDEX($D$327:$D$333,1))</f>
        <v/>
      </c>
      <c r="F4559" s="10">
        <f>SUMIFS($G$327:$G$333,$D$327:$D$333,INDEX($D$327:$D$333,7))</f>
        <v/>
      </c>
      <c r="G4559" s="7">
        <f>IF(ROUND(E4559+F4559-D4559,2)=0,"OK","ОШИБКА")</f>
        <v/>
      </c>
    </row>
    <row r="4560">
      <c r="A4560" s="15" t="inlineStr">
        <is>
          <t>Петрова</t>
        </is>
      </c>
      <c r="B4560" s="6" t="n">
        <v>48</v>
      </c>
      <c r="C4560" s="7">
        <f>INDEX(Нед_Раб,48)</f>
        <v/>
      </c>
      <c r="D4560" s="10">
        <f>SUM(G334:G340)</f>
        <v/>
      </c>
      <c r="E4560" s="10">
        <f>SUMIFS($G$334:$G$340,$D$334:$D$340,INDEX($D$334:$D$340,1))</f>
        <v/>
      </c>
      <c r="F4560" s="10">
        <f>SUMIFS($G$334:$G$340,$D$334:$D$340,INDEX($D$334:$D$340,7))</f>
        <v/>
      </c>
      <c r="G4560" s="7">
        <f>IF(ROUND(E4560+F4560-D4560,2)=0,"OK","ОШИБКА")</f>
        <v/>
      </c>
    </row>
    <row r="4561">
      <c r="A4561" s="15" t="inlineStr">
        <is>
          <t>Петрова</t>
        </is>
      </c>
      <c r="B4561" s="6" t="n">
        <v>49</v>
      </c>
      <c r="C4561" s="7">
        <f>INDEX(Нед_Раб,49)</f>
        <v/>
      </c>
      <c r="D4561" s="10">
        <f>SUM(G341:G347)</f>
        <v/>
      </c>
      <c r="E4561" s="10">
        <f>SUMIFS($G$341:$G$347,$D$341:$D$347,INDEX($D$341:$D$347,1))</f>
        <v/>
      </c>
      <c r="F4561" s="10">
        <f>SUMIFS($G$341:$G$347,$D$341:$D$347,INDEX($D$341:$D$347,7))</f>
        <v/>
      </c>
      <c r="G4561" s="7">
        <f>IF(ROUND(E4561+F4561-D4561,2)=0,"OK","ОШИБКА")</f>
        <v/>
      </c>
    </row>
    <row r="4562">
      <c r="A4562" s="15" t="inlineStr">
        <is>
          <t>Петрова</t>
        </is>
      </c>
      <c r="B4562" s="6" t="n">
        <v>50</v>
      </c>
      <c r="C4562" s="7">
        <f>INDEX(Нед_Раб,50)</f>
        <v/>
      </c>
      <c r="D4562" s="10">
        <f>SUM(G348:G354)</f>
        <v/>
      </c>
      <c r="E4562" s="10">
        <f>SUMIFS($G$348:$G$354,$D$348:$D$354,INDEX($D$348:$D$354,1))</f>
        <v/>
      </c>
      <c r="F4562" s="10">
        <f>SUMIFS($G$348:$G$354,$D$348:$D$354,INDEX($D$348:$D$354,7))</f>
        <v/>
      </c>
      <c r="G4562" s="7">
        <f>IF(ROUND(E4562+F4562-D4562,2)=0,"OK","ОШИБКА")</f>
        <v/>
      </c>
    </row>
    <row r="4563">
      <c r="A4563" s="15" t="inlineStr">
        <is>
          <t>Петрова</t>
        </is>
      </c>
      <c r="B4563" s="6" t="n">
        <v>51</v>
      </c>
      <c r="C4563" s="7">
        <f>INDEX(Нед_Раб,51)</f>
        <v/>
      </c>
      <c r="D4563" s="10">
        <f>SUM(G355:G361)</f>
        <v/>
      </c>
      <c r="E4563" s="10">
        <f>SUMIFS($G$355:$G$361,$D$355:$D$361,INDEX($D$355:$D$361,1))</f>
        <v/>
      </c>
      <c r="F4563" s="10">
        <f>SUMIFS($G$355:$G$361,$D$355:$D$361,INDEX($D$355:$D$361,7))</f>
        <v/>
      </c>
      <c r="G4563" s="7">
        <f>IF(ROUND(E4563+F4563-D4563,2)=0,"OK","ОШИБКА")</f>
        <v/>
      </c>
    </row>
    <row r="4564">
      <c r="A4564" s="15" t="inlineStr">
        <is>
          <t>Петрова</t>
        </is>
      </c>
      <c r="B4564" s="6" t="n">
        <v>52</v>
      </c>
      <c r="C4564" s="7">
        <f>INDEX(Нед_Раб,52)</f>
        <v/>
      </c>
      <c r="D4564" s="10">
        <f>SUM(G362:G368)</f>
        <v/>
      </c>
      <c r="E4564" s="10">
        <f>SUMIFS($G$362:$G$368,$D$362:$D$368,INDEX($D$362:$D$368,1))</f>
        <v/>
      </c>
      <c r="F4564" s="10">
        <f>SUMIFS($G$362:$G$368,$D$362:$D$368,INDEX($D$362:$D$368,7))</f>
        <v/>
      </c>
      <c r="G4564" s="7">
        <f>IF(ROUND(E4564+F4564-D4564,2)=0,"OK","ОШИБКА")</f>
        <v/>
      </c>
    </row>
    <row r="4565">
      <c r="A4565" s="15" t="inlineStr">
        <is>
          <t>Петрова</t>
        </is>
      </c>
      <c r="B4565" s="6" t="n">
        <v>53</v>
      </c>
      <c r="C4565" s="7">
        <f>INDEX(Нед_Раб,53)</f>
        <v/>
      </c>
      <c r="D4565" s="10">
        <f>SUM(G369:G375)</f>
        <v/>
      </c>
      <c r="E4565" s="10">
        <f>SUMIFS($G$369:$G$375,$D$369:$D$375,INDEX($D$369:$D$375,1))</f>
        <v/>
      </c>
      <c r="F4565" s="10">
        <f>SUMIFS($G$369:$G$375,$D$369:$D$375,INDEX($D$369:$D$375,7))</f>
        <v/>
      </c>
      <c r="G4565" s="7">
        <f>IF(ROUND(E4565+F4565-D4565,2)=0,"OK","ОШИБКА")</f>
        <v/>
      </c>
    </row>
    <row r="4566">
      <c r="A4566" s="15" t="inlineStr">
        <is>
          <t>Сидоров</t>
        </is>
      </c>
      <c r="B4566" s="6" t="n">
        <v>1</v>
      </c>
      <c r="C4566" s="7">
        <f>INDEX(Нед_Раб,1)</f>
        <v/>
      </c>
      <c r="D4566" s="10">
        <f>SUM(G5:G11)</f>
        <v/>
      </c>
      <c r="E4566" s="10">
        <f>SUMIFS($G$5:$G$11,$D$5:$D$11,INDEX($D$5:$D$11,1))</f>
        <v/>
      </c>
      <c r="F4566" s="10">
        <f>SUMIFS($G$5:$G$11,$D$5:$D$11,INDEX($D$5:$D$11,7))</f>
        <v/>
      </c>
      <c r="G4566" s="7">
        <f>IF(ROUND(E4566+F4566-D4566,2)=0,"OK","ОШИБКА")</f>
        <v/>
      </c>
    </row>
    <row r="4567">
      <c r="A4567" s="15" t="inlineStr">
        <is>
          <t>Сидоров</t>
        </is>
      </c>
      <c r="B4567" s="6" t="n">
        <v>2</v>
      </c>
      <c r="C4567" s="7">
        <f>INDEX(Нед_Раб,2)</f>
        <v/>
      </c>
      <c r="D4567" s="10">
        <f>SUM(G12:G18)</f>
        <v/>
      </c>
      <c r="E4567" s="10">
        <f>SUMIFS($G$12:$G$18,$D$12:$D$18,INDEX($D$12:$D$18,1))</f>
        <v/>
      </c>
      <c r="F4567" s="10">
        <f>SUMIFS($G$12:$G$18,$D$12:$D$18,INDEX($D$12:$D$18,7))</f>
        <v/>
      </c>
      <c r="G4567" s="7">
        <f>IF(ROUND(E4567+F4567-D4567,2)=0,"OK","ОШИБКА")</f>
        <v/>
      </c>
    </row>
    <row r="4568">
      <c r="A4568" s="15" t="inlineStr">
        <is>
          <t>Сидоров</t>
        </is>
      </c>
      <c r="B4568" s="6" t="n">
        <v>3</v>
      </c>
      <c r="C4568" s="7">
        <f>INDEX(Нед_Раб,3)</f>
        <v/>
      </c>
      <c r="D4568" s="10">
        <f>SUM(G19:G25)</f>
        <v/>
      </c>
      <c r="E4568" s="10">
        <f>SUMIFS($G$19:$G$25,$D$19:$D$25,INDEX($D$19:$D$25,1))</f>
        <v/>
      </c>
      <c r="F4568" s="10">
        <f>SUMIFS($G$19:$G$25,$D$19:$D$25,INDEX($D$19:$D$25,7))</f>
        <v/>
      </c>
      <c r="G4568" s="7">
        <f>IF(ROUND(E4568+F4568-D4568,2)=0,"OK","ОШИБКА")</f>
        <v/>
      </c>
    </row>
    <row r="4569">
      <c r="A4569" s="15" t="inlineStr">
        <is>
          <t>Сидоров</t>
        </is>
      </c>
      <c r="B4569" s="6" t="n">
        <v>4</v>
      </c>
      <c r="C4569" s="7">
        <f>INDEX(Нед_Раб,4)</f>
        <v/>
      </c>
      <c r="D4569" s="10">
        <f>SUM(G26:G32)</f>
        <v/>
      </c>
      <c r="E4569" s="10">
        <f>SUMIFS($G$26:$G$32,$D$26:$D$32,INDEX($D$26:$D$32,1))</f>
        <v/>
      </c>
      <c r="F4569" s="10">
        <f>SUMIFS($G$26:$G$32,$D$26:$D$32,INDEX($D$26:$D$32,7))</f>
        <v/>
      </c>
      <c r="G4569" s="7">
        <f>IF(ROUND(E4569+F4569-D4569,2)=0,"OK","ОШИБКА")</f>
        <v/>
      </c>
    </row>
    <row r="4570">
      <c r="A4570" s="15" t="inlineStr">
        <is>
          <t>Сидоров</t>
        </is>
      </c>
      <c r="B4570" s="6" t="n">
        <v>5</v>
      </c>
      <c r="C4570" s="7">
        <f>INDEX(Нед_Раб,5)</f>
        <v/>
      </c>
      <c r="D4570" s="10">
        <f>SUM(G33:G39)</f>
        <v/>
      </c>
      <c r="E4570" s="10">
        <f>SUMIFS($G$33:$G$39,$D$33:$D$39,INDEX($D$33:$D$39,1))</f>
        <v/>
      </c>
      <c r="F4570" s="10">
        <f>SUMIFS($G$33:$G$39,$D$33:$D$39,INDEX($D$33:$D$39,7))</f>
        <v/>
      </c>
      <c r="G4570" s="7">
        <f>IF(ROUND(E4570+F4570-D4570,2)=0,"OK","ОШИБКА")</f>
        <v/>
      </c>
    </row>
    <row r="4571">
      <c r="A4571" s="15" t="inlineStr">
        <is>
          <t>Сидоров</t>
        </is>
      </c>
      <c r="B4571" s="6" t="n">
        <v>6</v>
      </c>
      <c r="C4571" s="7">
        <f>INDEX(Нед_Раб,6)</f>
        <v/>
      </c>
      <c r="D4571" s="10">
        <f>SUM(G40:G46)</f>
        <v/>
      </c>
      <c r="E4571" s="10">
        <f>SUMIFS($G$40:$G$46,$D$40:$D$46,INDEX($D$40:$D$46,1))</f>
        <v/>
      </c>
      <c r="F4571" s="10">
        <f>SUMIFS($G$40:$G$46,$D$40:$D$46,INDEX($D$40:$D$46,7))</f>
        <v/>
      </c>
      <c r="G4571" s="7">
        <f>IF(ROUND(E4571+F4571-D4571,2)=0,"OK","ОШИБКА")</f>
        <v/>
      </c>
    </row>
    <row r="4572">
      <c r="A4572" s="15" t="inlineStr">
        <is>
          <t>Сидоров</t>
        </is>
      </c>
      <c r="B4572" s="6" t="n">
        <v>7</v>
      </c>
      <c r="C4572" s="7">
        <f>INDEX(Нед_Раб,7)</f>
        <v/>
      </c>
      <c r="D4572" s="10">
        <f>SUM(G47:G53)</f>
        <v/>
      </c>
      <c r="E4572" s="10">
        <f>SUMIFS($G$47:$G$53,$D$47:$D$53,INDEX($D$47:$D$53,1))</f>
        <v/>
      </c>
      <c r="F4572" s="10">
        <f>SUMIFS($G$47:$G$53,$D$47:$D$53,INDEX($D$47:$D$53,7))</f>
        <v/>
      </c>
      <c r="G4572" s="7">
        <f>IF(ROUND(E4572+F4572-D4572,2)=0,"OK","ОШИБКА")</f>
        <v/>
      </c>
    </row>
    <row r="4573">
      <c r="A4573" s="15" t="inlineStr">
        <is>
          <t>Сидоров</t>
        </is>
      </c>
      <c r="B4573" s="6" t="n">
        <v>8</v>
      </c>
      <c r="C4573" s="7">
        <f>INDEX(Нед_Раб,8)</f>
        <v/>
      </c>
      <c r="D4573" s="10">
        <f>SUM(G54:G60)</f>
        <v/>
      </c>
      <c r="E4573" s="10">
        <f>SUMIFS($G$54:$G$60,$D$54:$D$60,INDEX($D$54:$D$60,1))</f>
        <v/>
      </c>
      <c r="F4573" s="10">
        <f>SUMIFS($G$54:$G$60,$D$54:$D$60,INDEX($D$54:$D$60,7))</f>
        <v/>
      </c>
      <c r="G4573" s="7">
        <f>IF(ROUND(E4573+F4573-D4573,2)=0,"OK","ОШИБКА")</f>
        <v/>
      </c>
    </row>
    <row r="4574">
      <c r="A4574" s="15" t="inlineStr">
        <is>
          <t>Сидоров</t>
        </is>
      </c>
      <c r="B4574" s="6" t="n">
        <v>9</v>
      </c>
      <c r="C4574" s="7">
        <f>INDEX(Нед_Раб,9)</f>
        <v/>
      </c>
      <c r="D4574" s="10">
        <f>SUM(G61:G67)</f>
        <v/>
      </c>
      <c r="E4574" s="10">
        <f>SUMIFS($G$61:$G$67,$D$61:$D$67,INDEX($D$61:$D$67,1))</f>
        <v/>
      </c>
      <c r="F4574" s="10">
        <f>SUMIFS($G$61:$G$67,$D$61:$D$67,INDEX($D$61:$D$67,7))</f>
        <v/>
      </c>
      <c r="G4574" s="7">
        <f>IF(ROUND(E4574+F4574-D4574,2)=0,"OK","ОШИБКА")</f>
        <v/>
      </c>
    </row>
    <row r="4575">
      <c r="A4575" s="15" t="inlineStr">
        <is>
          <t>Сидоров</t>
        </is>
      </c>
      <c r="B4575" s="6" t="n">
        <v>10</v>
      </c>
      <c r="C4575" s="7">
        <f>INDEX(Нед_Раб,10)</f>
        <v/>
      </c>
      <c r="D4575" s="10">
        <f>SUM(G68:G74)</f>
        <v/>
      </c>
      <c r="E4575" s="10">
        <f>SUMIFS($G$68:$G$74,$D$68:$D$74,INDEX($D$68:$D$74,1))</f>
        <v/>
      </c>
      <c r="F4575" s="10">
        <f>SUMIFS($G$68:$G$74,$D$68:$D$74,INDEX($D$68:$D$74,7))</f>
        <v/>
      </c>
      <c r="G4575" s="7">
        <f>IF(ROUND(E4575+F4575-D4575,2)=0,"OK","ОШИБКА")</f>
        <v/>
      </c>
    </row>
    <row r="4576">
      <c r="A4576" s="15" t="inlineStr">
        <is>
          <t>Сидоров</t>
        </is>
      </c>
      <c r="B4576" s="6" t="n">
        <v>11</v>
      </c>
      <c r="C4576" s="7">
        <f>INDEX(Нед_Раб,11)</f>
        <v/>
      </c>
      <c r="D4576" s="10">
        <f>SUM(G75:G81)</f>
        <v/>
      </c>
      <c r="E4576" s="10">
        <f>SUMIFS($G$75:$G$81,$D$75:$D$81,INDEX($D$75:$D$81,1))</f>
        <v/>
      </c>
      <c r="F4576" s="10">
        <f>SUMIFS($G$75:$G$81,$D$75:$D$81,INDEX($D$75:$D$81,7))</f>
        <v/>
      </c>
      <c r="G4576" s="7">
        <f>IF(ROUND(E4576+F4576-D4576,2)=0,"OK","ОШИБКА")</f>
        <v/>
      </c>
    </row>
    <row r="4577">
      <c r="A4577" s="15" t="inlineStr">
        <is>
          <t>Сидоров</t>
        </is>
      </c>
      <c r="B4577" s="6" t="n">
        <v>12</v>
      </c>
      <c r="C4577" s="7">
        <f>INDEX(Нед_Раб,12)</f>
        <v/>
      </c>
      <c r="D4577" s="10">
        <f>SUM(G82:G88)</f>
        <v/>
      </c>
      <c r="E4577" s="10">
        <f>SUMIFS($G$82:$G$88,$D$82:$D$88,INDEX($D$82:$D$88,1))</f>
        <v/>
      </c>
      <c r="F4577" s="10">
        <f>SUMIFS($G$82:$G$88,$D$82:$D$88,INDEX($D$82:$D$88,7))</f>
        <v/>
      </c>
      <c r="G4577" s="7">
        <f>IF(ROUND(E4577+F4577-D4577,2)=0,"OK","ОШИБКА")</f>
        <v/>
      </c>
    </row>
    <row r="4578">
      <c r="A4578" s="15" t="inlineStr">
        <is>
          <t>Сидоров</t>
        </is>
      </c>
      <c r="B4578" s="6" t="n">
        <v>13</v>
      </c>
      <c r="C4578" s="7">
        <f>INDEX(Нед_Раб,13)</f>
        <v/>
      </c>
      <c r="D4578" s="10">
        <f>SUM(G89:G95)</f>
        <v/>
      </c>
      <c r="E4578" s="10">
        <f>SUMIFS($G$89:$G$95,$D$89:$D$95,INDEX($D$89:$D$95,1))</f>
        <v/>
      </c>
      <c r="F4578" s="10">
        <f>SUMIFS($G$89:$G$95,$D$89:$D$95,INDEX($D$89:$D$95,7))</f>
        <v/>
      </c>
      <c r="G4578" s="7">
        <f>IF(ROUND(E4578+F4578-D4578,2)=0,"OK","ОШИБКА")</f>
        <v/>
      </c>
    </row>
    <row r="4579">
      <c r="A4579" s="15" t="inlineStr">
        <is>
          <t>Сидоров</t>
        </is>
      </c>
      <c r="B4579" s="6" t="n">
        <v>14</v>
      </c>
      <c r="C4579" s="7">
        <f>INDEX(Нед_Раб,14)</f>
        <v/>
      </c>
      <c r="D4579" s="10">
        <f>SUM(G96:G102)</f>
        <v/>
      </c>
      <c r="E4579" s="10">
        <f>SUMIFS($G$96:$G$102,$D$96:$D$102,INDEX($D$96:$D$102,1))</f>
        <v/>
      </c>
      <c r="F4579" s="10">
        <f>SUMIFS($G$96:$G$102,$D$96:$D$102,INDEX($D$96:$D$102,7))</f>
        <v/>
      </c>
      <c r="G4579" s="7">
        <f>IF(ROUND(E4579+F4579-D4579,2)=0,"OK","ОШИБКА")</f>
        <v/>
      </c>
    </row>
    <row r="4580">
      <c r="A4580" s="15" t="inlineStr">
        <is>
          <t>Сидоров</t>
        </is>
      </c>
      <c r="B4580" s="6" t="n">
        <v>15</v>
      </c>
      <c r="C4580" s="7">
        <f>INDEX(Нед_Раб,15)</f>
        <v/>
      </c>
      <c r="D4580" s="10">
        <f>SUM(G103:G109)</f>
        <v/>
      </c>
      <c r="E4580" s="10">
        <f>SUMIFS($G$103:$G$109,$D$103:$D$109,INDEX($D$103:$D$109,1))</f>
        <v/>
      </c>
      <c r="F4580" s="10">
        <f>SUMIFS($G$103:$G$109,$D$103:$D$109,INDEX($D$103:$D$109,7))</f>
        <v/>
      </c>
      <c r="G4580" s="7">
        <f>IF(ROUND(E4580+F4580-D4580,2)=0,"OK","ОШИБКА")</f>
        <v/>
      </c>
    </row>
    <row r="4581">
      <c r="A4581" s="15" t="inlineStr">
        <is>
          <t>Сидоров</t>
        </is>
      </c>
      <c r="B4581" s="6" t="n">
        <v>16</v>
      </c>
      <c r="C4581" s="7">
        <f>INDEX(Нед_Раб,16)</f>
        <v/>
      </c>
      <c r="D4581" s="10">
        <f>SUM(G110:G116)</f>
        <v/>
      </c>
      <c r="E4581" s="10">
        <f>SUMIFS($G$110:$G$116,$D$110:$D$116,INDEX($D$110:$D$116,1))</f>
        <v/>
      </c>
      <c r="F4581" s="10">
        <f>SUMIFS($G$110:$G$116,$D$110:$D$116,INDEX($D$110:$D$116,7))</f>
        <v/>
      </c>
      <c r="G4581" s="7">
        <f>IF(ROUND(E4581+F4581-D4581,2)=0,"OK","ОШИБКА")</f>
        <v/>
      </c>
    </row>
    <row r="4582">
      <c r="A4582" s="15" t="inlineStr">
        <is>
          <t>Сидоров</t>
        </is>
      </c>
      <c r="B4582" s="6" t="n">
        <v>17</v>
      </c>
      <c r="C4582" s="7">
        <f>INDEX(Нед_Раб,17)</f>
        <v/>
      </c>
      <c r="D4582" s="10">
        <f>SUM(G117:G123)</f>
        <v/>
      </c>
      <c r="E4582" s="10">
        <f>SUMIFS($G$117:$G$123,$D$117:$D$123,INDEX($D$117:$D$123,1))</f>
        <v/>
      </c>
      <c r="F4582" s="10">
        <f>SUMIFS($G$117:$G$123,$D$117:$D$123,INDEX($D$117:$D$123,7))</f>
        <v/>
      </c>
      <c r="G4582" s="7">
        <f>IF(ROUND(E4582+F4582-D4582,2)=0,"OK","ОШИБКА")</f>
        <v/>
      </c>
    </row>
    <row r="4583">
      <c r="A4583" s="15" t="inlineStr">
        <is>
          <t>Сидоров</t>
        </is>
      </c>
      <c r="B4583" s="6" t="n">
        <v>18</v>
      </c>
      <c r="C4583" s="7">
        <f>INDEX(Нед_Раб,18)</f>
        <v/>
      </c>
      <c r="D4583" s="10">
        <f>SUM(G124:G130)</f>
        <v/>
      </c>
      <c r="E4583" s="10">
        <f>SUMIFS($G$124:$G$130,$D$124:$D$130,INDEX($D$124:$D$130,1))</f>
        <v/>
      </c>
      <c r="F4583" s="10">
        <f>SUMIFS($G$124:$G$130,$D$124:$D$130,INDEX($D$124:$D$130,7))</f>
        <v/>
      </c>
      <c r="G4583" s="7">
        <f>IF(ROUND(E4583+F4583-D4583,2)=0,"OK","ОШИБКА")</f>
        <v/>
      </c>
    </row>
    <row r="4584">
      <c r="A4584" s="15" t="inlineStr">
        <is>
          <t>Сидоров</t>
        </is>
      </c>
      <c r="B4584" s="6" t="n">
        <v>19</v>
      </c>
      <c r="C4584" s="7">
        <f>INDEX(Нед_Раб,19)</f>
        <v/>
      </c>
      <c r="D4584" s="10">
        <f>SUM(G131:G137)</f>
        <v/>
      </c>
      <c r="E4584" s="10">
        <f>SUMIFS($G$131:$G$137,$D$131:$D$137,INDEX($D$131:$D$137,1))</f>
        <v/>
      </c>
      <c r="F4584" s="10">
        <f>SUMIFS($G$131:$G$137,$D$131:$D$137,INDEX($D$131:$D$137,7))</f>
        <v/>
      </c>
      <c r="G4584" s="7">
        <f>IF(ROUND(E4584+F4584-D4584,2)=0,"OK","ОШИБКА")</f>
        <v/>
      </c>
    </row>
    <row r="4585">
      <c r="A4585" s="15" t="inlineStr">
        <is>
          <t>Сидоров</t>
        </is>
      </c>
      <c r="B4585" s="6" t="n">
        <v>20</v>
      </c>
      <c r="C4585" s="7">
        <f>INDEX(Нед_Раб,20)</f>
        <v/>
      </c>
      <c r="D4585" s="10">
        <f>SUM(G138:G144)</f>
        <v/>
      </c>
      <c r="E4585" s="10">
        <f>SUMIFS($G$138:$G$144,$D$138:$D$144,INDEX($D$138:$D$144,1))</f>
        <v/>
      </c>
      <c r="F4585" s="10">
        <f>SUMIFS($G$138:$G$144,$D$138:$D$144,INDEX($D$138:$D$144,7))</f>
        <v/>
      </c>
      <c r="G4585" s="7">
        <f>IF(ROUND(E4585+F4585-D4585,2)=0,"OK","ОШИБКА")</f>
        <v/>
      </c>
    </row>
    <row r="4586">
      <c r="A4586" s="15" t="inlineStr">
        <is>
          <t>Сидоров</t>
        </is>
      </c>
      <c r="B4586" s="6" t="n">
        <v>21</v>
      </c>
      <c r="C4586" s="7">
        <f>INDEX(Нед_Раб,21)</f>
        <v/>
      </c>
      <c r="D4586" s="10">
        <f>SUM(G145:G151)</f>
        <v/>
      </c>
      <c r="E4586" s="10">
        <f>SUMIFS($G$145:$G$151,$D$145:$D$151,INDEX($D$145:$D$151,1))</f>
        <v/>
      </c>
      <c r="F4586" s="10">
        <f>SUMIFS($G$145:$G$151,$D$145:$D$151,INDEX($D$145:$D$151,7))</f>
        <v/>
      </c>
      <c r="G4586" s="7">
        <f>IF(ROUND(E4586+F4586-D4586,2)=0,"OK","ОШИБКА")</f>
        <v/>
      </c>
    </row>
    <row r="4587">
      <c r="A4587" s="15" t="inlineStr">
        <is>
          <t>Сидоров</t>
        </is>
      </c>
      <c r="B4587" s="6" t="n">
        <v>22</v>
      </c>
      <c r="C4587" s="7">
        <f>INDEX(Нед_Раб,22)</f>
        <v/>
      </c>
      <c r="D4587" s="10">
        <f>SUM(G152:G158)</f>
        <v/>
      </c>
      <c r="E4587" s="10">
        <f>SUMIFS($G$152:$G$158,$D$152:$D$158,INDEX($D$152:$D$158,1))</f>
        <v/>
      </c>
      <c r="F4587" s="10">
        <f>SUMIFS($G$152:$G$158,$D$152:$D$158,INDEX($D$152:$D$158,7))</f>
        <v/>
      </c>
      <c r="G4587" s="7">
        <f>IF(ROUND(E4587+F4587-D4587,2)=0,"OK","ОШИБКА")</f>
        <v/>
      </c>
    </row>
    <row r="4588">
      <c r="A4588" s="15" t="inlineStr">
        <is>
          <t>Сидоров</t>
        </is>
      </c>
      <c r="B4588" s="6" t="n">
        <v>23</v>
      </c>
      <c r="C4588" s="7">
        <f>INDEX(Нед_Раб,23)</f>
        <v/>
      </c>
      <c r="D4588" s="10">
        <f>SUM(G159:G165)</f>
        <v/>
      </c>
      <c r="E4588" s="10">
        <f>SUMIFS($G$159:$G$165,$D$159:$D$165,INDEX($D$159:$D$165,1))</f>
        <v/>
      </c>
      <c r="F4588" s="10">
        <f>SUMIFS($G$159:$G$165,$D$159:$D$165,INDEX($D$159:$D$165,7))</f>
        <v/>
      </c>
      <c r="G4588" s="7">
        <f>IF(ROUND(E4588+F4588-D4588,2)=0,"OK","ОШИБКА")</f>
        <v/>
      </c>
    </row>
    <row r="4589">
      <c r="A4589" s="15" t="inlineStr">
        <is>
          <t>Сидоров</t>
        </is>
      </c>
      <c r="B4589" s="6" t="n">
        <v>24</v>
      </c>
      <c r="C4589" s="7">
        <f>INDEX(Нед_Раб,24)</f>
        <v/>
      </c>
      <c r="D4589" s="10">
        <f>SUM(G166:G172)</f>
        <v/>
      </c>
      <c r="E4589" s="10">
        <f>SUMIFS($G$166:$G$172,$D$166:$D$172,INDEX($D$166:$D$172,1))</f>
        <v/>
      </c>
      <c r="F4589" s="10">
        <f>SUMIFS($G$166:$G$172,$D$166:$D$172,INDEX($D$166:$D$172,7))</f>
        <v/>
      </c>
      <c r="G4589" s="7">
        <f>IF(ROUND(E4589+F4589-D4589,2)=0,"OK","ОШИБКА")</f>
        <v/>
      </c>
    </row>
    <row r="4590">
      <c r="A4590" s="15" t="inlineStr">
        <is>
          <t>Сидоров</t>
        </is>
      </c>
      <c r="B4590" s="6" t="n">
        <v>25</v>
      </c>
      <c r="C4590" s="7">
        <f>INDEX(Нед_Раб,25)</f>
        <v/>
      </c>
      <c r="D4590" s="10">
        <f>SUM(G173:G179)</f>
        <v/>
      </c>
      <c r="E4590" s="10">
        <f>SUMIFS($G$173:$G$179,$D$173:$D$179,INDEX($D$173:$D$179,1))</f>
        <v/>
      </c>
      <c r="F4590" s="10">
        <f>SUMIFS($G$173:$G$179,$D$173:$D$179,INDEX($D$173:$D$179,7))</f>
        <v/>
      </c>
      <c r="G4590" s="7">
        <f>IF(ROUND(E4590+F4590-D4590,2)=0,"OK","ОШИБКА")</f>
        <v/>
      </c>
    </row>
    <row r="4591">
      <c r="A4591" s="15" t="inlineStr">
        <is>
          <t>Сидоров</t>
        </is>
      </c>
      <c r="B4591" s="6" t="n">
        <v>26</v>
      </c>
      <c r="C4591" s="7">
        <f>INDEX(Нед_Раб,26)</f>
        <v/>
      </c>
      <c r="D4591" s="10">
        <f>SUM(G180:G186)</f>
        <v/>
      </c>
      <c r="E4591" s="10">
        <f>SUMIFS($G$180:$G$186,$D$180:$D$186,INDEX($D$180:$D$186,1))</f>
        <v/>
      </c>
      <c r="F4591" s="10">
        <f>SUMIFS($G$180:$G$186,$D$180:$D$186,INDEX($D$180:$D$186,7))</f>
        <v/>
      </c>
      <c r="G4591" s="7">
        <f>IF(ROUND(E4591+F4591-D4591,2)=0,"OK","ОШИБКА")</f>
        <v/>
      </c>
    </row>
    <row r="4592">
      <c r="A4592" s="15" t="inlineStr">
        <is>
          <t>Сидоров</t>
        </is>
      </c>
      <c r="B4592" s="6" t="n">
        <v>27</v>
      </c>
      <c r="C4592" s="7">
        <f>INDEX(Нед_Раб,27)</f>
        <v/>
      </c>
      <c r="D4592" s="10">
        <f>SUM(G187:G193)</f>
        <v/>
      </c>
      <c r="E4592" s="10">
        <f>SUMIFS($G$187:$G$193,$D$187:$D$193,INDEX($D$187:$D$193,1))</f>
        <v/>
      </c>
      <c r="F4592" s="10">
        <f>SUMIFS($G$187:$G$193,$D$187:$D$193,INDEX($D$187:$D$193,7))</f>
        <v/>
      </c>
      <c r="G4592" s="7">
        <f>IF(ROUND(E4592+F4592-D4592,2)=0,"OK","ОШИБКА")</f>
        <v/>
      </c>
    </row>
    <row r="4593">
      <c r="A4593" s="15" t="inlineStr">
        <is>
          <t>Сидоров</t>
        </is>
      </c>
      <c r="B4593" s="6" t="n">
        <v>28</v>
      </c>
      <c r="C4593" s="7">
        <f>INDEX(Нед_Раб,28)</f>
        <v/>
      </c>
      <c r="D4593" s="10">
        <f>SUM(G194:G200)</f>
        <v/>
      </c>
      <c r="E4593" s="10">
        <f>SUMIFS($G$194:$G$200,$D$194:$D$200,INDEX($D$194:$D$200,1))</f>
        <v/>
      </c>
      <c r="F4593" s="10">
        <f>SUMIFS($G$194:$G$200,$D$194:$D$200,INDEX($D$194:$D$200,7))</f>
        <v/>
      </c>
      <c r="G4593" s="7">
        <f>IF(ROUND(E4593+F4593-D4593,2)=0,"OK","ОШИБКА")</f>
        <v/>
      </c>
    </row>
    <row r="4594">
      <c r="A4594" s="15" t="inlineStr">
        <is>
          <t>Сидоров</t>
        </is>
      </c>
      <c r="B4594" s="6" t="n">
        <v>29</v>
      </c>
      <c r="C4594" s="7">
        <f>INDEX(Нед_Раб,29)</f>
        <v/>
      </c>
      <c r="D4594" s="10">
        <f>SUM(G201:G207)</f>
        <v/>
      </c>
      <c r="E4594" s="10">
        <f>SUMIFS($G$201:$G$207,$D$201:$D$207,INDEX($D$201:$D$207,1))</f>
        <v/>
      </c>
      <c r="F4594" s="10">
        <f>SUMIFS($G$201:$G$207,$D$201:$D$207,INDEX($D$201:$D$207,7))</f>
        <v/>
      </c>
      <c r="G4594" s="7">
        <f>IF(ROUND(E4594+F4594-D4594,2)=0,"OK","ОШИБКА")</f>
        <v/>
      </c>
    </row>
    <row r="4595">
      <c r="A4595" s="15" t="inlineStr">
        <is>
          <t>Сидоров</t>
        </is>
      </c>
      <c r="B4595" s="6" t="n">
        <v>30</v>
      </c>
      <c r="C4595" s="7">
        <f>INDEX(Нед_Раб,30)</f>
        <v/>
      </c>
      <c r="D4595" s="10">
        <f>SUM(G208:G214)</f>
        <v/>
      </c>
      <c r="E4595" s="10">
        <f>SUMIFS($G$208:$G$214,$D$208:$D$214,INDEX($D$208:$D$214,1))</f>
        <v/>
      </c>
      <c r="F4595" s="10">
        <f>SUMIFS($G$208:$G$214,$D$208:$D$214,INDEX($D$208:$D$214,7))</f>
        <v/>
      </c>
      <c r="G4595" s="7">
        <f>IF(ROUND(E4595+F4595-D4595,2)=0,"OK","ОШИБКА")</f>
        <v/>
      </c>
    </row>
    <row r="4596">
      <c r="A4596" s="15" t="inlineStr">
        <is>
          <t>Сидоров</t>
        </is>
      </c>
      <c r="B4596" s="6" t="n">
        <v>31</v>
      </c>
      <c r="C4596" s="7">
        <f>INDEX(Нед_Раб,31)</f>
        <v/>
      </c>
      <c r="D4596" s="10">
        <f>SUM(G215:G221)</f>
        <v/>
      </c>
      <c r="E4596" s="10">
        <f>SUMIFS($G$215:$G$221,$D$215:$D$221,INDEX($D$215:$D$221,1))</f>
        <v/>
      </c>
      <c r="F4596" s="10">
        <f>SUMIFS($G$215:$G$221,$D$215:$D$221,INDEX($D$215:$D$221,7))</f>
        <v/>
      </c>
      <c r="G4596" s="7">
        <f>IF(ROUND(E4596+F4596-D4596,2)=0,"OK","ОШИБКА")</f>
        <v/>
      </c>
    </row>
    <row r="4597">
      <c r="A4597" s="15" t="inlineStr">
        <is>
          <t>Сидоров</t>
        </is>
      </c>
      <c r="B4597" s="6" t="n">
        <v>32</v>
      </c>
      <c r="C4597" s="7">
        <f>INDEX(Нед_Раб,32)</f>
        <v/>
      </c>
      <c r="D4597" s="10">
        <f>SUM(G222:G228)</f>
        <v/>
      </c>
      <c r="E4597" s="10">
        <f>SUMIFS($G$222:$G$228,$D$222:$D$228,INDEX($D$222:$D$228,1))</f>
        <v/>
      </c>
      <c r="F4597" s="10">
        <f>SUMIFS($G$222:$G$228,$D$222:$D$228,INDEX($D$222:$D$228,7))</f>
        <v/>
      </c>
      <c r="G4597" s="7">
        <f>IF(ROUND(E4597+F4597-D4597,2)=0,"OK","ОШИБКА")</f>
        <v/>
      </c>
    </row>
    <row r="4598">
      <c r="A4598" s="15" t="inlineStr">
        <is>
          <t>Сидоров</t>
        </is>
      </c>
      <c r="B4598" s="6" t="n">
        <v>33</v>
      </c>
      <c r="C4598" s="7">
        <f>INDEX(Нед_Раб,33)</f>
        <v/>
      </c>
      <c r="D4598" s="10">
        <f>SUM(G229:G235)</f>
        <v/>
      </c>
      <c r="E4598" s="10">
        <f>SUMIFS($G$229:$G$235,$D$229:$D$235,INDEX($D$229:$D$235,1))</f>
        <v/>
      </c>
      <c r="F4598" s="10">
        <f>SUMIFS($G$229:$G$235,$D$229:$D$235,INDEX($D$229:$D$235,7))</f>
        <v/>
      </c>
      <c r="G4598" s="7">
        <f>IF(ROUND(E4598+F4598-D4598,2)=0,"OK","ОШИБКА")</f>
        <v/>
      </c>
    </row>
    <row r="4599">
      <c r="A4599" s="15" t="inlineStr">
        <is>
          <t>Сидоров</t>
        </is>
      </c>
      <c r="B4599" s="6" t="n">
        <v>34</v>
      </c>
      <c r="C4599" s="7">
        <f>INDEX(Нед_Раб,34)</f>
        <v/>
      </c>
      <c r="D4599" s="10">
        <f>SUM(G236:G242)</f>
        <v/>
      </c>
      <c r="E4599" s="10">
        <f>SUMIFS($G$236:$G$242,$D$236:$D$242,INDEX($D$236:$D$242,1))</f>
        <v/>
      </c>
      <c r="F4599" s="10">
        <f>SUMIFS($G$236:$G$242,$D$236:$D$242,INDEX($D$236:$D$242,7))</f>
        <v/>
      </c>
      <c r="G4599" s="7">
        <f>IF(ROUND(E4599+F4599-D4599,2)=0,"OK","ОШИБКА")</f>
        <v/>
      </c>
    </row>
    <row r="4600">
      <c r="A4600" s="15" t="inlineStr">
        <is>
          <t>Сидоров</t>
        </is>
      </c>
      <c r="B4600" s="6" t="n">
        <v>35</v>
      </c>
      <c r="C4600" s="7">
        <f>INDEX(Нед_Раб,35)</f>
        <v/>
      </c>
      <c r="D4600" s="10">
        <f>SUM(G243:G249)</f>
        <v/>
      </c>
      <c r="E4600" s="10">
        <f>SUMIFS($G$243:$G$249,$D$243:$D$249,INDEX($D$243:$D$249,1))</f>
        <v/>
      </c>
      <c r="F4600" s="10">
        <f>SUMIFS($G$243:$G$249,$D$243:$D$249,INDEX($D$243:$D$249,7))</f>
        <v/>
      </c>
      <c r="G4600" s="7">
        <f>IF(ROUND(E4600+F4600-D4600,2)=0,"OK","ОШИБКА")</f>
        <v/>
      </c>
    </row>
    <row r="4601">
      <c r="A4601" s="15" t="inlineStr">
        <is>
          <t>Сидоров</t>
        </is>
      </c>
      <c r="B4601" s="6" t="n">
        <v>36</v>
      </c>
      <c r="C4601" s="7">
        <f>INDEX(Нед_Раб,36)</f>
        <v/>
      </c>
      <c r="D4601" s="10">
        <f>SUM(G250:G256)</f>
        <v/>
      </c>
      <c r="E4601" s="10">
        <f>SUMIFS($G$250:$G$256,$D$250:$D$256,INDEX($D$250:$D$256,1))</f>
        <v/>
      </c>
      <c r="F4601" s="10">
        <f>SUMIFS($G$250:$G$256,$D$250:$D$256,INDEX($D$250:$D$256,7))</f>
        <v/>
      </c>
      <c r="G4601" s="7">
        <f>IF(ROUND(E4601+F4601-D4601,2)=0,"OK","ОШИБКА")</f>
        <v/>
      </c>
    </row>
    <row r="4602">
      <c r="A4602" s="15" t="inlineStr">
        <is>
          <t>Сидоров</t>
        </is>
      </c>
      <c r="B4602" s="6" t="n">
        <v>37</v>
      </c>
      <c r="C4602" s="7">
        <f>INDEX(Нед_Раб,37)</f>
        <v/>
      </c>
      <c r="D4602" s="10">
        <f>SUM(G257:G263)</f>
        <v/>
      </c>
      <c r="E4602" s="10">
        <f>SUMIFS($G$257:$G$263,$D$257:$D$263,INDEX($D$257:$D$263,1))</f>
        <v/>
      </c>
      <c r="F4602" s="10">
        <f>SUMIFS($G$257:$G$263,$D$257:$D$263,INDEX($D$257:$D$263,7))</f>
        <v/>
      </c>
      <c r="G4602" s="7">
        <f>IF(ROUND(E4602+F4602-D4602,2)=0,"OK","ОШИБКА")</f>
        <v/>
      </c>
    </row>
    <row r="4603">
      <c r="A4603" s="15" t="inlineStr">
        <is>
          <t>Сидоров</t>
        </is>
      </c>
      <c r="B4603" s="6" t="n">
        <v>38</v>
      </c>
      <c r="C4603" s="7">
        <f>INDEX(Нед_Раб,38)</f>
        <v/>
      </c>
      <c r="D4603" s="10">
        <f>SUM(G264:G270)</f>
        <v/>
      </c>
      <c r="E4603" s="10">
        <f>SUMIFS($G$264:$G$270,$D$264:$D$270,INDEX($D$264:$D$270,1))</f>
        <v/>
      </c>
      <c r="F4603" s="10">
        <f>SUMIFS($G$264:$G$270,$D$264:$D$270,INDEX($D$264:$D$270,7))</f>
        <v/>
      </c>
      <c r="G4603" s="7">
        <f>IF(ROUND(E4603+F4603-D4603,2)=0,"OK","ОШИБКА")</f>
        <v/>
      </c>
    </row>
    <row r="4604">
      <c r="A4604" s="15" t="inlineStr">
        <is>
          <t>Сидоров</t>
        </is>
      </c>
      <c r="B4604" s="6" t="n">
        <v>39</v>
      </c>
      <c r="C4604" s="7">
        <f>INDEX(Нед_Раб,39)</f>
        <v/>
      </c>
      <c r="D4604" s="10">
        <f>SUM(G271:G277)</f>
        <v/>
      </c>
      <c r="E4604" s="10">
        <f>SUMIFS($G$271:$G$277,$D$271:$D$277,INDEX($D$271:$D$277,1))</f>
        <v/>
      </c>
      <c r="F4604" s="10">
        <f>SUMIFS($G$271:$G$277,$D$271:$D$277,INDEX($D$271:$D$277,7))</f>
        <v/>
      </c>
      <c r="G4604" s="7">
        <f>IF(ROUND(E4604+F4604-D4604,2)=0,"OK","ОШИБКА")</f>
        <v/>
      </c>
    </row>
    <row r="4605">
      <c r="A4605" s="15" t="inlineStr">
        <is>
          <t>Сидоров</t>
        </is>
      </c>
      <c r="B4605" s="6" t="n">
        <v>40</v>
      </c>
      <c r="C4605" s="7">
        <f>INDEX(Нед_Раб,40)</f>
        <v/>
      </c>
      <c r="D4605" s="10">
        <f>SUM(G278:G284)</f>
        <v/>
      </c>
      <c r="E4605" s="10">
        <f>SUMIFS($G$278:$G$284,$D$278:$D$284,INDEX($D$278:$D$284,1))</f>
        <v/>
      </c>
      <c r="F4605" s="10">
        <f>SUMIFS($G$278:$G$284,$D$278:$D$284,INDEX($D$278:$D$284,7))</f>
        <v/>
      </c>
      <c r="G4605" s="7">
        <f>IF(ROUND(E4605+F4605-D4605,2)=0,"OK","ОШИБКА")</f>
        <v/>
      </c>
    </row>
    <row r="4606">
      <c r="A4606" s="15" t="inlineStr">
        <is>
          <t>Сидоров</t>
        </is>
      </c>
      <c r="B4606" s="6" t="n">
        <v>41</v>
      </c>
      <c r="C4606" s="7">
        <f>INDEX(Нед_Раб,41)</f>
        <v/>
      </c>
      <c r="D4606" s="10">
        <f>SUM(G285:G291)</f>
        <v/>
      </c>
      <c r="E4606" s="10">
        <f>SUMIFS($G$285:$G$291,$D$285:$D$291,INDEX($D$285:$D$291,1))</f>
        <v/>
      </c>
      <c r="F4606" s="10">
        <f>SUMIFS($G$285:$G$291,$D$285:$D$291,INDEX($D$285:$D$291,7))</f>
        <v/>
      </c>
      <c r="G4606" s="7">
        <f>IF(ROUND(E4606+F4606-D4606,2)=0,"OK","ОШИБКА")</f>
        <v/>
      </c>
    </row>
    <row r="4607">
      <c r="A4607" s="15" t="inlineStr">
        <is>
          <t>Сидоров</t>
        </is>
      </c>
      <c r="B4607" s="6" t="n">
        <v>42</v>
      </c>
      <c r="C4607" s="7">
        <f>INDEX(Нед_Раб,42)</f>
        <v/>
      </c>
      <c r="D4607" s="10">
        <f>SUM(G292:G298)</f>
        <v/>
      </c>
      <c r="E4607" s="10">
        <f>SUMIFS($G$292:$G$298,$D$292:$D$298,INDEX($D$292:$D$298,1))</f>
        <v/>
      </c>
      <c r="F4607" s="10">
        <f>SUMIFS($G$292:$G$298,$D$292:$D$298,INDEX($D$292:$D$298,7))</f>
        <v/>
      </c>
      <c r="G4607" s="7">
        <f>IF(ROUND(E4607+F4607-D4607,2)=0,"OK","ОШИБКА")</f>
        <v/>
      </c>
    </row>
    <row r="4608">
      <c r="A4608" s="15" t="inlineStr">
        <is>
          <t>Сидоров</t>
        </is>
      </c>
      <c r="B4608" s="6" t="n">
        <v>43</v>
      </c>
      <c r="C4608" s="7">
        <f>INDEX(Нед_Раб,43)</f>
        <v/>
      </c>
      <c r="D4608" s="10">
        <f>SUM(G299:G305)</f>
        <v/>
      </c>
      <c r="E4608" s="10">
        <f>SUMIFS($G$299:$G$305,$D$299:$D$305,INDEX($D$299:$D$305,1))</f>
        <v/>
      </c>
      <c r="F4608" s="10">
        <f>SUMIFS($G$299:$G$305,$D$299:$D$305,INDEX($D$299:$D$305,7))</f>
        <v/>
      </c>
      <c r="G4608" s="7">
        <f>IF(ROUND(E4608+F4608-D4608,2)=0,"OK","ОШИБКА")</f>
        <v/>
      </c>
    </row>
    <row r="4609">
      <c r="A4609" s="15" t="inlineStr">
        <is>
          <t>Сидоров</t>
        </is>
      </c>
      <c r="B4609" s="6" t="n">
        <v>44</v>
      </c>
      <c r="C4609" s="7">
        <f>INDEX(Нед_Раб,44)</f>
        <v/>
      </c>
      <c r="D4609" s="10">
        <f>SUM(G306:G312)</f>
        <v/>
      </c>
      <c r="E4609" s="10">
        <f>SUMIFS($G$306:$G$312,$D$306:$D$312,INDEX($D$306:$D$312,1))</f>
        <v/>
      </c>
      <c r="F4609" s="10">
        <f>SUMIFS($G$306:$G$312,$D$306:$D$312,INDEX($D$306:$D$312,7))</f>
        <v/>
      </c>
      <c r="G4609" s="7">
        <f>IF(ROUND(E4609+F4609-D4609,2)=0,"OK","ОШИБКА")</f>
        <v/>
      </c>
    </row>
    <row r="4610">
      <c r="A4610" s="15" t="inlineStr">
        <is>
          <t>Сидоров</t>
        </is>
      </c>
      <c r="B4610" s="6" t="n">
        <v>45</v>
      </c>
      <c r="C4610" s="7">
        <f>INDEX(Нед_Раб,45)</f>
        <v/>
      </c>
      <c r="D4610" s="10">
        <f>SUM(G313:G319)</f>
        <v/>
      </c>
      <c r="E4610" s="10">
        <f>SUMIFS($G$313:$G$319,$D$313:$D$319,INDEX($D$313:$D$319,1))</f>
        <v/>
      </c>
      <c r="F4610" s="10">
        <f>SUMIFS($G$313:$G$319,$D$313:$D$319,INDEX($D$313:$D$319,7))</f>
        <v/>
      </c>
      <c r="G4610" s="7">
        <f>IF(ROUND(E4610+F4610-D4610,2)=0,"OK","ОШИБКА")</f>
        <v/>
      </c>
    </row>
    <row r="4611">
      <c r="A4611" s="15" t="inlineStr">
        <is>
          <t>Сидоров</t>
        </is>
      </c>
      <c r="B4611" s="6" t="n">
        <v>46</v>
      </c>
      <c r="C4611" s="7">
        <f>INDEX(Нед_Раб,46)</f>
        <v/>
      </c>
      <c r="D4611" s="10">
        <f>SUM(G320:G326)</f>
        <v/>
      </c>
      <c r="E4611" s="10">
        <f>SUMIFS($G$320:$G$326,$D$320:$D$326,INDEX($D$320:$D$326,1))</f>
        <v/>
      </c>
      <c r="F4611" s="10">
        <f>SUMIFS($G$320:$G$326,$D$320:$D$326,INDEX($D$320:$D$326,7))</f>
        <v/>
      </c>
      <c r="G4611" s="7">
        <f>IF(ROUND(E4611+F4611-D4611,2)=0,"OK","ОШИБКА")</f>
        <v/>
      </c>
    </row>
    <row r="4612">
      <c r="A4612" s="15" t="inlineStr">
        <is>
          <t>Сидоров</t>
        </is>
      </c>
      <c r="B4612" s="6" t="n">
        <v>47</v>
      </c>
      <c r="C4612" s="7">
        <f>INDEX(Нед_Раб,47)</f>
        <v/>
      </c>
      <c r="D4612" s="10">
        <f>SUM(G327:G333)</f>
        <v/>
      </c>
      <c r="E4612" s="10">
        <f>SUMIFS($G$327:$G$333,$D$327:$D$333,INDEX($D$327:$D$333,1))</f>
        <v/>
      </c>
      <c r="F4612" s="10">
        <f>SUMIFS($G$327:$G$333,$D$327:$D$333,INDEX($D$327:$D$333,7))</f>
        <v/>
      </c>
      <c r="G4612" s="7">
        <f>IF(ROUND(E4612+F4612-D4612,2)=0,"OK","ОШИБКА")</f>
        <v/>
      </c>
    </row>
    <row r="4613">
      <c r="A4613" s="15" t="inlineStr">
        <is>
          <t>Сидоров</t>
        </is>
      </c>
      <c r="B4613" s="6" t="n">
        <v>48</v>
      </c>
      <c r="C4613" s="7">
        <f>INDEX(Нед_Раб,48)</f>
        <v/>
      </c>
      <c r="D4613" s="10">
        <f>SUM(G334:G340)</f>
        <v/>
      </c>
      <c r="E4613" s="10">
        <f>SUMIFS($G$334:$G$340,$D$334:$D$340,INDEX($D$334:$D$340,1))</f>
        <v/>
      </c>
      <c r="F4613" s="10">
        <f>SUMIFS($G$334:$G$340,$D$334:$D$340,INDEX($D$334:$D$340,7))</f>
        <v/>
      </c>
      <c r="G4613" s="7">
        <f>IF(ROUND(E4613+F4613-D4613,2)=0,"OK","ОШИБКА")</f>
        <v/>
      </c>
    </row>
    <row r="4614">
      <c r="A4614" s="15" t="inlineStr">
        <is>
          <t>Сидоров</t>
        </is>
      </c>
      <c r="B4614" s="6" t="n">
        <v>49</v>
      </c>
      <c r="C4614" s="7">
        <f>INDEX(Нед_Раб,49)</f>
        <v/>
      </c>
      <c r="D4614" s="10">
        <f>SUM(G341:G347)</f>
        <v/>
      </c>
      <c r="E4614" s="10">
        <f>SUMIFS($G$341:$G$347,$D$341:$D$347,INDEX($D$341:$D$347,1))</f>
        <v/>
      </c>
      <c r="F4614" s="10">
        <f>SUMIFS($G$341:$G$347,$D$341:$D$347,INDEX($D$341:$D$347,7))</f>
        <v/>
      </c>
      <c r="G4614" s="7">
        <f>IF(ROUND(E4614+F4614-D4614,2)=0,"OK","ОШИБКА")</f>
        <v/>
      </c>
    </row>
    <row r="4615">
      <c r="A4615" s="15" t="inlineStr">
        <is>
          <t>Сидоров</t>
        </is>
      </c>
      <c r="B4615" s="6" t="n">
        <v>50</v>
      </c>
      <c r="C4615" s="7">
        <f>INDEX(Нед_Раб,50)</f>
        <v/>
      </c>
      <c r="D4615" s="10">
        <f>SUM(G348:G354)</f>
        <v/>
      </c>
      <c r="E4615" s="10">
        <f>SUMIFS($G$348:$G$354,$D$348:$D$354,INDEX($D$348:$D$354,1))</f>
        <v/>
      </c>
      <c r="F4615" s="10">
        <f>SUMIFS($G$348:$G$354,$D$348:$D$354,INDEX($D$348:$D$354,7))</f>
        <v/>
      </c>
      <c r="G4615" s="7">
        <f>IF(ROUND(E4615+F4615-D4615,2)=0,"OK","ОШИБКА")</f>
        <v/>
      </c>
    </row>
    <row r="4616">
      <c r="A4616" s="15" t="inlineStr">
        <is>
          <t>Сидоров</t>
        </is>
      </c>
      <c r="B4616" s="6" t="n">
        <v>51</v>
      </c>
      <c r="C4616" s="7">
        <f>INDEX(Нед_Раб,51)</f>
        <v/>
      </c>
      <c r="D4616" s="10">
        <f>SUM(G355:G361)</f>
        <v/>
      </c>
      <c r="E4616" s="10">
        <f>SUMIFS($G$355:$G$361,$D$355:$D$361,INDEX($D$355:$D$361,1))</f>
        <v/>
      </c>
      <c r="F4616" s="10">
        <f>SUMIFS($G$355:$G$361,$D$355:$D$361,INDEX($D$355:$D$361,7))</f>
        <v/>
      </c>
      <c r="G4616" s="7">
        <f>IF(ROUND(E4616+F4616-D4616,2)=0,"OK","ОШИБКА")</f>
        <v/>
      </c>
    </row>
    <row r="4617">
      <c r="A4617" s="15" t="inlineStr">
        <is>
          <t>Сидоров</t>
        </is>
      </c>
      <c r="B4617" s="6" t="n">
        <v>52</v>
      </c>
      <c r="C4617" s="7">
        <f>INDEX(Нед_Раб,52)</f>
        <v/>
      </c>
      <c r="D4617" s="10">
        <f>SUM(G362:G368)</f>
        <v/>
      </c>
      <c r="E4617" s="10">
        <f>SUMIFS($G$362:$G$368,$D$362:$D$368,INDEX($D$362:$D$368,1))</f>
        <v/>
      </c>
      <c r="F4617" s="10">
        <f>SUMIFS($G$362:$G$368,$D$362:$D$368,INDEX($D$362:$D$368,7))</f>
        <v/>
      </c>
      <c r="G4617" s="7">
        <f>IF(ROUND(E4617+F4617-D4617,2)=0,"OK","ОШИБКА")</f>
        <v/>
      </c>
    </row>
    <row r="4618">
      <c r="A4618" s="15" t="inlineStr">
        <is>
          <t>Сидоров</t>
        </is>
      </c>
      <c r="B4618" s="6" t="n">
        <v>53</v>
      </c>
      <c r="C4618" s="7">
        <f>INDEX(Нед_Раб,53)</f>
        <v/>
      </c>
      <c r="D4618" s="10">
        <f>SUM(G369:G375)</f>
        <v/>
      </c>
      <c r="E4618" s="10">
        <f>SUMIFS($G$369:$G$375,$D$369:$D$375,INDEX($D$369:$D$375,1))</f>
        <v/>
      </c>
      <c r="F4618" s="10">
        <f>SUMIFS($G$369:$G$375,$D$369:$D$375,INDEX($D$369:$D$375,7))</f>
        <v/>
      </c>
      <c r="G4618" s="7">
        <f>IF(ROUND(E4618+F4618-D4618,2)=0,"OK","ОШИБКА")</f>
        <v/>
      </c>
    </row>
    <row r="4619">
      <c r="A4619" s="15" t="inlineStr">
        <is>
          <t>Козлова</t>
        </is>
      </c>
      <c r="B4619" s="6" t="n">
        <v>1</v>
      </c>
      <c r="C4619" s="7">
        <f>INDEX(Нед_Раб,1)</f>
        <v/>
      </c>
      <c r="D4619" s="10">
        <f>SUM(G5:G11)</f>
        <v/>
      </c>
      <c r="E4619" s="10">
        <f>SUMIFS($G$5:$G$11,$D$5:$D$11,INDEX($D$5:$D$11,1))</f>
        <v/>
      </c>
      <c r="F4619" s="10">
        <f>SUMIFS($G$5:$G$11,$D$5:$D$11,INDEX($D$5:$D$11,7))</f>
        <v/>
      </c>
      <c r="G4619" s="7">
        <f>IF(ROUND(E4619+F4619-D4619,2)=0,"OK","ОШИБКА")</f>
        <v/>
      </c>
    </row>
    <row r="4620">
      <c r="A4620" s="15" t="inlineStr">
        <is>
          <t>Козлова</t>
        </is>
      </c>
      <c r="B4620" s="6" t="n">
        <v>2</v>
      </c>
      <c r="C4620" s="7">
        <f>INDEX(Нед_Раб,2)</f>
        <v/>
      </c>
      <c r="D4620" s="10">
        <f>SUM(G12:G18)</f>
        <v/>
      </c>
      <c r="E4620" s="10">
        <f>SUMIFS($G$12:$G$18,$D$12:$D$18,INDEX($D$12:$D$18,1))</f>
        <v/>
      </c>
      <c r="F4620" s="10">
        <f>SUMIFS($G$12:$G$18,$D$12:$D$18,INDEX($D$12:$D$18,7))</f>
        <v/>
      </c>
      <c r="G4620" s="7">
        <f>IF(ROUND(E4620+F4620-D4620,2)=0,"OK","ОШИБКА")</f>
        <v/>
      </c>
    </row>
    <row r="4621">
      <c r="A4621" s="15" t="inlineStr">
        <is>
          <t>Козлова</t>
        </is>
      </c>
      <c r="B4621" s="6" t="n">
        <v>3</v>
      </c>
      <c r="C4621" s="7">
        <f>INDEX(Нед_Раб,3)</f>
        <v/>
      </c>
      <c r="D4621" s="10">
        <f>SUM(G19:G25)</f>
        <v/>
      </c>
      <c r="E4621" s="10">
        <f>SUMIFS($G$19:$G$25,$D$19:$D$25,INDEX($D$19:$D$25,1))</f>
        <v/>
      </c>
      <c r="F4621" s="10">
        <f>SUMIFS($G$19:$G$25,$D$19:$D$25,INDEX($D$19:$D$25,7))</f>
        <v/>
      </c>
      <c r="G4621" s="7">
        <f>IF(ROUND(E4621+F4621-D4621,2)=0,"OK","ОШИБКА")</f>
        <v/>
      </c>
    </row>
    <row r="4622">
      <c r="A4622" s="15" t="inlineStr">
        <is>
          <t>Козлова</t>
        </is>
      </c>
      <c r="B4622" s="6" t="n">
        <v>4</v>
      </c>
      <c r="C4622" s="7">
        <f>INDEX(Нед_Раб,4)</f>
        <v/>
      </c>
      <c r="D4622" s="10">
        <f>SUM(G26:G32)</f>
        <v/>
      </c>
      <c r="E4622" s="10">
        <f>SUMIFS($G$26:$G$32,$D$26:$D$32,INDEX($D$26:$D$32,1))</f>
        <v/>
      </c>
      <c r="F4622" s="10">
        <f>SUMIFS($G$26:$G$32,$D$26:$D$32,INDEX($D$26:$D$32,7))</f>
        <v/>
      </c>
      <c r="G4622" s="7">
        <f>IF(ROUND(E4622+F4622-D4622,2)=0,"OK","ОШИБКА")</f>
        <v/>
      </c>
    </row>
    <row r="4623">
      <c r="A4623" s="15" t="inlineStr">
        <is>
          <t>Козлова</t>
        </is>
      </c>
      <c r="B4623" s="6" t="n">
        <v>5</v>
      </c>
      <c r="C4623" s="7">
        <f>INDEX(Нед_Раб,5)</f>
        <v/>
      </c>
      <c r="D4623" s="10">
        <f>SUM(G33:G39)</f>
        <v/>
      </c>
      <c r="E4623" s="10">
        <f>SUMIFS($G$33:$G$39,$D$33:$D$39,INDEX($D$33:$D$39,1))</f>
        <v/>
      </c>
      <c r="F4623" s="10">
        <f>SUMIFS($G$33:$G$39,$D$33:$D$39,INDEX($D$33:$D$39,7))</f>
        <v/>
      </c>
      <c r="G4623" s="7">
        <f>IF(ROUND(E4623+F4623-D4623,2)=0,"OK","ОШИБКА")</f>
        <v/>
      </c>
    </row>
    <row r="4624">
      <c r="A4624" s="15" t="inlineStr">
        <is>
          <t>Козлова</t>
        </is>
      </c>
      <c r="B4624" s="6" t="n">
        <v>6</v>
      </c>
      <c r="C4624" s="7">
        <f>INDEX(Нед_Раб,6)</f>
        <v/>
      </c>
      <c r="D4624" s="10">
        <f>SUM(G40:G46)</f>
        <v/>
      </c>
      <c r="E4624" s="10">
        <f>SUMIFS($G$40:$G$46,$D$40:$D$46,INDEX($D$40:$D$46,1))</f>
        <v/>
      </c>
      <c r="F4624" s="10">
        <f>SUMIFS($G$40:$G$46,$D$40:$D$46,INDEX($D$40:$D$46,7))</f>
        <v/>
      </c>
      <c r="G4624" s="7">
        <f>IF(ROUND(E4624+F4624-D4624,2)=0,"OK","ОШИБКА")</f>
        <v/>
      </c>
    </row>
    <row r="4625">
      <c r="A4625" s="15" t="inlineStr">
        <is>
          <t>Козлова</t>
        </is>
      </c>
      <c r="B4625" s="6" t="n">
        <v>7</v>
      </c>
      <c r="C4625" s="7">
        <f>INDEX(Нед_Раб,7)</f>
        <v/>
      </c>
      <c r="D4625" s="10">
        <f>SUM(G47:G53)</f>
        <v/>
      </c>
      <c r="E4625" s="10">
        <f>SUMIFS($G$47:$G$53,$D$47:$D$53,INDEX($D$47:$D$53,1))</f>
        <v/>
      </c>
      <c r="F4625" s="10">
        <f>SUMIFS($G$47:$G$53,$D$47:$D$53,INDEX($D$47:$D$53,7))</f>
        <v/>
      </c>
      <c r="G4625" s="7">
        <f>IF(ROUND(E4625+F4625-D4625,2)=0,"OK","ОШИБКА")</f>
        <v/>
      </c>
    </row>
    <row r="4626">
      <c r="A4626" s="15" t="inlineStr">
        <is>
          <t>Козлова</t>
        </is>
      </c>
      <c r="B4626" s="6" t="n">
        <v>8</v>
      </c>
      <c r="C4626" s="7">
        <f>INDEX(Нед_Раб,8)</f>
        <v/>
      </c>
      <c r="D4626" s="10">
        <f>SUM(G54:G60)</f>
        <v/>
      </c>
      <c r="E4626" s="10">
        <f>SUMIFS($G$54:$G$60,$D$54:$D$60,INDEX($D$54:$D$60,1))</f>
        <v/>
      </c>
      <c r="F4626" s="10">
        <f>SUMIFS($G$54:$G$60,$D$54:$D$60,INDEX($D$54:$D$60,7))</f>
        <v/>
      </c>
      <c r="G4626" s="7">
        <f>IF(ROUND(E4626+F4626-D4626,2)=0,"OK","ОШИБКА")</f>
        <v/>
      </c>
    </row>
    <row r="4627">
      <c r="A4627" s="15" t="inlineStr">
        <is>
          <t>Козлова</t>
        </is>
      </c>
      <c r="B4627" s="6" t="n">
        <v>9</v>
      </c>
      <c r="C4627" s="7">
        <f>INDEX(Нед_Раб,9)</f>
        <v/>
      </c>
      <c r="D4627" s="10">
        <f>SUM(G61:G67)</f>
        <v/>
      </c>
      <c r="E4627" s="10">
        <f>SUMIFS($G$61:$G$67,$D$61:$D$67,INDEX($D$61:$D$67,1))</f>
        <v/>
      </c>
      <c r="F4627" s="10">
        <f>SUMIFS($G$61:$G$67,$D$61:$D$67,INDEX($D$61:$D$67,7))</f>
        <v/>
      </c>
      <c r="G4627" s="7">
        <f>IF(ROUND(E4627+F4627-D4627,2)=0,"OK","ОШИБКА")</f>
        <v/>
      </c>
    </row>
    <row r="4628">
      <c r="A4628" s="15" t="inlineStr">
        <is>
          <t>Козлова</t>
        </is>
      </c>
      <c r="B4628" s="6" t="n">
        <v>10</v>
      </c>
      <c r="C4628" s="7">
        <f>INDEX(Нед_Раб,10)</f>
        <v/>
      </c>
      <c r="D4628" s="10">
        <f>SUM(G68:G74)</f>
        <v/>
      </c>
      <c r="E4628" s="10">
        <f>SUMIFS($G$68:$G$74,$D$68:$D$74,INDEX($D$68:$D$74,1))</f>
        <v/>
      </c>
      <c r="F4628" s="10">
        <f>SUMIFS($G$68:$G$74,$D$68:$D$74,INDEX($D$68:$D$74,7))</f>
        <v/>
      </c>
      <c r="G4628" s="7">
        <f>IF(ROUND(E4628+F4628-D4628,2)=0,"OK","ОШИБКА")</f>
        <v/>
      </c>
    </row>
    <row r="4629">
      <c r="A4629" s="15" t="inlineStr">
        <is>
          <t>Козлова</t>
        </is>
      </c>
      <c r="B4629" s="6" t="n">
        <v>11</v>
      </c>
      <c r="C4629" s="7">
        <f>INDEX(Нед_Раб,11)</f>
        <v/>
      </c>
      <c r="D4629" s="10">
        <f>SUM(G75:G81)</f>
        <v/>
      </c>
      <c r="E4629" s="10">
        <f>SUMIFS($G$75:$G$81,$D$75:$D$81,INDEX($D$75:$D$81,1))</f>
        <v/>
      </c>
      <c r="F4629" s="10">
        <f>SUMIFS($G$75:$G$81,$D$75:$D$81,INDEX($D$75:$D$81,7))</f>
        <v/>
      </c>
      <c r="G4629" s="7">
        <f>IF(ROUND(E4629+F4629-D4629,2)=0,"OK","ОШИБКА")</f>
        <v/>
      </c>
    </row>
    <row r="4630">
      <c r="A4630" s="15" t="inlineStr">
        <is>
          <t>Козлова</t>
        </is>
      </c>
      <c r="B4630" s="6" t="n">
        <v>12</v>
      </c>
      <c r="C4630" s="7">
        <f>INDEX(Нед_Раб,12)</f>
        <v/>
      </c>
      <c r="D4630" s="10">
        <f>SUM(G82:G88)</f>
        <v/>
      </c>
      <c r="E4630" s="10">
        <f>SUMIFS($G$82:$G$88,$D$82:$D$88,INDEX($D$82:$D$88,1))</f>
        <v/>
      </c>
      <c r="F4630" s="10">
        <f>SUMIFS($G$82:$G$88,$D$82:$D$88,INDEX($D$82:$D$88,7))</f>
        <v/>
      </c>
      <c r="G4630" s="7">
        <f>IF(ROUND(E4630+F4630-D4630,2)=0,"OK","ОШИБКА")</f>
        <v/>
      </c>
    </row>
    <row r="4631">
      <c r="A4631" s="15" t="inlineStr">
        <is>
          <t>Козлова</t>
        </is>
      </c>
      <c r="B4631" s="6" t="n">
        <v>13</v>
      </c>
      <c r="C4631" s="7">
        <f>INDEX(Нед_Раб,13)</f>
        <v/>
      </c>
      <c r="D4631" s="10">
        <f>SUM(G89:G95)</f>
        <v/>
      </c>
      <c r="E4631" s="10">
        <f>SUMIFS($G$89:$G$95,$D$89:$D$95,INDEX($D$89:$D$95,1))</f>
        <v/>
      </c>
      <c r="F4631" s="10">
        <f>SUMIFS($G$89:$G$95,$D$89:$D$95,INDEX($D$89:$D$95,7))</f>
        <v/>
      </c>
      <c r="G4631" s="7">
        <f>IF(ROUND(E4631+F4631-D4631,2)=0,"OK","ОШИБКА")</f>
        <v/>
      </c>
    </row>
    <row r="4632">
      <c r="A4632" s="15" t="inlineStr">
        <is>
          <t>Козлова</t>
        </is>
      </c>
      <c r="B4632" s="6" t="n">
        <v>14</v>
      </c>
      <c r="C4632" s="7">
        <f>INDEX(Нед_Раб,14)</f>
        <v/>
      </c>
      <c r="D4632" s="10">
        <f>SUM(G96:G102)</f>
        <v/>
      </c>
      <c r="E4632" s="10">
        <f>SUMIFS($G$96:$G$102,$D$96:$D$102,INDEX($D$96:$D$102,1))</f>
        <v/>
      </c>
      <c r="F4632" s="10">
        <f>SUMIFS($G$96:$G$102,$D$96:$D$102,INDEX($D$96:$D$102,7))</f>
        <v/>
      </c>
      <c r="G4632" s="7">
        <f>IF(ROUND(E4632+F4632-D4632,2)=0,"OK","ОШИБКА")</f>
        <v/>
      </c>
    </row>
    <row r="4633">
      <c r="A4633" s="15" t="inlineStr">
        <is>
          <t>Козлова</t>
        </is>
      </c>
      <c r="B4633" s="6" t="n">
        <v>15</v>
      </c>
      <c r="C4633" s="7">
        <f>INDEX(Нед_Раб,15)</f>
        <v/>
      </c>
      <c r="D4633" s="10">
        <f>SUM(G103:G109)</f>
        <v/>
      </c>
      <c r="E4633" s="10">
        <f>SUMIFS($G$103:$G$109,$D$103:$D$109,INDEX($D$103:$D$109,1))</f>
        <v/>
      </c>
      <c r="F4633" s="10">
        <f>SUMIFS($G$103:$G$109,$D$103:$D$109,INDEX($D$103:$D$109,7))</f>
        <v/>
      </c>
      <c r="G4633" s="7">
        <f>IF(ROUND(E4633+F4633-D4633,2)=0,"OK","ОШИБКА")</f>
        <v/>
      </c>
    </row>
    <row r="4634">
      <c r="A4634" s="15" t="inlineStr">
        <is>
          <t>Козлова</t>
        </is>
      </c>
      <c r="B4634" s="6" t="n">
        <v>16</v>
      </c>
      <c r="C4634" s="7">
        <f>INDEX(Нед_Раб,16)</f>
        <v/>
      </c>
      <c r="D4634" s="10">
        <f>SUM(G110:G116)</f>
        <v/>
      </c>
      <c r="E4634" s="10">
        <f>SUMIFS($G$110:$G$116,$D$110:$D$116,INDEX($D$110:$D$116,1))</f>
        <v/>
      </c>
      <c r="F4634" s="10">
        <f>SUMIFS($G$110:$G$116,$D$110:$D$116,INDEX($D$110:$D$116,7))</f>
        <v/>
      </c>
      <c r="G4634" s="7">
        <f>IF(ROUND(E4634+F4634-D4634,2)=0,"OK","ОШИБКА")</f>
        <v/>
      </c>
    </row>
    <row r="4635">
      <c r="A4635" s="15" t="inlineStr">
        <is>
          <t>Козлова</t>
        </is>
      </c>
      <c r="B4635" s="6" t="n">
        <v>17</v>
      </c>
      <c r="C4635" s="7">
        <f>INDEX(Нед_Раб,17)</f>
        <v/>
      </c>
      <c r="D4635" s="10">
        <f>SUM(G117:G123)</f>
        <v/>
      </c>
      <c r="E4635" s="10">
        <f>SUMIFS($G$117:$G$123,$D$117:$D$123,INDEX($D$117:$D$123,1))</f>
        <v/>
      </c>
      <c r="F4635" s="10">
        <f>SUMIFS($G$117:$G$123,$D$117:$D$123,INDEX($D$117:$D$123,7))</f>
        <v/>
      </c>
      <c r="G4635" s="7">
        <f>IF(ROUND(E4635+F4635-D4635,2)=0,"OK","ОШИБКА")</f>
        <v/>
      </c>
    </row>
    <row r="4636">
      <c r="A4636" s="15" t="inlineStr">
        <is>
          <t>Козлова</t>
        </is>
      </c>
      <c r="B4636" s="6" t="n">
        <v>18</v>
      </c>
      <c r="C4636" s="7">
        <f>INDEX(Нед_Раб,18)</f>
        <v/>
      </c>
      <c r="D4636" s="10">
        <f>SUM(G124:G130)</f>
        <v/>
      </c>
      <c r="E4636" s="10">
        <f>SUMIFS($G$124:$G$130,$D$124:$D$130,INDEX($D$124:$D$130,1))</f>
        <v/>
      </c>
      <c r="F4636" s="10">
        <f>SUMIFS($G$124:$G$130,$D$124:$D$130,INDEX($D$124:$D$130,7))</f>
        <v/>
      </c>
      <c r="G4636" s="7">
        <f>IF(ROUND(E4636+F4636-D4636,2)=0,"OK","ОШИБКА")</f>
        <v/>
      </c>
    </row>
    <row r="4637">
      <c r="A4637" s="15" t="inlineStr">
        <is>
          <t>Козлова</t>
        </is>
      </c>
      <c r="B4637" s="6" t="n">
        <v>19</v>
      </c>
      <c r="C4637" s="7">
        <f>INDEX(Нед_Раб,19)</f>
        <v/>
      </c>
      <c r="D4637" s="10">
        <f>SUM(G131:G137)</f>
        <v/>
      </c>
      <c r="E4637" s="10">
        <f>SUMIFS($G$131:$G$137,$D$131:$D$137,INDEX($D$131:$D$137,1))</f>
        <v/>
      </c>
      <c r="F4637" s="10">
        <f>SUMIFS($G$131:$G$137,$D$131:$D$137,INDEX($D$131:$D$137,7))</f>
        <v/>
      </c>
      <c r="G4637" s="7">
        <f>IF(ROUND(E4637+F4637-D4637,2)=0,"OK","ОШИБКА")</f>
        <v/>
      </c>
    </row>
    <row r="4638">
      <c r="A4638" s="15" t="inlineStr">
        <is>
          <t>Козлова</t>
        </is>
      </c>
      <c r="B4638" s="6" t="n">
        <v>20</v>
      </c>
      <c r="C4638" s="7">
        <f>INDEX(Нед_Раб,20)</f>
        <v/>
      </c>
      <c r="D4638" s="10">
        <f>SUM(G138:G144)</f>
        <v/>
      </c>
      <c r="E4638" s="10">
        <f>SUMIFS($G$138:$G$144,$D$138:$D$144,INDEX($D$138:$D$144,1))</f>
        <v/>
      </c>
      <c r="F4638" s="10">
        <f>SUMIFS($G$138:$G$144,$D$138:$D$144,INDEX($D$138:$D$144,7))</f>
        <v/>
      </c>
      <c r="G4638" s="7">
        <f>IF(ROUND(E4638+F4638-D4638,2)=0,"OK","ОШИБКА")</f>
        <v/>
      </c>
    </row>
    <row r="4639">
      <c r="A4639" s="15" t="inlineStr">
        <is>
          <t>Козлова</t>
        </is>
      </c>
      <c r="B4639" s="6" t="n">
        <v>21</v>
      </c>
      <c r="C4639" s="7">
        <f>INDEX(Нед_Раб,21)</f>
        <v/>
      </c>
      <c r="D4639" s="10">
        <f>SUM(G145:G151)</f>
        <v/>
      </c>
      <c r="E4639" s="10">
        <f>SUMIFS($G$145:$G$151,$D$145:$D$151,INDEX($D$145:$D$151,1))</f>
        <v/>
      </c>
      <c r="F4639" s="10">
        <f>SUMIFS($G$145:$G$151,$D$145:$D$151,INDEX($D$145:$D$151,7))</f>
        <v/>
      </c>
      <c r="G4639" s="7">
        <f>IF(ROUND(E4639+F4639-D4639,2)=0,"OK","ОШИБКА")</f>
        <v/>
      </c>
    </row>
    <row r="4640">
      <c r="A4640" s="15" t="inlineStr">
        <is>
          <t>Козлова</t>
        </is>
      </c>
      <c r="B4640" s="6" t="n">
        <v>22</v>
      </c>
      <c r="C4640" s="7">
        <f>INDEX(Нед_Раб,22)</f>
        <v/>
      </c>
      <c r="D4640" s="10">
        <f>SUM(G152:G158)</f>
        <v/>
      </c>
      <c r="E4640" s="10">
        <f>SUMIFS($G$152:$G$158,$D$152:$D$158,INDEX($D$152:$D$158,1))</f>
        <v/>
      </c>
      <c r="F4640" s="10">
        <f>SUMIFS($G$152:$G$158,$D$152:$D$158,INDEX($D$152:$D$158,7))</f>
        <v/>
      </c>
      <c r="G4640" s="7">
        <f>IF(ROUND(E4640+F4640-D4640,2)=0,"OK","ОШИБКА")</f>
        <v/>
      </c>
    </row>
    <row r="4641">
      <c r="A4641" s="15" t="inlineStr">
        <is>
          <t>Козлова</t>
        </is>
      </c>
      <c r="B4641" s="6" t="n">
        <v>23</v>
      </c>
      <c r="C4641" s="7">
        <f>INDEX(Нед_Раб,23)</f>
        <v/>
      </c>
      <c r="D4641" s="10">
        <f>SUM(G159:G165)</f>
        <v/>
      </c>
      <c r="E4641" s="10">
        <f>SUMIFS($G$159:$G$165,$D$159:$D$165,INDEX($D$159:$D$165,1))</f>
        <v/>
      </c>
      <c r="F4641" s="10">
        <f>SUMIFS($G$159:$G$165,$D$159:$D$165,INDEX($D$159:$D$165,7))</f>
        <v/>
      </c>
      <c r="G4641" s="7">
        <f>IF(ROUND(E4641+F4641-D4641,2)=0,"OK","ОШИБКА")</f>
        <v/>
      </c>
    </row>
    <row r="4642">
      <c r="A4642" s="15" t="inlineStr">
        <is>
          <t>Козлова</t>
        </is>
      </c>
      <c r="B4642" s="6" t="n">
        <v>24</v>
      </c>
      <c r="C4642" s="7">
        <f>INDEX(Нед_Раб,24)</f>
        <v/>
      </c>
      <c r="D4642" s="10">
        <f>SUM(G166:G172)</f>
        <v/>
      </c>
      <c r="E4642" s="10">
        <f>SUMIFS($G$166:$G$172,$D$166:$D$172,INDEX($D$166:$D$172,1))</f>
        <v/>
      </c>
      <c r="F4642" s="10">
        <f>SUMIFS($G$166:$G$172,$D$166:$D$172,INDEX($D$166:$D$172,7))</f>
        <v/>
      </c>
      <c r="G4642" s="7">
        <f>IF(ROUND(E4642+F4642-D4642,2)=0,"OK","ОШИБКА")</f>
        <v/>
      </c>
    </row>
    <row r="4643">
      <c r="A4643" s="15" t="inlineStr">
        <is>
          <t>Козлова</t>
        </is>
      </c>
      <c r="B4643" s="6" t="n">
        <v>25</v>
      </c>
      <c r="C4643" s="7">
        <f>INDEX(Нед_Раб,25)</f>
        <v/>
      </c>
      <c r="D4643" s="10">
        <f>SUM(G173:G179)</f>
        <v/>
      </c>
      <c r="E4643" s="10">
        <f>SUMIFS($G$173:$G$179,$D$173:$D$179,INDEX($D$173:$D$179,1))</f>
        <v/>
      </c>
      <c r="F4643" s="10">
        <f>SUMIFS($G$173:$G$179,$D$173:$D$179,INDEX($D$173:$D$179,7))</f>
        <v/>
      </c>
      <c r="G4643" s="7">
        <f>IF(ROUND(E4643+F4643-D4643,2)=0,"OK","ОШИБКА")</f>
        <v/>
      </c>
    </row>
    <row r="4644">
      <c r="A4644" s="15" t="inlineStr">
        <is>
          <t>Козлова</t>
        </is>
      </c>
      <c r="B4644" s="6" t="n">
        <v>26</v>
      </c>
      <c r="C4644" s="7">
        <f>INDEX(Нед_Раб,26)</f>
        <v/>
      </c>
      <c r="D4644" s="10">
        <f>SUM(G180:G186)</f>
        <v/>
      </c>
      <c r="E4644" s="10">
        <f>SUMIFS($G$180:$G$186,$D$180:$D$186,INDEX($D$180:$D$186,1))</f>
        <v/>
      </c>
      <c r="F4644" s="10">
        <f>SUMIFS($G$180:$G$186,$D$180:$D$186,INDEX($D$180:$D$186,7))</f>
        <v/>
      </c>
      <c r="G4644" s="7">
        <f>IF(ROUND(E4644+F4644-D4644,2)=0,"OK","ОШИБКА")</f>
        <v/>
      </c>
    </row>
    <row r="4645">
      <c r="A4645" s="15" t="inlineStr">
        <is>
          <t>Козлова</t>
        </is>
      </c>
      <c r="B4645" s="6" t="n">
        <v>27</v>
      </c>
      <c r="C4645" s="7">
        <f>INDEX(Нед_Раб,27)</f>
        <v/>
      </c>
      <c r="D4645" s="10">
        <f>SUM(G187:G193)</f>
        <v/>
      </c>
      <c r="E4645" s="10">
        <f>SUMIFS($G$187:$G$193,$D$187:$D$193,INDEX($D$187:$D$193,1))</f>
        <v/>
      </c>
      <c r="F4645" s="10">
        <f>SUMIFS($G$187:$G$193,$D$187:$D$193,INDEX($D$187:$D$193,7))</f>
        <v/>
      </c>
      <c r="G4645" s="7">
        <f>IF(ROUND(E4645+F4645-D4645,2)=0,"OK","ОШИБКА")</f>
        <v/>
      </c>
    </row>
    <row r="4646">
      <c r="A4646" s="15" t="inlineStr">
        <is>
          <t>Козлова</t>
        </is>
      </c>
      <c r="B4646" s="6" t="n">
        <v>28</v>
      </c>
      <c r="C4646" s="7">
        <f>INDEX(Нед_Раб,28)</f>
        <v/>
      </c>
      <c r="D4646" s="10">
        <f>SUM(G194:G200)</f>
        <v/>
      </c>
      <c r="E4646" s="10">
        <f>SUMIFS($G$194:$G$200,$D$194:$D$200,INDEX($D$194:$D$200,1))</f>
        <v/>
      </c>
      <c r="F4646" s="10">
        <f>SUMIFS($G$194:$G$200,$D$194:$D$200,INDEX($D$194:$D$200,7))</f>
        <v/>
      </c>
      <c r="G4646" s="7">
        <f>IF(ROUND(E4646+F4646-D4646,2)=0,"OK","ОШИБКА")</f>
        <v/>
      </c>
    </row>
    <row r="4647">
      <c r="A4647" s="15" t="inlineStr">
        <is>
          <t>Козлова</t>
        </is>
      </c>
      <c r="B4647" s="6" t="n">
        <v>29</v>
      </c>
      <c r="C4647" s="7">
        <f>INDEX(Нед_Раб,29)</f>
        <v/>
      </c>
      <c r="D4647" s="10">
        <f>SUM(G201:G207)</f>
        <v/>
      </c>
      <c r="E4647" s="10">
        <f>SUMIFS($G$201:$G$207,$D$201:$D$207,INDEX($D$201:$D$207,1))</f>
        <v/>
      </c>
      <c r="F4647" s="10">
        <f>SUMIFS($G$201:$G$207,$D$201:$D$207,INDEX($D$201:$D$207,7))</f>
        <v/>
      </c>
      <c r="G4647" s="7">
        <f>IF(ROUND(E4647+F4647-D4647,2)=0,"OK","ОШИБКА")</f>
        <v/>
      </c>
    </row>
    <row r="4648">
      <c r="A4648" s="15" t="inlineStr">
        <is>
          <t>Козлова</t>
        </is>
      </c>
      <c r="B4648" s="6" t="n">
        <v>30</v>
      </c>
      <c r="C4648" s="7">
        <f>INDEX(Нед_Раб,30)</f>
        <v/>
      </c>
      <c r="D4648" s="10">
        <f>SUM(G208:G214)</f>
        <v/>
      </c>
      <c r="E4648" s="10">
        <f>SUMIFS($G$208:$G$214,$D$208:$D$214,INDEX($D$208:$D$214,1))</f>
        <v/>
      </c>
      <c r="F4648" s="10">
        <f>SUMIFS($G$208:$G$214,$D$208:$D$214,INDEX($D$208:$D$214,7))</f>
        <v/>
      </c>
      <c r="G4648" s="7">
        <f>IF(ROUND(E4648+F4648-D4648,2)=0,"OK","ОШИБКА")</f>
        <v/>
      </c>
    </row>
    <row r="4649">
      <c r="A4649" s="15" t="inlineStr">
        <is>
          <t>Козлова</t>
        </is>
      </c>
      <c r="B4649" s="6" t="n">
        <v>31</v>
      </c>
      <c r="C4649" s="7">
        <f>INDEX(Нед_Раб,31)</f>
        <v/>
      </c>
      <c r="D4649" s="10">
        <f>SUM(G215:G221)</f>
        <v/>
      </c>
      <c r="E4649" s="10">
        <f>SUMIFS($G$215:$G$221,$D$215:$D$221,INDEX($D$215:$D$221,1))</f>
        <v/>
      </c>
      <c r="F4649" s="10">
        <f>SUMIFS($G$215:$G$221,$D$215:$D$221,INDEX($D$215:$D$221,7))</f>
        <v/>
      </c>
      <c r="G4649" s="7">
        <f>IF(ROUND(E4649+F4649-D4649,2)=0,"OK","ОШИБКА")</f>
        <v/>
      </c>
    </row>
    <row r="4650">
      <c r="A4650" s="15" t="inlineStr">
        <is>
          <t>Козлова</t>
        </is>
      </c>
      <c r="B4650" s="6" t="n">
        <v>32</v>
      </c>
      <c r="C4650" s="7">
        <f>INDEX(Нед_Раб,32)</f>
        <v/>
      </c>
      <c r="D4650" s="10">
        <f>SUM(G222:G228)</f>
        <v/>
      </c>
      <c r="E4650" s="10">
        <f>SUMIFS($G$222:$G$228,$D$222:$D$228,INDEX($D$222:$D$228,1))</f>
        <v/>
      </c>
      <c r="F4650" s="10">
        <f>SUMIFS($G$222:$G$228,$D$222:$D$228,INDEX($D$222:$D$228,7))</f>
        <v/>
      </c>
      <c r="G4650" s="7">
        <f>IF(ROUND(E4650+F4650-D4650,2)=0,"OK","ОШИБКА")</f>
        <v/>
      </c>
    </row>
    <row r="4651">
      <c r="A4651" s="15" t="inlineStr">
        <is>
          <t>Козлова</t>
        </is>
      </c>
      <c r="B4651" s="6" t="n">
        <v>33</v>
      </c>
      <c r="C4651" s="7">
        <f>INDEX(Нед_Раб,33)</f>
        <v/>
      </c>
      <c r="D4651" s="10">
        <f>SUM(G229:G235)</f>
        <v/>
      </c>
      <c r="E4651" s="10">
        <f>SUMIFS($G$229:$G$235,$D$229:$D$235,INDEX($D$229:$D$235,1))</f>
        <v/>
      </c>
      <c r="F4651" s="10">
        <f>SUMIFS($G$229:$G$235,$D$229:$D$235,INDEX($D$229:$D$235,7))</f>
        <v/>
      </c>
      <c r="G4651" s="7">
        <f>IF(ROUND(E4651+F4651-D4651,2)=0,"OK","ОШИБКА")</f>
        <v/>
      </c>
    </row>
    <row r="4652">
      <c r="A4652" s="15" t="inlineStr">
        <is>
          <t>Козлова</t>
        </is>
      </c>
      <c r="B4652" s="6" t="n">
        <v>34</v>
      </c>
      <c r="C4652" s="7">
        <f>INDEX(Нед_Раб,34)</f>
        <v/>
      </c>
      <c r="D4652" s="10">
        <f>SUM(G236:G242)</f>
        <v/>
      </c>
      <c r="E4652" s="10">
        <f>SUMIFS($G$236:$G$242,$D$236:$D$242,INDEX($D$236:$D$242,1))</f>
        <v/>
      </c>
      <c r="F4652" s="10">
        <f>SUMIFS($G$236:$G$242,$D$236:$D$242,INDEX($D$236:$D$242,7))</f>
        <v/>
      </c>
      <c r="G4652" s="7">
        <f>IF(ROUND(E4652+F4652-D4652,2)=0,"OK","ОШИБКА")</f>
        <v/>
      </c>
    </row>
    <row r="4653">
      <c r="A4653" s="15" t="inlineStr">
        <is>
          <t>Козлова</t>
        </is>
      </c>
      <c r="B4653" s="6" t="n">
        <v>35</v>
      </c>
      <c r="C4653" s="7">
        <f>INDEX(Нед_Раб,35)</f>
        <v/>
      </c>
      <c r="D4653" s="10">
        <f>SUM(G243:G249)</f>
        <v/>
      </c>
      <c r="E4653" s="10">
        <f>SUMIFS($G$243:$G$249,$D$243:$D$249,INDEX($D$243:$D$249,1))</f>
        <v/>
      </c>
      <c r="F4653" s="10">
        <f>SUMIFS($G$243:$G$249,$D$243:$D$249,INDEX($D$243:$D$249,7))</f>
        <v/>
      </c>
      <c r="G4653" s="7">
        <f>IF(ROUND(E4653+F4653-D4653,2)=0,"OK","ОШИБКА")</f>
        <v/>
      </c>
    </row>
    <row r="4654">
      <c r="A4654" s="15" t="inlineStr">
        <is>
          <t>Козлова</t>
        </is>
      </c>
      <c r="B4654" s="6" t="n">
        <v>36</v>
      </c>
      <c r="C4654" s="7">
        <f>INDEX(Нед_Раб,36)</f>
        <v/>
      </c>
      <c r="D4654" s="10">
        <f>SUM(G250:G256)</f>
        <v/>
      </c>
      <c r="E4654" s="10">
        <f>SUMIFS($G$250:$G$256,$D$250:$D$256,INDEX($D$250:$D$256,1))</f>
        <v/>
      </c>
      <c r="F4654" s="10">
        <f>SUMIFS($G$250:$G$256,$D$250:$D$256,INDEX($D$250:$D$256,7))</f>
        <v/>
      </c>
      <c r="G4654" s="7">
        <f>IF(ROUND(E4654+F4654-D4654,2)=0,"OK","ОШИБКА")</f>
        <v/>
      </c>
    </row>
    <row r="4655">
      <c r="A4655" s="15" t="inlineStr">
        <is>
          <t>Козлова</t>
        </is>
      </c>
      <c r="B4655" s="6" t="n">
        <v>37</v>
      </c>
      <c r="C4655" s="7">
        <f>INDEX(Нед_Раб,37)</f>
        <v/>
      </c>
      <c r="D4655" s="10">
        <f>SUM(G257:G263)</f>
        <v/>
      </c>
      <c r="E4655" s="10">
        <f>SUMIFS($G$257:$G$263,$D$257:$D$263,INDEX($D$257:$D$263,1))</f>
        <v/>
      </c>
      <c r="F4655" s="10">
        <f>SUMIFS($G$257:$G$263,$D$257:$D$263,INDEX($D$257:$D$263,7))</f>
        <v/>
      </c>
      <c r="G4655" s="7">
        <f>IF(ROUND(E4655+F4655-D4655,2)=0,"OK","ОШИБКА")</f>
        <v/>
      </c>
    </row>
    <row r="4656">
      <c r="A4656" s="15" t="inlineStr">
        <is>
          <t>Козлова</t>
        </is>
      </c>
      <c r="B4656" s="6" t="n">
        <v>38</v>
      </c>
      <c r="C4656" s="7">
        <f>INDEX(Нед_Раб,38)</f>
        <v/>
      </c>
      <c r="D4656" s="10">
        <f>SUM(G264:G270)</f>
        <v/>
      </c>
      <c r="E4656" s="10">
        <f>SUMIFS($G$264:$G$270,$D$264:$D$270,INDEX($D$264:$D$270,1))</f>
        <v/>
      </c>
      <c r="F4656" s="10">
        <f>SUMIFS($G$264:$G$270,$D$264:$D$270,INDEX($D$264:$D$270,7))</f>
        <v/>
      </c>
      <c r="G4656" s="7">
        <f>IF(ROUND(E4656+F4656-D4656,2)=0,"OK","ОШИБКА")</f>
        <v/>
      </c>
    </row>
    <row r="4657">
      <c r="A4657" s="15" t="inlineStr">
        <is>
          <t>Козлова</t>
        </is>
      </c>
      <c r="B4657" s="6" t="n">
        <v>39</v>
      </c>
      <c r="C4657" s="7">
        <f>INDEX(Нед_Раб,39)</f>
        <v/>
      </c>
      <c r="D4657" s="10">
        <f>SUM(G271:G277)</f>
        <v/>
      </c>
      <c r="E4657" s="10">
        <f>SUMIFS($G$271:$G$277,$D$271:$D$277,INDEX($D$271:$D$277,1))</f>
        <v/>
      </c>
      <c r="F4657" s="10">
        <f>SUMIFS($G$271:$G$277,$D$271:$D$277,INDEX($D$271:$D$277,7))</f>
        <v/>
      </c>
      <c r="G4657" s="7">
        <f>IF(ROUND(E4657+F4657-D4657,2)=0,"OK","ОШИБКА")</f>
        <v/>
      </c>
    </row>
    <row r="4658">
      <c r="A4658" s="15" t="inlineStr">
        <is>
          <t>Козлова</t>
        </is>
      </c>
      <c r="B4658" s="6" t="n">
        <v>40</v>
      </c>
      <c r="C4658" s="7">
        <f>INDEX(Нед_Раб,40)</f>
        <v/>
      </c>
      <c r="D4658" s="10">
        <f>SUM(G278:G284)</f>
        <v/>
      </c>
      <c r="E4658" s="10">
        <f>SUMIFS($G$278:$G$284,$D$278:$D$284,INDEX($D$278:$D$284,1))</f>
        <v/>
      </c>
      <c r="F4658" s="10">
        <f>SUMIFS($G$278:$G$284,$D$278:$D$284,INDEX($D$278:$D$284,7))</f>
        <v/>
      </c>
      <c r="G4658" s="7">
        <f>IF(ROUND(E4658+F4658-D4658,2)=0,"OK","ОШИБКА")</f>
        <v/>
      </c>
    </row>
    <row r="4659">
      <c r="A4659" s="15" t="inlineStr">
        <is>
          <t>Козлова</t>
        </is>
      </c>
      <c r="B4659" s="6" t="n">
        <v>41</v>
      </c>
      <c r="C4659" s="7">
        <f>INDEX(Нед_Раб,41)</f>
        <v/>
      </c>
      <c r="D4659" s="10">
        <f>SUM(G285:G291)</f>
        <v/>
      </c>
      <c r="E4659" s="10">
        <f>SUMIFS($G$285:$G$291,$D$285:$D$291,INDEX($D$285:$D$291,1))</f>
        <v/>
      </c>
      <c r="F4659" s="10">
        <f>SUMIFS($G$285:$G$291,$D$285:$D$291,INDEX($D$285:$D$291,7))</f>
        <v/>
      </c>
      <c r="G4659" s="7">
        <f>IF(ROUND(E4659+F4659-D4659,2)=0,"OK","ОШИБКА")</f>
        <v/>
      </c>
    </row>
    <row r="4660">
      <c r="A4660" s="15" t="inlineStr">
        <is>
          <t>Козлова</t>
        </is>
      </c>
      <c r="B4660" s="6" t="n">
        <v>42</v>
      </c>
      <c r="C4660" s="7">
        <f>INDEX(Нед_Раб,42)</f>
        <v/>
      </c>
      <c r="D4660" s="10">
        <f>SUM(G292:G298)</f>
        <v/>
      </c>
      <c r="E4660" s="10">
        <f>SUMIFS($G$292:$G$298,$D$292:$D$298,INDEX($D$292:$D$298,1))</f>
        <v/>
      </c>
      <c r="F4660" s="10">
        <f>SUMIFS($G$292:$G$298,$D$292:$D$298,INDEX($D$292:$D$298,7))</f>
        <v/>
      </c>
      <c r="G4660" s="7">
        <f>IF(ROUND(E4660+F4660-D4660,2)=0,"OK","ОШИБКА")</f>
        <v/>
      </c>
    </row>
    <row r="4661">
      <c r="A4661" s="15" t="inlineStr">
        <is>
          <t>Козлова</t>
        </is>
      </c>
      <c r="B4661" s="6" t="n">
        <v>43</v>
      </c>
      <c r="C4661" s="7">
        <f>INDEX(Нед_Раб,43)</f>
        <v/>
      </c>
      <c r="D4661" s="10">
        <f>SUM(G299:G305)</f>
        <v/>
      </c>
      <c r="E4661" s="10">
        <f>SUMIFS($G$299:$G$305,$D$299:$D$305,INDEX($D$299:$D$305,1))</f>
        <v/>
      </c>
      <c r="F4661" s="10">
        <f>SUMIFS($G$299:$G$305,$D$299:$D$305,INDEX($D$299:$D$305,7))</f>
        <v/>
      </c>
      <c r="G4661" s="7">
        <f>IF(ROUND(E4661+F4661-D4661,2)=0,"OK","ОШИБКА")</f>
        <v/>
      </c>
    </row>
    <row r="4662">
      <c r="A4662" s="15" t="inlineStr">
        <is>
          <t>Козлова</t>
        </is>
      </c>
      <c r="B4662" s="6" t="n">
        <v>44</v>
      </c>
      <c r="C4662" s="7">
        <f>INDEX(Нед_Раб,44)</f>
        <v/>
      </c>
      <c r="D4662" s="10">
        <f>SUM(G306:G312)</f>
        <v/>
      </c>
      <c r="E4662" s="10">
        <f>SUMIFS($G$306:$G$312,$D$306:$D$312,INDEX($D$306:$D$312,1))</f>
        <v/>
      </c>
      <c r="F4662" s="10">
        <f>SUMIFS($G$306:$G$312,$D$306:$D$312,INDEX($D$306:$D$312,7))</f>
        <v/>
      </c>
      <c r="G4662" s="7">
        <f>IF(ROUND(E4662+F4662-D4662,2)=0,"OK","ОШИБКА")</f>
        <v/>
      </c>
    </row>
    <row r="4663">
      <c r="A4663" s="15" t="inlineStr">
        <is>
          <t>Козлова</t>
        </is>
      </c>
      <c r="B4663" s="6" t="n">
        <v>45</v>
      </c>
      <c r="C4663" s="7">
        <f>INDEX(Нед_Раб,45)</f>
        <v/>
      </c>
      <c r="D4663" s="10">
        <f>SUM(G313:G319)</f>
        <v/>
      </c>
      <c r="E4663" s="10">
        <f>SUMIFS($G$313:$G$319,$D$313:$D$319,INDEX($D$313:$D$319,1))</f>
        <v/>
      </c>
      <c r="F4663" s="10">
        <f>SUMIFS($G$313:$G$319,$D$313:$D$319,INDEX($D$313:$D$319,7))</f>
        <v/>
      </c>
      <c r="G4663" s="7">
        <f>IF(ROUND(E4663+F4663-D4663,2)=0,"OK","ОШИБКА")</f>
        <v/>
      </c>
    </row>
    <row r="4664">
      <c r="A4664" s="15" t="inlineStr">
        <is>
          <t>Козлова</t>
        </is>
      </c>
      <c r="B4664" s="6" t="n">
        <v>46</v>
      </c>
      <c r="C4664" s="7">
        <f>INDEX(Нед_Раб,46)</f>
        <v/>
      </c>
      <c r="D4664" s="10">
        <f>SUM(G320:G326)</f>
        <v/>
      </c>
      <c r="E4664" s="10">
        <f>SUMIFS($G$320:$G$326,$D$320:$D$326,INDEX($D$320:$D$326,1))</f>
        <v/>
      </c>
      <c r="F4664" s="10">
        <f>SUMIFS($G$320:$G$326,$D$320:$D$326,INDEX($D$320:$D$326,7))</f>
        <v/>
      </c>
      <c r="G4664" s="7">
        <f>IF(ROUND(E4664+F4664-D4664,2)=0,"OK","ОШИБКА")</f>
        <v/>
      </c>
    </row>
    <row r="4665">
      <c r="A4665" s="15" t="inlineStr">
        <is>
          <t>Козлова</t>
        </is>
      </c>
      <c r="B4665" s="6" t="n">
        <v>47</v>
      </c>
      <c r="C4665" s="7">
        <f>INDEX(Нед_Раб,47)</f>
        <v/>
      </c>
      <c r="D4665" s="10">
        <f>SUM(G327:G333)</f>
        <v/>
      </c>
      <c r="E4665" s="10">
        <f>SUMIFS($G$327:$G$333,$D$327:$D$333,INDEX($D$327:$D$333,1))</f>
        <v/>
      </c>
      <c r="F4665" s="10">
        <f>SUMIFS($G$327:$G$333,$D$327:$D$333,INDEX($D$327:$D$333,7))</f>
        <v/>
      </c>
      <c r="G4665" s="7">
        <f>IF(ROUND(E4665+F4665-D4665,2)=0,"OK","ОШИБКА")</f>
        <v/>
      </c>
    </row>
    <row r="4666">
      <c r="A4666" s="15" t="inlineStr">
        <is>
          <t>Козлова</t>
        </is>
      </c>
      <c r="B4666" s="6" t="n">
        <v>48</v>
      </c>
      <c r="C4666" s="7">
        <f>INDEX(Нед_Раб,48)</f>
        <v/>
      </c>
      <c r="D4666" s="10">
        <f>SUM(G334:G340)</f>
        <v/>
      </c>
      <c r="E4666" s="10">
        <f>SUMIFS($G$334:$G$340,$D$334:$D$340,INDEX($D$334:$D$340,1))</f>
        <v/>
      </c>
      <c r="F4666" s="10">
        <f>SUMIFS($G$334:$G$340,$D$334:$D$340,INDEX($D$334:$D$340,7))</f>
        <v/>
      </c>
      <c r="G4666" s="7">
        <f>IF(ROUND(E4666+F4666-D4666,2)=0,"OK","ОШИБКА")</f>
        <v/>
      </c>
    </row>
    <row r="4667">
      <c r="A4667" s="15" t="inlineStr">
        <is>
          <t>Козлова</t>
        </is>
      </c>
      <c r="B4667" s="6" t="n">
        <v>49</v>
      </c>
      <c r="C4667" s="7">
        <f>INDEX(Нед_Раб,49)</f>
        <v/>
      </c>
      <c r="D4667" s="10">
        <f>SUM(G341:G347)</f>
        <v/>
      </c>
      <c r="E4667" s="10">
        <f>SUMIFS($G$341:$G$347,$D$341:$D$347,INDEX($D$341:$D$347,1))</f>
        <v/>
      </c>
      <c r="F4667" s="10">
        <f>SUMIFS($G$341:$G$347,$D$341:$D$347,INDEX($D$341:$D$347,7))</f>
        <v/>
      </c>
      <c r="G4667" s="7">
        <f>IF(ROUND(E4667+F4667-D4667,2)=0,"OK","ОШИБКА")</f>
        <v/>
      </c>
    </row>
    <row r="4668">
      <c r="A4668" s="15" t="inlineStr">
        <is>
          <t>Козлова</t>
        </is>
      </c>
      <c r="B4668" s="6" t="n">
        <v>50</v>
      </c>
      <c r="C4668" s="7">
        <f>INDEX(Нед_Раб,50)</f>
        <v/>
      </c>
      <c r="D4668" s="10">
        <f>SUM(G348:G354)</f>
        <v/>
      </c>
      <c r="E4668" s="10">
        <f>SUMIFS($G$348:$G$354,$D$348:$D$354,INDEX($D$348:$D$354,1))</f>
        <v/>
      </c>
      <c r="F4668" s="10">
        <f>SUMIFS($G$348:$G$354,$D$348:$D$354,INDEX($D$348:$D$354,7))</f>
        <v/>
      </c>
      <c r="G4668" s="7">
        <f>IF(ROUND(E4668+F4668-D4668,2)=0,"OK","ОШИБКА")</f>
        <v/>
      </c>
    </row>
    <row r="4669">
      <c r="A4669" s="15" t="inlineStr">
        <is>
          <t>Козлова</t>
        </is>
      </c>
      <c r="B4669" s="6" t="n">
        <v>51</v>
      </c>
      <c r="C4669" s="7">
        <f>INDEX(Нед_Раб,51)</f>
        <v/>
      </c>
      <c r="D4669" s="10">
        <f>SUM(G355:G361)</f>
        <v/>
      </c>
      <c r="E4669" s="10">
        <f>SUMIFS($G$355:$G$361,$D$355:$D$361,INDEX($D$355:$D$361,1))</f>
        <v/>
      </c>
      <c r="F4669" s="10">
        <f>SUMIFS($G$355:$G$361,$D$355:$D$361,INDEX($D$355:$D$361,7))</f>
        <v/>
      </c>
      <c r="G4669" s="7">
        <f>IF(ROUND(E4669+F4669-D4669,2)=0,"OK","ОШИБКА")</f>
        <v/>
      </c>
    </row>
    <row r="4670">
      <c r="A4670" s="15" t="inlineStr">
        <is>
          <t>Козлова</t>
        </is>
      </c>
      <c r="B4670" s="6" t="n">
        <v>52</v>
      </c>
      <c r="C4670" s="7">
        <f>INDEX(Нед_Раб,52)</f>
        <v/>
      </c>
      <c r="D4670" s="10">
        <f>SUM(G362:G368)</f>
        <v/>
      </c>
      <c r="E4670" s="10">
        <f>SUMIFS($G$362:$G$368,$D$362:$D$368,INDEX($D$362:$D$368,1))</f>
        <v/>
      </c>
      <c r="F4670" s="10">
        <f>SUMIFS($G$362:$G$368,$D$362:$D$368,INDEX($D$362:$D$368,7))</f>
        <v/>
      </c>
      <c r="G4670" s="7">
        <f>IF(ROUND(E4670+F4670-D4670,2)=0,"OK","ОШИБКА")</f>
        <v/>
      </c>
    </row>
    <row r="4671">
      <c r="A4671" s="15" t="inlineStr">
        <is>
          <t>Козлова</t>
        </is>
      </c>
      <c r="B4671" s="6" t="n">
        <v>53</v>
      </c>
      <c r="C4671" s="7">
        <f>INDEX(Нед_Раб,53)</f>
        <v/>
      </c>
      <c r="D4671" s="10">
        <f>SUM(G369:G375)</f>
        <v/>
      </c>
      <c r="E4671" s="10">
        <f>SUMIFS($G$369:$G$375,$D$369:$D$375,INDEX($D$369:$D$375,1))</f>
        <v/>
      </c>
      <c r="F4671" s="10">
        <f>SUMIFS($G$369:$G$375,$D$369:$D$375,INDEX($D$369:$D$375,7))</f>
        <v/>
      </c>
      <c r="G4671" s="7">
        <f>IF(ROUND(E4671+F4671-D4671,2)=0,"OK","ОШИБКА")</f>
        <v/>
      </c>
    </row>
    <row r="4672">
      <c r="A4672" s="15" t="inlineStr">
        <is>
          <t>Новиков</t>
        </is>
      </c>
      <c r="B4672" s="6" t="n">
        <v>1</v>
      </c>
      <c r="C4672" s="7">
        <f>INDEX(Нед_Раб,1)</f>
        <v/>
      </c>
      <c r="D4672" s="10">
        <f>SUM(G5:G11)</f>
        <v/>
      </c>
      <c r="E4672" s="10">
        <f>SUMIFS($G$5:$G$11,$D$5:$D$11,INDEX($D$5:$D$11,1))</f>
        <v/>
      </c>
      <c r="F4672" s="10">
        <f>SUMIFS($G$5:$G$11,$D$5:$D$11,INDEX($D$5:$D$11,7))</f>
        <v/>
      </c>
      <c r="G4672" s="7">
        <f>IF(ROUND(E4672+F4672-D4672,2)=0,"OK","ОШИБКА")</f>
        <v/>
      </c>
    </row>
    <row r="4673">
      <c r="A4673" s="15" t="inlineStr">
        <is>
          <t>Новиков</t>
        </is>
      </c>
      <c r="B4673" s="6" t="n">
        <v>2</v>
      </c>
      <c r="C4673" s="7">
        <f>INDEX(Нед_Раб,2)</f>
        <v/>
      </c>
      <c r="D4673" s="10">
        <f>SUM(G12:G18)</f>
        <v/>
      </c>
      <c r="E4673" s="10">
        <f>SUMIFS($G$12:$G$18,$D$12:$D$18,INDEX($D$12:$D$18,1))</f>
        <v/>
      </c>
      <c r="F4673" s="10">
        <f>SUMIFS($G$12:$G$18,$D$12:$D$18,INDEX($D$12:$D$18,7))</f>
        <v/>
      </c>
      <c r="G4673" s="7">
        <f>IF(ROUND(E4673+F4673-D4673,2)=0,"OK","ОШИБКА")</f>
        <v/>
      </c>
    </row>
    <row r="4674">
      <c r="A4674" s="15" t="inlineStr">
        <is>
          <t>Новиков</t>
        </is>
      </c>
      <c r="B4674" s="6" t="n">
        <v>3</v>
      </c>
      <c r="C4674" s="7">
        <f>INDEX(Нед_Раб,3)</f>
        <v/>
      </c>
      <c r="D4674" s="10">
        <f>SUM(G19:G25)</f>
        <v/>
      </c>
      <c r="E4674" s="10">
        <f>SUMIFS($G$19:$G$25,$D$19:$D$25,INDEX($D$19:$D$25,1))</f>
        <v/>
      </c>
      <c r="F4674" s="10">
        <f>SUMIFS($G$19:$G$25,$D$19:$D$25,INDEX($D$19:$D$25,7))</f>
        <v/>
      </c>
      <c r="G4674" s="7">
        <f>IF(ROUND(E4674+F4674-D4674,2)=0,"OK","ОШИБКА")</f>
        <v/>
      </c>
    </row>
    <row r="4675">
      <c r="A4675" s="15" t="inlineStr">
        <is>
          <t>Новиков</t>
        </is>
      </c>
      <c r="B4675" s="6" t="n">
        <v>4</v>
      </c>
      <c r="C4675" s="7">
        <f>INDEX(Нед_Раб,4)</f>
        <v/>
      </c>
      <c r="D4675" s="10">
        <f>SUM(G26:G32)</f>
        <v/>
      </c>
      <c r="E4675" s="10">
        <f>SUMIFS($G$26:$G$32,$D$26:$D$32,INDEX($D$26:$D$32,1))</f>
        <v/>
      </c>
      <c r="F4675" s="10">
        <f>SUMIFS($G$26:$G$32,$D$26:$D$32,INDEX($D$26:$D$32,7))</f>
        <v/>
      </c>
      <c r="G4675" s="7">
        <f>IF(ROUND(E4675+F4675-D4675,2)=0,"OK","ОШИБКА")</f>
        <v/>
      </c>
    </row>
    <row r="4676">
      <c r="A4676" s="15" t="inlineStr">
        <is>
          <t>Новиков</t>
        </is>
      </c>
      <c r="B4676" s="6" t="n">
        <v>5</v>
      </c>
      <c r="C4676" s="7">
        <f>INDEX(Нед_Раб,5)</f>
        <v/>
      </c>
      <c r="D4676" s="10">
        <f>SUM(G33:G39)</f>
        <v/>
      </c>
      <c r="E4676" s="10">
        <f>SUMIFS($G$33:$G$39,$D$33:$D$39,INDEX($D$33:$D$39,1))</f>
        <v/>
      </c>
      <c r="F4676" s="10">
        <f>SUMIFS($G$33:$G$39,$D$33:$D$39,INDEX($D$33:$D$39,7))</f>
        <v/>
      </c>
      <c r="G4676" s="7">
        <f>IF(ROUND(E4676+F4676-D4676,2)=0,"OK","ОШИБКА")</f>
        <v/>
      </c>
    </row>
    <row r="4677">
      <c r="A4677" s="15" t="inlineStr">
        <is>
          <t>Новиков</t>
        </is>
      </c>
      <c r="B4677" s="6" t="n">
        <v>6</v>
      </c>
      <c r="C4677" s="7">
        <f>INDEX(Нед_Раб,6)</f>
        <v/>
      </c>
      <c r="D4677" s="10">
        <f>SUM(G40:G46)</f>
        <v/>
      </c>
      <c r="E4677" s="10">
        <f>SUMIFS($G$40:$G$46,$D$40:$D$46,INDEX($D$40:$D$46,1))</f>
        <v/>
      </c>
      <c r="F4677" s="10">
        <f>SUMIFS($G$40:$G$46,$D$40:$D$46,INDEX($D$40:$D$46,7))</f>
        <v/>
      </c>
      <c r="G4677" s="7">
        <f>IF(ROUND(E4677+F4677-D4677,2)=0,"OK","ОШИБКА")</f>
        <v/>
      </c>
    </row>
    <row r="4678">
      <c r="A4678" s="15" t="inlineStr">
        <is>
          <t>Новиков</t>
        </is>
      </c>
      <c r="B4678" s="6" t="n">
        <v>7</v>
      </c>
      <c r="C4678" s="7">
        <f>INDEX(Нед_Раб,7)</f>
        <v/>
      </c>
      <c r="D4678" s="10">
        <f>SUM(G47:G53)</f>
        <v/>
      </c>
      <c r="E4678" s="10">
        <f>SUMIFS($G$47:$G$53,$D$47:$D$53,INDEX($D$47:$D$53,1))</f>
        <v/>
      </c>
      <c r="F4678" s="10">
        <f>SUMIFS($G$47:$G$53,$D$47:$D$53,INDEX($D$47:$D$53,7))</f>
        <v/>
      </c>
      <c r="G4678" s="7">
        <f>IF(ROUND(E4678+F4678-D4678,2)=0,"OK","ОШИБКА")</f>
        <v/>
      </c>
    </row>
    <row r="4679">
      <c r="A4679" s="15" t="inlineStr">
        <is>
          <t>Новиков</t>
        </is>
      </c>
      <c r="B4679" s="6" t="n">
        <v>8</v>
      </c>
      <c r="C4679" s="7">
        <f>INDEX(Нед_Раб,8)</f>
        <v/>
      </c>
      <c r="D4679" s="10">
        <f>SUM(G54:G60)</f>
        <v/>
      </c>
      <c r="E4679" s="10">
        <f>SUMIFS($G$54:$G$60,$D$54:$D$60,INDEX($D$54:$D$60,1))</f>
        <v/>
      </c>
      <c r="F4679" s="10">
        <f>SUMIFS($G$54:$G$60,$D$54:$D$60,INDEX($D$54:$D$60,7))</f>
        <v/>
      </c>
      <c r="G4679" s="7">
        <f>IF(ROUND(E4679+F4679-D4679,2)=0,"OK","ОШИБКА")</f>
        <v/>
      </c>
    </row>
    <row r="4680">
      <c r="A4680" s="15" t="inlineStr">
        <is>
          <t>Новиков</t>
        </is>
      </c>
      <c r="B4680" s="6" t="n">
        <v>9</v>
      </c>
      <c r="C4680" s="7">
        <f>INDEX(Нед_Раб,9)</f>
        <v/>
      </c>
      <c r="D4680" s="10">
        <f>SUM(G61:G67)</f>
        <v/>
      </c>
      <c r="E4680" s="10">
        <f>SUMIFS($G$61:$G$67,$D$61:$D$67,INDEX($D$61:$D$67,1))</f>
        <v/>
      </c>
      <c r="F4680" s="10">
        <f>SUMIFS($G$61:$G$67,$D$61:$D$67,INDEX($D$61:$D$67,7))</f>
        <v/>
      </c>
      <c r="G4680" s="7">
        <f>IF(ROUND(E4680+F4680-D4680,2)=0,"OK","ОШИБКА")</f>
        <v/>
      </c>
    </row>
    <row r="4681">
      <c r="A4681" s="15" t="inlineStr">
        <is>
          <t>Новиков</t>
        </is>
      </c>
      <c r="B4681" s="6" t="n">
        <v>10</v>
      </c>
      <c r="C4681" s="7">
        <f>INDEX(Нед_Раб,10)</f>
        <v/>
      </c>
      <c r="D4681" s="10">
        <f>SUM(G68:G74)</f>
        <v/>
      </c>
      <c r="E4681" s="10">
        <f>SUMIFS($G$68:$G$74,$D$68:$D$74,INDEX($D$68:$D$74,1))</f>
        <v/>
      </c>
      <c r="F4681" s="10">
        <f>SUMIFS($G$68:$G$74,$D$68:$D$74,INDEX($D$68:$D$74,7))</f>
        <v/>
      </c>
      <c r="G4681" s="7">
        <f>IF(ROUND(E4681+F4681-D4681,2)=0,"OK","ОШИБКА")</f>
        <v/>
      </c>
    </row>
    <row r="4682">
      <c r="A4682" s="15" t="inlineStr">
        <is>
          <t>Новиков</t>
        </is>
      </c>
      <c r="B4682" s="6" t="n">
        <v>11</v>
      </c>
      <c r="C4682" s="7">
        <f>INDEX(Нед_Раб,11)</f>
        <v/>
      </c>
      <c r="D4682" s="10">
        <f>SUM(G75:G81)</f>
        <v/>
      </c>
      <c r="E4682" s="10">
        <f>SUMIFS($G$75:$G$81,$D$75:$D$81,INDEX($D$75:$D$81,1))</f>
        <v/>
      </c>
      <c r="F4682" s="10">
        <f>SUMIFS($G$75:$G$81,$D$75:$D$81,INDEX($D$75:$D$81,7))</f>
        <v/>
      </c>
      <c r="G4682" s="7">
        <f>IF(ROUND(E4682+F4682-D4682,2)=0,"OK","ОШИБКА")</f>
        <v/>
      </c>
    </row>
    <row r="4683">
      <c r="A4683" s="15" t="inlineStr">
        <is>
          <t>Новиков</t>
        </is>
      </c>
      <c r="B4683" s="6" t="n">
        <v>12</v>
      </c>
      <c r="C4683" s="7">
        <f>INDEX(Нед_Раб,12)</f>
        <v/>
      </c>
      <c r="D4683" s="10">
        <f>SUM(G82:G88)</f>
        <v/>
      </c>
      <c r="E4683" s="10">
        <f>SUMIFS($G$82:$G$88,$D$82:$D$88,INDEX($D$82:$D$88,1))</f>
        <v/>
      </c>
      <c r="F4683" s="10">
        <f>SUMIFS($G$82:$G$88,$D$82:$D$88,INDEX($D$82:$D$88,7))</f>
        <v/>
      </c>
      <c r="G4683" s="7">
        <f>IF(ROUND(E4683+F4683-D4683,2)=0,"OK","ОШИБКА")</f>
        <v/>
      </c>
    </row>
    <row r="4684">
      <c r="A4684" s="15" t="inlineStr">
        <is>
          <t>Новиков</t>
        </is>
      </c>
      <c r="B4684" s="6" t="n">
        <v>13</v>
      </c>
      <c r="C4684" s="7">
        <f>INDEX(Нед_Раб,13)</f>
        <v/>
      </c>
      <c r="D4684" s="10">
        <f>SUM(G89:G95)</f>
        <v/>
      </c>
      <c r="E4684" s="10">
        <f>SUMIFS($G$89:$G$95,$D$89:$D$95,INDEX($D$89:$D$95,1))</f>
        <v/>
      </c>
      <c r="F4684" s="10">
        <f>SUMIFS($G$89:$G$95,$D$89:$D$95,INDEX($D$89:$D$95,7))</f>
        <v/>
      </c>
      <c r="G4684" s="7">
        <f>IF(ROUND(E4684+F4684-D4684,2)=0,"OK","ОШИБКА")</f>
        <v/>
      </c>
    </row>
    <row r="4685">
      <c r="A4685" s="15" t="inlineStr">
        <is>
          <t>Новиков</t>
        </is>
      </c>
      <c r="B4685" s="6" t="n">
        <v>14</v>
      </c>
      <c r="C4685" s="7">
        <f>INDEX(Нед_Раб,14)</f>
        <v/>
      </c>
      <c r="D4685" s="10">
        <f>SUM(G96:G102)</f>
        <v/>
      </c>
      <c r="E4685" s="10">
        <f>SUMIFS($G$96:$G$102,$D$96:$D$102,INDEX($D$96:$D$102,1))</f>
        <v/>
      </c>
      <c r="F4685" s="10">
        <f>SUMIFS($G$96:$G$102,$D$96:$D$102,INDEX($D$96:$D$102,7))</f>
        <v/>
      </c>
      <c r="G4685" s="7">
        <f>IF(ROUND(E4685+F4685-D4685,2)=0,"OK","ОШИБКА")</f>
        <v/>
      </c>
    </row>
    <row r="4686">
      <c r="A4686" s="15" t="inlineStr">
        <is>
          <t>Новиков</t>
        </is>
      </c>
      <c r="B4686" s="6" t="n">
        <v>15</v>
      </c>
      <c r="C4686" s="7">
        <f>INDEX(Нед_Раб,15)</f>
        <v/>
      </c>
      <c r="D4686" s="10">
        <f>SUM(G103:G109)</f>
        <v/>
      </c>
      <c r="E4686" s="10">
        <f>SUMIFS($G$103:$G$109,$D$103:$D$109,INDEX($D$103:$D$109,1))</f>
        <v/>
      </c>
      <c r="F4686" s="10">
        <f>SUMIFS($G$103:$G$109,$D$103:$D$109,INDEX($D$103:$D$109,7))</f>
        <v/>
      </c>
      <c r="G4686" s="7">
        <f>IF(ROUND(E4686+F4686-D4686,2)=0,"OK","ОШИБКА")</f>
        <v/>
      </c>
    </row>
    <row r="4687">
      <c r="A4687" s="15" t="inlineStr">
        <is>
          <t>Новиков</t>
        </is>
      </c>
      <c r="B4687" s="6" t="n">
        <v>16</v>
      </c>
      <c r="C4687" s="7">
        <f>INDEX(Нед_Раб,16)</f>
        <v/>
      </c>
      <c r="D4687" s="10">
        <f>SUM(G110:G116)</f>
        <v/>
      </c>
      <c r="E4687" s="10">
        <f>SUMIFS($G$110:$G$116,$D$110:$D$116,INDEX($D$110:$D$116,1))</f>
        <v/>
      </c>
      <c r="F4687" s="10">
        <f>SUMIFS($G$110:$G$116,$D$110:$D$116,INDEX($D$110:$D$116,7))</f>
        <v/>
      </c>
      <c r="G4687" s="7">
        <f>IF(ROUND(E4687+F4687-D4687,2)=0,"OK","ОШИБКА")</f>
        <v/>
      </c>
    </row>
    <row r="4688">
      <c r="A4688" s="15" t="inlineStr">
        <is>
          <t>Новиков</t>
        </is>
      </c>
      <c r="B4688" s="6" t="n">
        <v>17</v>
      </c>
      <c r="C4688" s="7">
        <f>INDEX(Нед_Раб,17)</f>
        <v/>
      </c>
      <c r="D4688" s="10">
        <f>SUM(G117:G123)</f>
        <v/>
      </c>
      <c r="E4688" s="10">
        <f>SUMIFS($G$117:$G$123,$D$117:$D$123,INDEX($D$117:$D$123,1))</f>
        <v/>
      </c>
      <c r="F4688" s="10">
        <f>SUMIFS($G$117:$G$123,$D$117:$D$123,INDEX($D$117:$D$123,7))</f>
        <v/>
      </c>
      <c r="G4688" s="7">
        <f>IF(ROUND(E4688+F4688-D4688,2)=0,"OK","ОШИБКА")</f>
        <v/>
      </c>
    </row>
    <row r="4689">
      <c r="A4689" s="15" t="inlineStr">
        <is>
          <t>Новиков</t>
        </is>
      </c>
      <c r="B4689" s="6" t="n">
        <v>18</v>
      </c>
      <c r="C4689" s="7">
        <f>INDEX(Нед_Раб,18)</f>
        <v/>
      </c>
      <c r="D4689" s="10">
        <f>SUM(G124:G130)</f>
        <v/>
      </c>
      <c r="E4689" s="10">
        <f>SUMIFS($G$124:$G$130,$D$124:$D$130,INDEX($D$124:$D$130,1))</f>
        <v/>
      </c>
      <c r="F4689" s="10">
        <f>SUMIFS($G$124:$G$130,$D$124:$D$130,INDEX($D$124:$D$130,7))</f>
        <v/>
      </c>
      <c r="G4689" s="7">
        <f>IF(ROUND(E4689+F4689-D4689,2)=0,"OK","ОШИБКА")</f>
        <v/>
      </c>
    </row>
    <row r="4690">
      <c r="A4690" s="15" t="inlineStr">
        <is>
          <t>Новиков</t>
        </is>
      </c>
      <c r="B4690" s="6" t="n">
        <v>19</v>
      </c>
      <c r="C4690" s="7">
        <f>INDEX(Нед_Раб,19)</f>
        <v/>
      </c>
      <c r="D4690" s="10">
        <f>SUM(G131:G137)</f>
        <v/>
      </c>
      <c r="E4690" s="10">
        <f>SUMIFS($G$131:$G$137,$D$131:$D$137,INDEX($D$131:$D$137,1))</f>
        <v/>
      </c>
      <c r="F4690" s="10">
        <f>SUMIFS($G$131:$G$137,$D$131:$D$137,INDEX($D$131:$D$137,7))</f>
        <v/>
      </c>
      <c r="G4690" s="7">
        <f>IF(ROUND(E4690+F4690-D4690,2)=0,"OK","ОШИБКА")</f>
        <v/>
      </c>
    </row>
    <row r="4691">
      <c r="A4691" s="15" t="inlineStr">
        <is>
          <t>Новиков</t>
        </is>
      </c>
      <c r="B4691" s="6" t="n">
        <v>20</v>
      </c>
      <c r="C4691" s="7">
        <f>INDEX(Нед_Раб,20)</f>
        <v/>
      </c>
      <c r="D4691" s="10">
        <f>SUM(G138:G144)</f>
        <v/>
      </c>
      <c r="E4691" s="10">
        <f>SUMIFS($G$138:$G$144,$D$138:$D$144,INDEX($D$138:$D$144,1))</f>
        <v/>
      </c>
      <c r="F4691" s="10">
        <f>SUMIFS($G$138:$G$144,$D$138:$D$144,INDEX($D$138:$D$144,7))</f>
        <v/>
      </c>
      <c r="G4691" s="7">
        <f>IF(ROUND(E4691+F4691-D4691,2)=0,"OK","ОШИБКА")</f>
        <v/>
      </c>
    </row>
    <row r="4692">
      <c r="A4692" s="15" t="inlineStr">
        <is>
          <t>Новиков</t>
        </is>
      </c>
      <c r="B4692" s="6" t="n">
        <v>21</v>
      </c>
      <c r="C4692" s="7">
        <f>INDEX(Нед_Раб,21)</f>
        <v/>
      </c>
      <c r="D4692" s="10">
        <f>SUM(G145:G151)</f>
        <v/>
      </c>
      <c r="E4692" s="10">
        <f>SUMIFS($G$145:$G$151,$D$145:$D$151,INDEX($D$145:$D$151,1))</f>
        <v/>
      </c>
      <c r="F4692" s="10">
        <f>SUMIFS($G$145:$G$151,$D$145:$D$151,INDEX($D$145:$D$151,7))</f>
        <v/>
      </c>
      <c r="G4692" s="7">
        <f>IF(ROUND(E4692+F4692-D4692,2)=0,"OK","ОШИБКА")</f>
        <v/>
      </c>
    </row>
    <row r="4693">
      <c r="A4693" s="15" t="inlineStr">
        <is>
          <t>Новиков</t>
        </is>
      </c>
      <c r="B4693" s="6" t="n">
        <v>22</v>
      </c>
      <c r="C4693" s="7">
        <f>INDEX(Нед_Раб,22)</f>
        <v/>
      </c>
      <c r="D4693" s="10">
        <f>SUM(G152:G158)</f>
        <v/>
      </c>
      <c r="E4693" s="10">
        <f>SUMIFS($G$152:$G$158,$D$152:$D$158,INDEX($D$152:$D$158,1))</f>
        <v/>
      </c>
      <c r="F4693" s="10">
        <f>SUMIFS($G$152:$G$158,$D$152:$D$158,INDEX($D$152:$D$158,7))</f>
        <v/>
      </c>
      <c r="G4693" s="7">
        <f>IF(ROUND(E4693+F4693-D4693,2)=0,"OK","ОШИБКА")</f>
        <v/>
      </c>
    </row>
    <row r="4694">
      <c r="A4694" s="15" t="inlineStr">
        <is>
          <t>Новиков</t>
        </is>
      </c>
      <c r="B4694" s="6" t="n">
        <v>23</v>
      </c>
      <c r="C4694" s="7">
        <f>INDEX(Нед_Раб,23)</f>
        <v/>
      </c>
      <c r="D4694" s="10">
        <f>SUM(G159:G165)</f>
        <v/>
      </c>
      <c r="E4694" s="10">
        <f>SUMIFS($G$159:$G$165,$D$159:$D$165,INDEX($D$159:$D$165,1))</f>
        <v/>
      </c>
      <c r="F4694" s="10">
        <f>SUMIFS($G$159:$G$165,$D$159:$D$165,INDEX($D$159:$D$165,7))</f>
        <v/>
      </c>
      <c r="G4694" s="7">
        <f>IF(ROUND(E4694+F4694-D4694,2)=0,"OK","ОШИБКА")</f>
        <v/>
      </c>
    </row>
    <row r="4695">
      <c r="A4695" s="15" t="inlineStr">
        <is>
          <t>Новиков</t>
        </is>
      </c>
      <c r="B4695" s="6" t="n">
        <v>24</v>
      </c>
      <c r="C4695" s="7">
        <f>INDEX(Нед_Раб,24)</f>
        <v/>
      </c>
      <c r="D4695" s="10">
        <f>SUM(G166:G172)</f>
        <v/>
      </c>
      <c r="E4695" s="10">
        <f>SUMIFS($G$166:$G$172,$D$166:$D$172,INDEX($D$166:$D$172,1))</f>
        <v/>
      </c>
      <c r="F4695" s="10">
        <f>SUMIFS($G$166:$G$172,$D$166:$D$172,INDEX($D$166:$D$172,7))</f>
        <v/>
      </c>
      <c r="G4695" s="7">
        <f>IF(ROUND(E4695+F4695-D4695,2)=0,"OK","ОШИБКА")</f>
        <v/>
      </c>
    </row>
    <row r="4696">
      <c r="A4696" s="15" t="inlineStr">
        <is>
          <t>Новиков</t>
        </is>
      </c>
      <c r="B4696" s="6" t="n">
        <v>25</v>
      </c>
      <c r="C4696" s="7">
        <f>INDEX(Нед_Раб,25)</f>
        <v/>
      </c>
      <c r="D4696" s="10">
        <f>SUM(G173:G179)</f>
        <v/>
      </c>
      <c r="E4696" s="10">
        <f>SUMIFS($G$173:$G$179,$D$173:$D$179,INDEX($D$173:$D$179,1))</f>
        <v/>
      </c>
      <c r="F4696" s="10">
        <f>SUMIFS($G$173:$G$179,$D$173:$D$179,INDEX($D$173:$D$179,7))</f>
        <v/>
      </c>
      <c r="G4696" s="7">
        <f>IF(ROUND(E4696+F4696-D4696,2)=0,"OK","ОШИБКА")</f>
        <v/>
      </c>
    </row>
    <row r="4697">
      <c r="A4697" s="15" t="inlineStr">
        <is>
          <t>Новиков</t>
        </is>
      </c>
      <c r="B4697" s="6" t="n">
        <v>26</v>
      </c>
      <c r="C4697" s="7">
        <f>INDEX(Нед_Раб,26)</f>
        <v/>
      </c>
      <c r="D4697" s="10">
        <f>SUM(G180:G186)</f>
        <v/>
      </c>
      <c r="E4697" s="10">
        <f>SUMIFS($G$180:$G$186,$D$180:$D$186,INDEX($D$180:$D$186,1))</f>
        <v/>
      </c>
      <c r="F4697" s="10">
        <f>SUMIFS($G$180:$G$186,$D$180:$D$186,INDEX($D$180:$D$186,7))</f>
        <v/>
      </c>
      <c r="G4697" s="7">
        <f>IF(ROUND(E4697+F4697-D4697,2)=0,"OK","ОШИБКА")</f>
        <v/>
      </c>
    </row>
    <row r="4698">
      <c r="A4698" s="15" t="inlineStr">
        <is>
          <t>Новиков</t>
        </is>
      </c>
      <c r="B4698" s="6" t="n">
        <v>27</v>
      </c>
      <c r="C4698" s="7">
        <f>INDEX(Нед_Раб,27)</f>
        <v/>
      </c>
      <c r="D4698" s="10">
        <f>SUM(G187:G193)</f>
        <v/>
      </c>
      <c r="E4698" s="10">
        <f>SUMIFS($G$187:$G$193,$D$187:$D$193,INDEX($D$187:$D$193,1))</f>
        <v/>
      </c>
      <c r="F4698" s="10">
        <f>SUMIFS($G$187:$G$193,$D$187:$D$193,INDEX($D$187:$D$193,7))</f>
        <v/>
      </c>
      <c r="G4698" s="7">
        <f>IF(ROUND(E4698+F4698-D4698,2)=0,"OK","ОШИБКА")</f>
        <v/>
      </c>
    </row>
    <row r="4699">
      <c r="A4699" s="15" t="inlineStr">
        <is>
          <t>Новиков</t>
        </is>
      </c>
      <c r="B4699" s="6" t="n">
        <v>28</v>
      </c>
      <c r="C4699" s="7">
        <f>INDEX(Нед_Раб,28)</f>
        <v/>
      </c>
      <c r="D4699" s="10">
        <f>SUM(G194:G200)</f>
        <v/>
      </c>
      <c r="E4699" s="10">
        <f>SUMIFS($G$194:$G$200,$D$194:$D$200,INDEX($D$194:$D$200,1))</f>
        <v/>
      </c>
      <c r="F4699" s="10">
        <f>SUMIFS($G$194:$G$200,$D$194:$D$200,INDEX($D$194:$D$200,7))</f>
        <v/>
      </c>
      <c r="G4699" s="7">
        <f>IF(ROUND(E4699+F4699-D4699,2)=0,"OK","ОШИБКА")</f>
        <v/>
      </c>
    </row>
    <row r="4700">
      <c r="A4700" s="15" t="inlineStr">
        <is>
          <t>Новиков</t>
        </is>
      </c>
      <c r="B4700" s="6" t="n">
        <v>29</v>
      </c>
      <c r="C4700" s="7">
        <f>INDEX(Нед_Раб,29)</f>
        <v/>
      </c>
      <c r="D4700" s="10">
        <f>SUM(G201:G207)</f>
        <v/>
      </c>
      <c r="E4700" s="10">
        <f>SUMIFS($G$201:$G$207,$D$201:$D$207,INDEX($D$201:$D$207,1))</f>
        <v/>
      </c>
      <c r="F4700" s="10">
        <f>SUMIFS($G$201:$G$207,$D$201:$D$207,INDEX($D$201:$D$207,7))</f>
        <v/>
      </c>
      <c r="G4700" s="7">
        <f>IF(ROUND(E4700+F4700-D4700,2)=0,"OK","ОШИБКА")</f>
        <v/>
      </c>
    </row>
    <row r="4701">
      <c r="A4701" s="15" t="inlineStr">
        <is>
          <t>Новиков</t>
        </is>
      </c>
      <c r="B4701" s="6" t="n">
        <v>30</v>
      </c>
      <c r="C4701" s="7">
        <f>INDEX(Нед_Раб,30)</f>
        <v/>
      </c>
      <c r="D4701" s="10">
        <f>SUM(G208:G214)</f>
        <v/>
      </c>
      <c r="E4701" s="10">
        <f>SUMIFS($G$208:$G$214,$D$208:$D$214,INDEX($D$208:$D$214,1))</f>
        <v/>
      </c>
      <c r="F4701" s="10">
        <f>SUMIFS($G$208:$G$214,$D$208:$D$214,INDEX($D$208:$D$214,7))</f>
        <v/>
      </c>
      <c r="G4701" s="7">
        <f>IF(ROUND(E4701+F4701-D4701,2)=0,"OK","ОШИБКА")</f>
        <v/>
      </c>
    </row>
    <row r="4702">
      <c r="A4702" s="15" t="inlineStr">
        <is>
          <t>Новиков</t>
        </is>
      </c>
      <c r="B4702" s="6" t="n">
        <v>31</v>
      </c>
      <c r="C4702" s="7">
        <f>INDEX(Нед_Раб,31)</f>
        <v/>
      </c>
      <c r="D4702" s="10">
        <f>SUM(G215:G221)</f>
        <v/>
      </c>
      <c r="E4702" s="10">
        <f>SUMIFS($G$215:$G$221,$D$215:$D$221,INDEX($D$215:$D$221,1))</f>
        <v/>
      </c>
      <c r="F4702" s="10">
        <f>SUMIFS($G$215:$G$221,$D$215:$D$221,INDEX($D$215:$D$221,7))</f>
        <v/>
      </c>
      <c r="G4702" s="7">
        <f>IF(ROUND(E4702+F4702-D4702,2)=0,"OK","ОШИБКА")</f>
        <v/>
      </c>
    </row>
    <row r="4703">
      <c r="A4703" s="15" t="inlineStr">
        <is>
          <t>Новиков</t>
        </is>
      </c>
      <c r="B4703" s="6" t="n">
        <v>32</v>
      </c>
      <c r="C4703" s="7">
        <f>INDEX(Нед_Раб,32)</f>
        <v/>
      </c>
      <c r="D4703" s="10">
        <f>SUM(G222:G228)</f>
        <v/>
      </c>
      <c r="E4703" s="10">
        <f>SUMIFS($G$222:$G$228,$D$222:$D$228,INDEX($D$222:$D$228,1))</f>
        <v/>
      </c>
      <c r="F4703" s="10">
        <f>SUMIFS($G$222:$G$228,$D$222:$D$228,INDEX($D$222:$D$228,7))</f>
        <v/>
      </c>
      <c r="G4703" s="7">
        <f>IF(ROUND(E4703+F4703-D4703,2)=0,"OK","ОШИБКА")</f>
        <v/>
      </c>
    </row>
    <row r="4704">
      <c r="A4704" s="15" t="inlineStr">
        <is>
          <t>Новиков</t>
        </is>
      </c>
      <c r="B4704" s="6" t="n">
        <v>33</v>
      </c>
      <c r="C4704" s="7">
        <f>INDEX(Нед_Раб,33)</f>
        <v/>
      </c>
      <c r="D4704" s="10">
        <f>SUM(G229:G235)</f>
        <v/>
      </c>
      <c r="E4704" s="10">
        <f>SUMIFS($G$229:$G$235,$D$229:$D$235,INDEX($D$229:$D$235,1))</f>
        <v/>
      </c>
      <c r="F4704" s="10">
        <f>SUMIFS($G$229:$G$235,$D$229:$D$235,INDEX($D$229:$D$235,7))</f>
        <v/>
      </c>
      <c r="G4704" s="7">
        <f>IF(ROUND(E4704+F4704-D4704,2)=0,"OK","ОШИБКА")</f>
        <v/>
      </c>
    </row>
    <row r="4705">
      <c r="A4705" s="15" t="inlineStr">
        <is>
          <t>Новиков</t>
        </is>
      </c>
      <c r="B4705" s="6" t="n">
        <v>34</v>
      </c>
      <c r="C4705" s="7">
        <f>INDEX(Нед_Раб,34)</f>
        <v/>
      </c>
      <c r="D4705" s="10">
        <f>SUM(G236:G242)</f>
        <v/>
      </c>
      <c r="E4705" s="10">
        <f>SUMIFS($G$236:$G$242,$D$236:$D$242,INDEX($D$236:$D$242,1))</f>
        <v/>
      </c>
      <c r="F4705" s="10">
        <f>SUMIFS($G$236:$G$242,$D$236:$D$242,INDEX($D$236:$D$242,7))</f>
        <v/>
      </c>
      <c r="G4705" s="7">
        <f>IF(ROUND(E4705+F4705-D4705,2)=0,"OK","ОШИБКА")</f>
        <v/>
      </c>
    </row>
    <row r="4706">
      <c r="A4706" s="15" t="inlineStr">
        <is>
          <t>Новиков</t>
        </is>
      </c>
      <c r="B4706" s="6" t="n">
        <v>35</v>
      </c>
      <c r="C4706" s="7">
        <f>INDEX(Нед_Раб,35)</f>
        <v/>
      </c>
      <c r="D4706" s="10">
        <f>SUM(G243:G249)</f>
        <v/>
      </c>
      <c r="E4706" s="10">
        <f>SUMIFS($G$243:$G$249,$D$243:$D$249,INDEX($D$243:$D$249,1))</f>
        <v/>
      </c>
      <c r="F4706" s="10">
        <f>SUMIFS($G$243:$G$249,$D$243:$D$249,INDEX($D$243:$D$249,7))</f>
        <v/>
      </c>
      <c r="G4706" s="7">
        <f>IF(ROUND(E4706+F4706-D4706,2)=0,"OK","ОШИБКА")</f>
        <v/>
      </c>
    </row>
    <row r="4707">
      <c r="A4707" s="15" t="inlineStr">
        <is>
          <t>Новиков</t>
        </is>
      </c>
      <c r="B4707" s="6" t="n">
        <v>36</v>
      </c>
      <c r="C4707" s="7">
        <f>INDEX(Нед_Раб,36)</f>
        <v/>
      </c>
      <c r="D4707" s="10">
        <f>SUM(G250:G256)</f>
        <v/>
      </c>
      <c r="E4707" s="10">
        <f>SUMIFS($G$250:$G$256,$D$250:$D$256,INDEX($D$250:$D$256,1))</f>
        <v/>
      </c>
      <c r="F4707" s="10">
        <f>SUMIFS($G$250:$G$256,$D$250:$D$256,INDEX($D$250:$D$256,7))</f>
        <v/>
      </c>
      <c r="G4707" s="7">
        <f>IF(ROUND(E4707+F4707-D4707,2)=0,"OK","ОШИБКА")</f>
        <v/>
      </c>
    </row>
    <row r="4708">
      <c r="A4708" s="15" t="inlineStr">
        <is>
          <t>Новиков</t>
        </is>
      </c>
      <c r="B4708" s="6" t="n">
        <v>37</v>
      </c>
      <c r="C4708" s="7">
        <f>INDEX(Нед_Раб,37)</f>
        <v/>
      </c>
      <c r="D4708" s="10">
        <f>SUM(G257:G263)</f>
        <v/>
      </c>
      <c r="E4708" s="10">
        <f>SUMIFS($G$257:$G$263,$D$257:$D$263,INDEX($D$257:$D$263,1))</f>
        <v/>
      </c>
      <c r="F4708" s="10">
        <f>SUMIFS($G$257:$G$263,$D$257:$D$263,INDEX($D$257:$D$263,7))</f>
        <v/>
      </c>
      <c r="G4708" s="7">
        <f>IF(ROUND(E4708+F4708-D4708,2)=0,"OK","ОШИБКА")</f>
        <v/>
      </c>
    </row>
    <row r="4709">
      <c r="A4709" s="15" t="inlineStr">
        <is>
          <t>Новиков</t>
        </is>
      </c>
      <c r="B4709" s="6" t="n">
        <v>38</v>
      </c>
      <c r="C4709" s="7">
        <f>INDEX(Нед_Раб,38)</f>
        <v/>
      </c>
      <c r="D4709" s="10">
        <f>SUM(G264:G270)</f>
        <v/>
      </c>
      <c r="E4709" s="10">
        <f>SUMIFS($G$264:$G$270,$D$264:$D$270,INDEX($D$264:$D$270,1))</f>
        <v/>
      </c>
      <c r="F4709" s="10">
        <f>SUMIFS($G$264:$G$270,$D$264:$D$270,INDEX($D$264:$D$270,7))</f>
        <v/>
      </c>
      <c r="G4709" s="7">
        <f>IF(ROUND(E4709+F4709-D4709,2)=0,"OK","ОШИБКА")</f>
        <v/>
      </c>
    </row>
    <row r="4710">
      <c r="A4710" s="15" t="inlineStr">
        <is>
          <t>Новиков</t>
        </is>
      </c>
      <c r="B4710" s="6" t="n">
        <v>39</v>
      </c>
      <c r="C4710" s="7">
        <f>INDEX(Нед_Раб,39)</f>
        <v/>
      </c>
      <c r="D4710" s="10">
        <f>SUM(G271:G277)</f>
        <v/>
      </c>
      <c r="E4710" s="10">
        <f>SUMIFS($G$271:$G$277,$D$271:$D$277,INDEX($D$271:$D$277,1))</f>
        <v/>
      </c>
      <c r="F4710" s="10">
        <f>SUMIFS($G$271:$G$277,$D$271:$D$277,INDEX($D$271:$D$277,7))</f>
        <v/>
      </c>
      <c r="G4710" s="7">
        <f>IF(ROUND(E4710+F4710-D4710,2)=0,"OK","ОШИБКА")</f>
        <v/>
      </c>
    </row>
    <row r="4711">
      <c r="A4711" s="15" t="inlineStr">
        <is>
          <t>Новиков</t>
        </is>
      </c>
      <c r="B4711" s="6" t="n">
        <v>40</v>
      </c>
      <c r="C4711" s="7">
        <f>INDEX(Нед_Раб,40)</f>
        <v/>
      </c>
      <c r="D4711" s="10">
        <f>SUM(G278:G284)</f>
        <v/>
      </c>
      <c r="E4711" s="10">
        <f>SUMIFS($G$278:$G$284,$D$278:$D$284,INDEX($D$278:$D$284,1))</f>
        <v/>
      </c>
      <c r="F4711" s="10">
        <f>SUMIFS($G$278:$G$284,$D$278:$D$284,INDEX($D$278:$D$284,7))</f>
        <v/>
      </c>
      <c r="G4711" s="7">
        <f>IF(ROUND(E4711+F4711-D4711,2)=0,"OK","ОШИБКА")</f>
        <v/>
      </c>
    </row>
    <row r="4712">
      <c r="A4712" s="15" t="inlineStr">
        <is>
          <t>Новиков</t>
        </is>
      </c>
      <c r="B4712" s="6" t="n">
        <v>41</v>
      </c>
      <c r="C4712" s="7">
        <f>INDEX(Нед_Раб,41)</f>
        <v/>
      </c>
      <c r="D4712" s="10">
        <f>SUM(G285:G291)</f>
        <v/>
      </c>
      <c r="E4712" s="10">
        <f>SUMIFS($G$285:$G$291,$D$285:$D$291,INDEX($D$285:$D$291,1))</f>
        <v/>
      </c>
      <c r="F4712" s="10">
        <f>SUMIFS($G$285:$G$291,$D$285:$D$291,INDEX($D$285:$D$291,7))</f>
        <v/>
      </c>
      <c r="G4712" s="7">
        <f>IF(ROUND(E4712+F4712-D4712,2)=0,"OK","ОШИБКА")</f>
        <v/>
      </c>
    </row>
    <row r="4713">
      <c r="A4713" s="15" t="inlineStr">
        <is>
          <t>Новиков</t>
        </is>
      </c>
      <c r="B4713" s="6" t="n">
        <v>42</v>
      </c>
      <c r="C4713" s="7">
        <f>INDEX(Нед_Раб,42)</f>
        <v/>
      </c>
      <c r="D4713" s="10">
        <f>SUM(G292:G298)</f>
        <v/>
      </c>
      <c r="E4713" s="10">
        <f>SUMIFS($G$292:$G$298,$D$292:$D$298,INDEX($D$292:$D$298,1))</f>
        <v/>
      </c>
      <c r="F4713" s="10">
        <f>SUMIFS($G$292:$G$298,$D$292:$D$298,INDEX($D$292:$D$298,7))</f>
        <v/>
      </c>
      <c r="G4713" s="7">
        <f>IF(ROUND(E4713+F4713-D4713,2)=0,"OK","ОШИБКА")</f>
        <v/>
      </c>
    </row>
    <row r="4714">
      <c r="A4714" s="15" t="inlineStr">
        <is>
          <t>Новиков</t>
        </is>
      </c>
      <c r="B4714" s="6" t="n">
        <v>43</v>
      </c>
      <c r="C4714" s="7">
        <f>INDEX(Нед_Раб,43)</f>
        <v/>
      </c>
      <c r="D4714" s="10">
        <f>SUM(G299:G305)</f>
        <v/>
      </c>
      <c r="E4714" s="10">
        <f>SUMIFS($G$299:$G$305,$D$299:$D$305,INDEX($D$299:$D$305,1))</f>
        <v/>
      </c>
      <c r="F4714" s="10">
        <f>SUMIFS($G$299:$G$305,$D$299:$D$305,INDEX($D$299:$D$305,7))</f>
        <v/>
      </c>
      <c r="G4714" s="7">
        <f>IF(ROUND(E4714+F4714-D4714,2)=0,"OK","ОШИБКА")</f>
        <v/>
      </c>
    </row>
    <row r="4715">
      <c r="A4715" s="15" t="inlineStr">
        <is>
          <t>Новиков</t>
        </is>
      </c>
      <c r="B4715" s="6" t="n">
        <v>44</v>
      </c>
      <c r="C4715" s="7">
        <f>INDEX(Нед_Раб,44)</f>
        <v/>
      </c>
      <c r="D4715" s="10">
        <f>SUM(G306:G312)</f>
        <v/>
      </c>
      <c r="E4715" s="10">
        <f>SUMIFS($G$306:$G$312,$D$306:$D$312,INDEX($D$306:$D$312,1))</f>
        <v/>
      </c>
      <c r="F4715" s="10">
        <f>SUMIFS($G$306:$G$312,$D$306:$D$312,INDEX($D$306:$D$312,7))</f>
        <v/>
      </c>
      <c r="G4715" s="7">
        <f>IF(ROUND(E4715+F4715-D4715,2)=0,"OK","ОШИБКА")</f>
        <v/>
      </c>
    </row>
    <row r="4716">
      <c r="A4716" s="15" t="inlineStr">
        <is>
          <t>Новиков</t>
        </is>
      </c>
      <c r="B4716" s="6" t="n">
        <v>45</v>
      </c>
      <c r="C4716" s="7">
        <f>INDEX(Нед_Раб,45)</f>
        <v/>
      </c>
      <c r="D4716" s="10">
        <f>SUM(G313:G319)</f>
        <v/>
      </c>
      <c r="E4716" s="10">
        <f>SUMIFS($G$313:$G$319,$D$313:$D$319,INDEX($D$313:$D$319,1))</f>
        <v/>
      </c>
      <c r="F4716" s="10">
        <f>SUMIFS($G$313:$G$319,$D$313:$D$319,INDEX($D$313:$D$319,7))</f>
        <v/>
      </c>
      <c r="G4716" s="7">
        <f>IF(ROUND(E4716+F4716-D4716,2)=0,"OK","ОШИБКА")</f>
        <v/>
      </c>
    </row>
    <row r="4717">
      <c r="A4717" s="15" t="inlineStr">
        <is>
          <t>Новиков</t>
        </is>
      </c>
      <c r="B4717" s="6" t="n">
        <v>46</v>
      </c>
      <c r="C4717" s="7">
        <f>INDEX(Нед_Раб,46)</f>
        <v/>
      </c>
      <c r="D4717" s="10">
        <f>SUM(G320:G326)</f>
        <v/>
      </c>
      <c r="E4717" s="10">
        <f>SUMIFS($G$320:$G$326,$D$320:$D$326,INDEX($D$320:$D$326,1))</f>
        <v/>
      </c>
      <c r="F4717" s="10">
        <f>SUMIFS($G$320:$G$326,$D$320:$D$326,INDEX($D$320:$D$326,7))</f>
        <v/>
      </c>
      <c r="G4717" s="7">
        <f>IF(ROUND(E4717+F4717-D4717,2)=0,"OK","ОШИБКА")</f>
        <v/>
      </c>
    </row>
    <row r="4718">
      <c r="A4718" s="15" t="inlineStr">
        <is>
          <t>Новиков</t>
        </is>
      </c>
      <c r="B4718" s="6" t="n">
        <v>47</v>
      </c>
      <c r="C4718" s="7">
        <f>INDEX(Нед_Раб,47)</f>
        <v/>
      </c>
      <c r="D4718" s="10">
        <f>SUM(G327:G333)</f>
        <v/>
      </c>
      <c r="E4718" s="10">
        <f>SUMIFS($G$327:$G$333,$D$327:$D$333,INDEX($D$327:$D$333,1))</f>
        <v/>
      </c>
      <c r="F4718" s="10">
        <f>SUMIFS($G$327:$G$333,$D$327:$D$333,INDEX($D$327:$D$333,7))</f>
        <v/>
      </c>
      <c r="G4718" s="7">
        <f>IF(ROUND(E4718+F4718-D4718,2)=0,"OK","ОШИБКА")</f>
        <v/>
      </c>
    </row>
    <row r="4719">
      <c r="A4719" s="15" t="inlineStr">
        <is>
          <t>Новиков</t>
        </is>
      </c>
      <c r="B4719" s="6" t="n">
        <v>48</v>
      </c>
      <c r="C4719" s="7">
        <f>INDEX(Нед_Раб,48)</f>
        <v/>
      </c>
      <c r="D4719" s="10">
        <f>SUM(G334:G340)</f>
        <v/>
      </c>
      <c r="E4719" s="10">
        <f>SUMIFS($G$334:$G$340,$D$334:$D$340,INDEX($D$334:$D$340,1))</f>
        <v/>
      </c>
      <c r="F4719" s="10">
        <f>SUMIFS($G$334:$G$340,$D$334:$D$340,INDEX($D$334:$D$340,7))</f>
        <v/>
      </c>
      <c r="G4719" s="7">
        <f>IF(ROUND(E4719+F4719-D4719,2)=0,"OK","ОШИБКА")</f>
        <v/>
      </c>
    </row>
    <row r="4720">
      <c r="A4720" s="15" t="inlineStr">
        <is>
          <t>Новиков</t>
        </is>
      </c>
      <c r="B4720" s="6" t="n">
        <v>49</v>
      </c>
      <c r="C4720" s="7">
        <f>INDEX(Нед_Раб,49)</f>
        <v/>
      </c>
      <c r="D4720" s="10">
        <f>SUM(G341:G347)</f>
        <v/>
      </c>
      <c r="E4720" s="10">
        <f>SUMIFS($G$341:$G$347,$D$341:$D$347,INDEX($D$341:$D$347,1))</f>
        <v/>
      </c>
      <c r="F4720" s="10">
        <f>SUMIFS($G$341:$G$347,$D$341:$D$347,INDEX($D$341:$D$347,7))</f>
        <v/>
      </c>
      <c r="G4720" s="7">
        <f>IF(ROUND(E4720+F4720-D4720,2)=0,"OK","ОШИБКА")</f>
        <v/>
      </c>
    </row>
    <row r="4721">
      <c r="A4721" s="15" t="inlineStr">
        <is>
          <t>Новиков</t>
        </is>
      </c>
      <c r="B4721" s="6" t="n">
        <v>50</v>
      </c>
      <c r="C4721" s="7">
        <f>INDEX(Нед_Раб,50)</f>
        <v/>
      </c>
      <c r="D4721" s="10">
        <f>SUM(G348:G354)</f>
        <v/>
      </c>
      <c r="E4721" s="10">
        <f>SUMIFS($G$348:$G$354,$D$348:$D$354,INDEX($D$348:$D$354,1))</f>
        <v/>
      </c>
      <c r="F4721" s="10">
        <f>SUMIFS($G$348:$G$354,$D$348:$D$354,INDEX($D$348:$D$354,7))</f>
        <v/>
      </c>
      <c r="G4721" s="7">
        <f>IF(ROUND(E4721+F4721-D4721,2)=0,"OK","ОШИБКА")</f>
        <v/>
      </c>
    </row>
    <row r="4722">
      <c r="A4722" s="15" t="inlineStr">
        <is>
          <t>Новиков</t>
        </is>
      </c>
      <c r="B4722" s="6" t="n">
        <v>51</v>
      </c>
      <c r="C4722" s="7">
        <f>INDEX(Нед_Раб,51)</f>
        <v/>
      </c>
      <c r="D4722" s="10">
        <f>SUM(G355:G361)</f>
        <v/>
      </c>
      <c r="E4722" s="10">
        <f>SUMIFS($G$355:$G$361,$D$355:$D$361,INDEX($D$355:$D$361,1))</f>
        <v/>
      </c>
      <c r="F4722" s="10">
        <f>SUMIFS($G$355:$G$361,$D$355:$D$361,INDEX($D$355:$D$361,7))</f>
        <v/>
      </c>
      <c r="G4722" s="7">
        <f>IF(ROUND(E4722+F4722-D4722,2)=0,"OK","ОШИБКА")</f>
        <v/>
      </c>
    </row>
    <row r="4723">
      <c r="A4723" s="15" t="inlineStr">
        <is>
          <t>Новиков</t>
        </is>
      </c>
      <c r="B4723" s="6" t="n">
        <v>52</v>
      </c>
      <c r="C4723" s="7">
        <f>INDEX(Нед_Раб,52)</f>
        <v/>
      </c>
      <c r="D4723" s="10">
        <f>SUM(G362:G368)</f>
        <v/>
      </c>
      <c r="E4723" s="10">
        <f>SUMIFS($G$362:$G$368,$D$362:$D$368,INDEX($D$362:$D$368,1))</f>
        <v/>
      </c>
      <c r="F4723" s="10">
        <f>SUMIFS($G$362:$G$368,$D$362:$D$368,INDEX($D$362:$D$368,7))</f>
        <v/>
      </c>
      <c r="G4723" s="7">
        <f>IF(ROUND(E4723+F4723-D4723,2)=0,"OK","ОШИБКА")</f>
        <v/>
      </c>
    </row>
    <row r="4724">
      <c r="A4724" s="15" t="inlineStr">
        <is>
          <t>Новиков</t>
        </is>
      </c>
      <c r="B4724" s="6" t="n">
        <v>53</v>
      </c>
      <c r="C4724" s="7">
        <f>INDEX(Нед_Раб,53)</f>
        <v/>
      </c>
      <c r="D4724" s="10">
        <f>SUM(G369:G375)</f>
        <v/>
      </c>
      <c r="E4724" s="10">
        <f>SUMIFS($G$369:$G$375,$D$369:$D$375,INDEX($D$369:$D$375,1))</f>
        <v/>
      </c>
      <c r="F4724" s="10">
        <f>SUMIFS($G$369:$G$375,$D$369:$D$375,INDEX($D$369:$D$375,7))</f>
        <v/>
      </c>
      <c r="G4724" s="7">
        <f>IF(ROUND(E4724+F4724-D4724,2)=0,"OK","ОШИБКА")</f>
        <v/>
      </c>
    </row>
    <row r="4725">
      <c r="A4725" s="15" t="inlineStr">
        <is>
          <t>Морозова</t>
        </is>
      </c>
      <c r="B4725" s="6" t="n">
        <v>1</v>
      </c>
      <c r="C4725" s="7">
        <f>INDEX(Нед_Раб,1)</f>
        <v/>
      </c>
      <c r="D4725" s="10">
        <f>SUM(G5:G11)</f>
        <v/>
      </c>
      <c r="E4725" s="10">
        <f>SUMIFS($G$5:$G$11,$D$5:$D$11,INDEX($D$5:$D$11,1))</f>
        <v/>
      </c>
      <c r="F4725" s="10">
        <f>SUMIFS($G$5:$G$11,$D$5:$D$11,INDEX($D$5:$D$11,7))</f>
        <v/>
      </c>
      <c r="G4725" s="7">
        <f>IF(ROUND(E4725+F4725-D4725,2)=0,"OK","ОШИБКА")</f>
        <v/>
      </c>
    </row>
    <row r="4726">
      <c r="A4726" s="15" t="inlineStr">
        <is>
          <t>Морозова</t>
        </is>
      </c>
      <c r="B4726" s="6" t="n">
        <v>2</v>
      </c>
      <c r="C4726" s="7">
        <f>INDEX(Нед_Раб,2)</f>
        <v/>
      </c>
      <c r="D4726" s="10">
        <f>SUM(G12:G18)</f>
        <v/>
      </c>
      <c r="E4726" s="10">
        <f>SUMIFS($G$12:$G$18,$D$12:$D$18,INDEX($D$12:$D$18,1))</f>
        <v/>
      </c>
      <c r="F4726" s="10">
        <f>SUMIFS($G$12:$G$18,$D$12:$D$18,INDEX($D$12:$D$18,7))</f>
        <v/>
      </c>
      <c r="G4726" s="7">
        <f>IF(ROUND(E4726+F4726-D4726,2)=0,"OK","ОШИБКА")</f>
        <v/>
      </c>
    </row>
    <row r="4727">
      <c r="A4727" s="15" t="inlineStr">
        <is>
          <t>Морозова</t>
        </is>
      </c>
      <c r="B4727" s="6" t="n">
        <v>3</v>
      </c>
      <c r="C4727" s="7">
        <f>INDEX(Нед_Раб,3)</f>
        <v/>
      </c>
      <c r="D4727" s="10">
        <f>SUM(G19:G25)</f>
        <v/>
      </c>
      <c r="E4727" s="10">
        <f>SUMIFS($G$19:$G$25,$D$19:$D$25,INDEX($D$19:$D$25,1))</f>
        <v/>
      </c>
      <c r="F4727" s="10">
        <f>SUMIFS($G$19:$G$25,$D$19:$D$25,INDEX($D$19:$D$25,7))</f>
        <v/>
      </c>
      <c r="G4727" s="7">
        <f>IF(ROUND(E4727+F4727-D4727,2)=0,"OK","ОШИБКА")</f>
        <v/>
      </c>
    </row>
    <row r="4728">
      <c r="A4728" s="15" t="inlineStr">
        <is>
          <t>Морозова</t>
        </is>
      </c>
      <c r="B4728" s="6" t="n">
        <v>4</v>
      </c>
      <c r="C4728" s="7">
        <f>INDEX(Нед_Раб,4)</f>
        <v/>
      </c>
      <c r="D4728" s="10">
        <f>SUM(G26:G32)</f>
        <v/>
      </c>
      <c r="E4728" s="10">
        <f>SUMIFS($G$26:$G$32,$D$26:$D$32,INDEX($D$26:$D$32,1))</f>
        <v/>
      </c>
      <c r="F4728" s="10">
        <f>SUMIFS($G$26:$G$32,$D$26:$D$32,INDEX($D$26:$D$32,7))</f>
        <v/>
      </c>
      <c r="G4728" s="7">
        <f>IF(ROUND(E4728+F4728-D4728,2)=0,"OK","ОШИБКА")</f>
        <v/>
      </c>
    </row>
    <row r="4729">
      <c r="A4729" s="15" t="inlineStr">
        <is>
          <t>Морозова</t>
        </is>
      </c>
      <c r="B4729" s="6" t="n">
        <v>5</v>
      </c>
      <c r="C4729" s="7">
        <f>INDEX(Нед_Раб,5)</f>
        <v/>
      </c>
      <c r="D4729" s="10">
        <f>SUM(G33:G39)</f>
        <v/>
      </c>
      <c r="E4729" s="10">
        <f>SUMIFS($G$33:$G$39,$D$33:$D$39,INDEX($D$33:$D$39,1))</f>
        <v/>
      </c>
      <c r="F4729" s="10">
        <f>SUMIFS($G$33:$G$39,$D$33:$D$39,INDEX($D$33:$D$39,7))</f>
        <v/>
      </c>
      <c r="G4729" s="7">
        <f>IF(ROUND(E4729+F4729-D4729,2)=0,"OK","ОШИБКА")</f>
        <v/>
      </c>
    </row>
    <row r="4730">
      <c r="A4730" s="15" t="inlineStr">
        <is>
          <t>Морозова</t>
        </is>
      </c>
      <c r="B4730" s="6" t="n">
        <v>6</v>
      </c>
      <c r="C4730" s="7">
        <f>INDEX(Нед_Раб,6)</f>
        <v/>
      </c>
      <c r="D4730" s="10">
        <f>SUM(G40:G46)</f>
        <v/>
      </c>
      <c r="E4730" s="10">
        <f>SUMIFS($G$40:$G$46,$D$40:$D$46,INDEX($D$40:$D$46,1))</f>
        <v/>
      </c>
      <c r="F4730" s="10">
        <f>SUMIFS($G$40:$G$46,$D$40:$D$46,INDEX($D$40:$D$46,7))</f>
        <v/>
      </c>
      <c r="G4730" s="7">
        <f>IF(ROUND(E4730+F4730-D4730,2)=0,"OK","ОШИБКА")</f>
        <v/>
      </c>
    </row>
    <row r="4731">
      <c r="A4731" s="15" t="inlineStr">
        <is>
          <t>Морозова</t>
        </is>
      </c>
      <c r="B4731" s="6" t="n">
        <v>7</v>
      </c>
      <c r="C4731" s="7">
        <f>INDEX(Нед_Раб,7)</f>
        <v/>
      </c>
      <c r="D4731" s="10">
        <f>SUM(G47:G53)</f>
        <v/>
      </c>
      <c r="E4731" s="10">
        <f>SUMIFS($G$47:$G$53,$D$47:$D$53,INDEX($D$47:$D$53,1))</f>
        <v/>
      </c>
      <c r="F4731" s="10">
        <f>SUMIFS($G$47:$G$53,$D$47:$D$53,INDEX($D$47:$D$53,7))</f>
        <v/>
      </c>
      <c r="G4731" s="7">
        <f>IF(ROUND(E4731+F4731-D4731,2)=0,"OK","ОШИБКА")</f>
        <v/>
      </c>
    </row>
    <row r="4732">
      <c r="A4732" s="15" t="inlineStr">
        <is>
          <t>Морозова</t>
        </is>
      </c>
      <c r="B4732" s="6" t="n">
        <v>8</v>
      </c>
      <c r="C4732" s="7">
        <f>INDEX(Нед_Раб,8)</f>
        <v/>
      </c>
      <c r="D4732" s="10">
        <f>SUM(G54:G60)</f>
        <v/>
      </c>
      <c r="E4732" s="10">
        <f>SUMIFS($G$54:$G$60,$D$54:$D$60,INDEX($D$54:$D$60,1))</f>
        <v/>
      </c>
      <c r="F4732" s="10">
        <f>SUMIFS($G$54:$G$60,$D$54:$D$60,INDEX($D$54:$D$60,7))</f>
        <v/>
      </c>
      <c r="G4732" s="7">
        <f>IF(ROUND(E4732+F4732-D4732,2)=0,"OK","ОШИБКА")</f>
        <v/>
      </c>
    </row>
    <row r="4733">
      <c r="A4733" s="15" t="inlineStr">
        <is>
          <t>Морозова</t>
        </is>
      </c>
      <c r="B4733" s="6" t="n">
        <v>9</v>
      </c>
      <c r="C4733" s="7">
        <f>INDEX(Нед_Раб,9)</f>
        <v/>
      </c>
      <c r="D4733" s="10">
        <f>SUM(G61:G67)</f>
        <v/>
      </c>
      <c r="E4733" s="10">
        <f>SUMIFS($G$61:$G$67,$D$61:$D$67,INDEX($D$61:$D$67,1))</f>
        <v/>
      </c>
      <c r="F4733" s="10">
        <f>SUMIFS($G$61:$G$67,$D$61:$D$67,INDEX($D$61:$D$67,7))</f>
        <v/>
      </c>
      <c r="G4733" s="7">
        <f>IF(ROUND(E4733+F4733-D4733,2)=0,"OK","ОШИБКА")</f>
        <v/>
      </c>
    </row>
    <row r="4734">
      <c r="A4734" s="15" t="inlineStr">
        <is>
          <t>Морозова</t>
        </is>
      </c>
      <c r="B4734" s="6" t="n">
        <v>10</v>
      </c>
      <c r="C4734" s="7">
        <f>INDEX(Нед_Раб,10)</f>
        <v/>
      </c>
      <c r="D4734" s="10">
        <f>SUM(G68:G74)</f>
        <v/>
      </c>
      <c r="E4734" s="10">
        <f>SUMIFS($G$68:$G$74,$D$68:$D$74,INDEX($D$68:$D$74,1))</f>
        <v/>
      </c>
      <c r="F4734" s="10">
        <f>SUMIFS($G$68:$G$74,$D$68:$D$74,INDEX($D$68:$D$74,7))</f>
        <v/>
      </c>
      <c r="G4734" s="7">
        <f>IF(ROUND(E4734+F4734-D4734,2)=0,"OK","ОШИБКА")</f>
        <v/>
      </c>
    </row>
    <row r="4735">
      <c r="A4735" s="15" t="inlineStr">
        <is>
          <t>Морозова</t>
        </is>
      </c>
      <c r="B4735" s="6" t="n">
        <v>11</v>
      </c>
      <c r="C4735" s="7">
        <f>INDEX(Нед_Раб,11)</f>
        <v/>
      </c>
      <c r="D4735" s="10">
        <f>SUM(G75:G81)</f>
        <v/>
      </c>
      <c r="E4735" s="10">
        <f>SUMIFS($G$75:$G$81,$D$75:$D$81,INDEX($D$75:$D$81,1))</f>
        <v/>
      </c>
      <c r="F4735" s="10">
        <f>SUMIFS($G$75:$G$81,$D$75:$D$81,INDEX($D$75:$D$81,7))</f>
        <v/>
      </c>
      <c r="G4735" s="7">
        <f>IF(ROUND(E4735+F4735-D4735,2)=0,"OK","ОШИБКА")</f>
        <v/>
      </c>
    </row>
    <row r="4736">
      <c r="A4736" s="15" t="inlineStr">
        <is>
          <t>Морозова</t>
        </is>
      </c>
      <c r="B4736" s="6" t="n">
        <v>12</v>
      </c>
      <c r="C4736" s="7">
        <f>INDEX(Нед_Раб,12)</f>
        <v/>
      </c>
      <c r="D4736" s="10">
        <f>SUM(G82:G88)</f>
        <v/>
      </c>
      <c r="E4736" s="10">
        <f>SUMIFS($G$82:$G$88,$D$82:$D$88,INDEX($D$82:$D$88,1))</f>
        <v/>
      </c>
      <c r="F4736" s="10">
        <f>SUMIFS($G$82:$G$88,$D$82:$D$88,INDEX($D$82:$D$88,7))</f>
        <v/>
      </c>
      <c r="G4736" s="7">
        <f>IF(ROUND(E4736+F4736-D4736,2)=0,"OK","ОШИБКА")</f>
        <v/>
      </c>
    </row>
    <row r="4737">
      <c r="A4737" s="15" t="inlineStr">
        <is>
          <t>Морозова</t>
        </is>
      </c>
      <c r="B4737" s="6" t="n">
        <v>13</v>
      </c>
      <c r="C4737" s="7">
        <f>INDEX(Нед_Раб,13)</f>
        <v/>
      </c>
      <c r="D4737" s="10">
        <f>SUM(G89:G95)</f>
        <v/>
      </c>
      <c r="E4737" s="10">
        <f>SUMIFS($G$89:$G$95,$D$89:$D$95,INDEX($D$89:$D$95,1))</f>
        <v/>
      </c>
      <c r="F4737" s="10">
        <f>SUMIFS($G$89:$G$95,$D$89:$D$95,INDEX($D$89:$D$95,7))</f>
        <v/>
      </c>
      <c r="G4737" s="7">
        <f>IF(ROUND(E4737+F4737-D4737,2)=0,"OK","ОШИБКА")</f>
        <v/>
      </c>
    </row>
    <row r="4738">
      <c r="A4738" s="15" t="inlineStr">
        <is>
          <t>Морозова</t>
        </is>
      </c>
      <c r="B4738" s="6" t="n">
        <v>14</v>
      </c>
      <c r="C4738" s="7">
        <f>INDEX(Нед_Раб,14)</f>
        <v/>
      </c>
      <c r="D4738" s="10">
        <f>SUM(G96:G102)</f>
        <v/>
      </c>
      <c r="E4738" s="10">
        <f>SUMIFS($G$96:$G$102,$D$96:$D$102,INDEX($D$96:$D$102,1))</f>
        <v/>
      </c>
      <c r="F4738" s="10">
        <f>SUMIFS($G$96:$G$102,$D$96:$D$102,INDEX($D$96:$D$102,7))</f>
        <v/>
      </c>
      <c r="G4738" s="7">
        <f>IF(ROUND(E4738+F4738-D4738,2)=0,"OK","ОШИБКА")</f>
        <v/>
      </c>
    </row>
    <row r="4739">
      <c r="A4739" s="15" t="inlineStr">
        <is>
          <t>Морозова</t>
        </is>
      </c>
      <c r="B4739" s="6" t="n">
        <v>15</v>
      </c>
      <c r="C4739" s="7">
        <f>INDEX(Нед_Раб,15)</f>
        <v/>
      </c>
      <c r="D4739" s="10">
        <f>SUM(G103:G109)</f>
        <v/>
      </c>
      <c r="E4739" s="10">
        <f>SUMIFS($G$103:$G$109,$D$103:$D$109,INDEX($D$103:$D$109,1))</f>
        <v/>
      </c>
      <c r="F4739" s="10">
        <f>SUMIFS($G$103:$G$109,$D$103:$D$109,INDEX($D$103:$D$109,7))</f>
        <v/>
      </c>
      <c r="G4739" s="7">
        <f>IF(ROUND(E4739+F4739-D4739,2)=0,"OK","ОШИБКА")</f>
        <v/>
      </c>
    </row>
    <row r="4740">
      <c r="A4740" s="15" t="inlineStr">
        <is>
          <t>Морозова</t>
        </is>
      </c>
      <c r="B4740" s="6" t="n">
        <v>16</v>
      </c>
      <c r="C4740" s="7">
        <f>INDEX(Нед_Раб,16)</f>
        <v/>
      </c>
      <c r="D4740" s="10">
        <f>SUM(G110:G116)</f>
        <v/>
      </c>
      <c r="E4740" s="10">
        <f>SUMIFS($G$110:$G$116,$D$110:$D$116,INDEX($D$110:$D$116,1))</f>
        <v/>
      </c>
      <c r="F4740" s="10">
        <f>SUMIFS($G$110:$G$116,$D$110:$D$116,INDEX($D$110:$D$116,7))</f>
        <v/>
      </c>
      <c r="G4740" s="7">
        <f>IF(ROUND(E4740+F4740-D4740,2)=0,"OK","ОШИБКА")</f>
        <v/>
      </c>
    </row>
    <row r="4741">
      <c r="A4741" s="15" t="inlineStr">
        <is>
          <t>Морозова</t>
        </is>
      </c>
      <c r="B4741" s="6" t="n">
        <v>17</v>
      </c>
      <c r="C4741" s="7">
        <f>INDEX(Нед_Раб,17)</f>
        <v/>
      </c>
      <c r="D4741" s="10">
        <f>SUM(G117:G123)</f>
        <v/>
      </c>
      <c r="E4741" s="10">
        <f>SUMIFS($G$117:$G$123,$D$117:$D$123,INDEX($D$117:$D$123,1))</f>
        <v/>
      </c>
      <c r="F4741" s="10">
        <f>SUMIFS($G$117:$G$123,$D$117:$D$123,INDEX($D$117:$D$123,7))</f>
        <v/>
      </c>
      <c r="G4741" s="7">
        <f>IF(ROUND(E4741+F4741-D4741,2)=0,"OK","ОШИБКА")</f>
        <v/>
      </c>
    </row>
    <row r="4742">
      <c r="A4742" s="15" t="inlineStr">
        <is>
          <t>Морозова</t>
        </is>
      </c>
      <c r="B4742" s="6" t="n">
        <v>18</v>
      </c>
      <c r="C4742" s="7">
        <f>INDEX(Нед_Раб,18)</f>
        <v/>
      </c>
      <c r="D4742" s="10">
        <f>SUM(G124:G130)</f>
        <v/>
      </c>
      <c r="E4742" s="10">
        <f>SUMIFS($G$124:$G$130,$D$124:$D$130,INDEX($D$124:$D$130,1))</f>
        <v/>
      </c>
      <c r="F4742" s="10">
        <f>SUMIFS($G$124:$G$130,$D$124:$D$130,INDEX($D$124:$D$130,7))</f>
        <v/>
      </c>
      <c r="G4742" s="7">
        <f>IF(ROUND(E4742+F4742-D4742,2)=0,"OK","ОШИБКА")</f>
        <v/>
      </c>
    </row>
    <row r="4743">
      <c r="A4743" s="15" t="inlineStr">
        <is>
          <t>Морозова</t>
        </is>
      </c>
      <c r="B4743" s="6" t="n">
        <v>19</v>
      </c>
      <c r="C4743" s="7">
        <f>INDEX(Нед_Раб,19)</f>
        <v/>
      </c>
      <c r="D4743" s="10">
        <f>SUM(G131:G137)</f>
        <v/>
      </c>
      <c r="E4743" s="10">
        <f>SUMIFS($G$131:$G$137,$D$131:$D$137,INDEX($D$131:$D$137,1))</f>
        <v/>
      </c>
      <c r="F4743" s="10">
        <f>SUMIFS($G$131:$G$137,$D$131:$D$137,INDEX($D$131:$D$137,7))</f>
        <v/>
      </c>
      <c r="G4743" s="7">
        <f>IF(ROUND(E4743+F4743-D4743,2)=0,"OK","ОШИБКА")</f>
        <v/>
      </c>
    </row>
    <row r="4744">
      <c r="A4744" s="15" t="inlineStr">
        <is>
          <t>Морозова</t>
        </is>
      </c>
      <c r="B4744" s="6" t="n">
        <v>20</v>
      </c>
      <c r="C4744" s="7">
        <f>INDEX(Нед_Раб,20)</f>
        <v/>
      </c>
      <c r="D4744" s="10">
        <f>SUM(G138:G144)</f>
        <v/>
      </c>
      <c r="E4744" s="10">
        <f>SUMIFS($G$138:$G$144,$D$138:$D$144,INDEX($D$138:$D$144,1))</f>
        <v/>
      </c>
      <c r="F4744" s="10">
        <f>SUMIFS($G$138:$G$144,$D$138:$D$144,INDEX($D$138:$D$144,7))</f>
        <v/>
      </c>
      <c r="G4744" s="7">
        <f>IF(ROUND(E4744+F4744-D4744,2)=0,"OK","ОШИБКА")</f>
        <v/>
      </c>
    </row>
    <row r="4745">
      <c r="A4745" s="15" t="inlineStr">
        <is>
          <t>Морозова</t>
        </is>
      </c>
      <c r="B4745" s="6" t="n">
        <v>21</v>
      </c>
      <c r="C4745" s="7">
        <f>INDEX(Нед_Раб,21)</f>
        <v/>
      </c>
      <c r="D4745" s="10">
        <f>SUM(G145:G151)</f>
        <v/>
      </c>
      <c r="E4745" s="10">
        <f>SUMIFS($G$145:$G$151,$D$145:$D$151,INDEX($D$145:$D$151,1))</f>
        <v/>
      </c>
      <c r="F4745" s="10">
        <f>SUMIFS($G$145:$G$151,$D$145:$D$151,INDEX($D$145:$D$151,7))</f>
        <v/>
      </c>
      <c r="G4745" s="7">
        <f>IF(ROUND(E4745+F4745-D4745,2)=0,"OK","ОШИБКА")</f>
        <v/>
      </c>
    </row>
    <row r="4746">
      <c r="A4746" s="15" t="inlineStr">
        <is>
          <t>Морозова</t>
        </is>
      </c>
      <c r="B4746" s="6" t="n">
        <v>22</v>
      </c>
      <c r="C4746" s="7">
        <f>INDEX(Нед_Раб,22)</f>
        <v/>
      </c>
      <c r="D4746" s="10">
        <f>SUM(G152:G158)</f>
        <v/>
      </c>
      <c r="E4746" s="10">
        <f>SUMIFS($G$152:$G$158,$D$152:$D$158,INDEX($D$152:$D$158,1))</f>
        <v/>
      </c>
      <c r="F4746" s="10">
        <f>SUMIFS($G$152:$G$158,$D$152:$D$158,INDEX($D$152:$D$158,7))</f>
        <v/>
      </c>
      <c r="G4746" s="7">
        <f>IF(ROUND(E4746+F4746-D4746,2)=0,"OK","ОШИБКА")</f>
        <v/>
      </c>
    </row>
    <row r="4747">
      <c r="A4747" s="15" t="inlineStr">
        <is>
          <t>Морозова</t>
        </is>
      </c>
      <c r="B4747" s="6" t="n">
        <v>23</v>
      </c>
      <c r="C4747" s="7">
        <f>INDEX(Нед_Раб,23)</f>
        <v/>
      </c>
      <c r="D4747" s="10">
        <f>SUM(G159:G165)</f>
        <v/>
      </c>
      <c r="E4747" s="10">
        <f>SUMIFS($G$159:$G$165,$D$159:$D$165,INDEX($D$159:$D$165,1))</f>
        <v/>
      </c>
      <c r="F4747" s="10">
        <f>SUMIFS($G$159:$G$165,$D$159:$D$165,INDEX($D$159:$D$165,7))</f>
        <v/>
      </c>
      <c r="G4747" s="7">
        <f>IF(ROUND(E4747+F4747-D4747,2)=0,"OK","ОШИБКА")</f>
        <v/>
      </c>
    </row>
    <row r="4748">
      <c r="A4748" s="15" t="inlineStr">
        <is>
          <t>Морозова</t>
        </is>
      </c>
      <c r="B4748" s="6" t="n">
        <v>24</v>
      </c>
      <c r="C4748" s="7">
        <f>INDEX(Нед_Раб,24)</f>
        <v/>
      </c>
      <c r="D4748" s="10">
        <f>SUM(G166:G172)</f>
        <v/>
      </c>
      <c r="E4748" s="10">
        <f>SUMIFS($G$166:$G$172,$D$166:$D$172,INDEX($D$166:$D$172,1))</f>
        <v/>
      </c>
      <c r="F4748" s="10">
        <f>SUMIFS($G$166:$G$172,$D$166:$D$172,INDEX($D$166:$D$172,7))</f>
        <v/>
      </c>
      <c r="G4748" s="7">
        <f>IF(ROUND(E4748+F4748-D4748,2)=0,"OK","ОШИБКА")</f>
        <v/>
      </c>
    </row>
    <row r="4749">
      <c r="A4749" s="15" t="inlineStr">
        <is>
          <t>Морозова</t>
        </is>
      </c>
      <c r="B4749" s="6" t="n">
        <v>25</v>
      </c>
      <c r="C4749" s="7">
        <f>INDEX(Нед_Раб,25)</f>
        <v/>
      </c>
      <c r="D4749" s="10">
        <f>SUM(G173:G179)</f>
        <v/>
      </c>
      <c r="E4749" s="10">
        <f>SUMIFS($G$173:$G$179,$D$173:$D$179,INDEX($D$173:$D$179,1))</f>
        <v/>
      </c>
      <c r="F4749" s="10">
        <f>SUMIFS($G$173:$G$179,$D$173:$D$179,INDEX($D$173:$D$179,7))</f>
        <v/>
      </c>
      <c r="G4749" s="7">
        <f>IF(ROUND(E4749+F4749-D4749,2)=0,"OK","ОШИБКА")</f>
        <v/>
      </c>
    </row>
    <row r="4750">
      <c r="A4750" s="15" t="inlineStr">
        <is>
          <t>Морозова</t>
        </is>
      </c>
      <c r="B4750" s="6" t="n">
        <v>26</v>
      </c>
      <c r="C4750" s="7">
        <f>INDEX(Нед_Раб,26)</f>
        <v/>
      </c>
      <c r="D4750" s="10">
        <f>SUM(G180:G186)</f>
        <v/>
      </c>
      <c r="E4750" s="10">
        <f>SUMIFS($G$180:$G$186,$D$180:$D$186,INDEX($D$180:$D$186,1))</f>
        <v/>
      </c>
      <c r="F4750" s="10">
        <f>SUMIFS($G$180:$G$186,$D$180:$D$186,INDEX($D$180:$D$186,7))</f>
        <v/>
      </c>
      <c r="G4750" s="7">
        <f>IF(ROUND(E4750+F4750-D4750,2)=0,"OK","ОШИБКА")</f>
        <v/>
      </c>
    </row>
    <row r="4751">
      <c r="A4751" s="15" t="inlineStr">
        <is>
          <t>Морозова</t>
        </is>
      </c>
      <c r="B4751" s="6" t="n">
        <v>27</v>
      </c>
      <c r="C4751" s="7">
        <f>INDEX(Нед_Раб,27)</f>
        <v/>
      </c>
      <c r="D4751" s="10">
        <f>SUM(G187:G193)</f>
        <v/>
      </c>
      <c r="E4751" s="10">
        <f>SUMIFS($G$187:$G$193,$D$187:$D$193,INDEX($D$187:$D$193,1))</f>
        <v/>
      </c>
      <c r="F4751" s="10">
        <f>SUMIFS($G$187:$G$193,$D$187:$D$193,INDEX($D$187:$D$193,7))</f>
        <v/>
      </c>
      <c r="G4751" s="7">
        <f>IF(ROUND(E4751+F4751-D4751,2)=0,"OK","ОШИБКА")</f>
        <v/>
      </c>
    </row>
    <row r="4752">
      <c r="A4752" s="15" t="inlineStr">
        <is>
          <t>Морозова</t>
        </is>
      </c>
      <c r="B4752" s="6" t="n">
        <v>28</v>
      </c>
      <c r="C4752" s="7">
        <f>INDEX(Нед_Раб,28)</f>
        <v/>
      </c>
      <c r="D4752" s="10">
        <f>SUM(G194:G200)</f>
        <v/>
      </c>
      <c r="E4752" s="10">
        <f>SUMIFS($G$194:$G$200,$D$194:$D$200,INDEX($D$194:$D$200,1))</f>
        <v/>
      </c>
      <c r="F4752" s="10">
        <f>SUMIFS($G$194:$G$200,$D$194:$D$200,INDEX($D$194:$D$200,7))</f>
        <v/>
      </c>
      <c r="G4752" s="7">
        <f>IF(ROUND(E4752+F4752-D4752,2)=0,"OK","ОШИБКА")</f>
        <v/>
      </c>
    </row>
    <row r="4753">
      <c r="A4753" s="15" t="inlineStr">
        <is>
          <t>Морозова</t>
        </is>
      </c>
      <c r="B4753" s="6" t="n">
        <v>29</v>
      </c>
      <c r="C4753" s="7">
        <f>INDEX(Нед_Раб,29)</f>
        <v/>
      </c>
      <c r="D4753" s="10">
        <f>SUM(G201:G207)</f>
        <v/>
      </c>
      <c r="E4753" s="10">
        <f>SUMIFS($G$201:$G$207,$D$201:$D$207,INDEX($D$201:$D$207,1))</f>
        <v/>
      </c>
      <c r="F4753" s="10">
        <f>SUMIFS($G$201:$G$207,$D$201:$D$207,INDEX($D$201:$D$207,7))</f>
        <v/>
      </c>
      <c r="G4753" s="7">
        <f>IF(ROUND(E4753+F4753-D4753,2)=0,"OK","ОШИБКА")</f>
        <v/>
      </c>
    </row>
    <row r="4754">
      <c r="A4754" s="15" t="inlineStr">
        <is>
          <t>Морозова</t>
        </is>
      </c>
      <c r="B4754" s="6" t="n">
        <v>30</v>
      </c>
      <c r="C4754" s="7">
        <f>INDEX(Нед_Раб,30)</f>
        <v/>
      </c>
      <c r="D4754" s="10">
        <f>SUM(G208:G214)</f>
        <v/>
      </c>
      <c r="E4754" s="10">
        <f>SUMIFS($G$208:$G$214,$D$208:$D$214,INDEX($D$208:$D$214,1))</f>
        <v/>
      </c>
      <c r="F4754" s="10">
        <f>SUMIFS($G$208:$G$214,$D$208:$D$214,INDEX($D$208:$D$214,7))</f>
        <v/>
      </c>
      <c r="G4754" s="7">
        <f>IF(ROUND(E4754+F4754-D4754,2)=0,"OK","ОШИБКА")</f>
        <v/>
      </c>
    </row>
    <row r="4755">
      <c r="A4755" s="15" t="inlineStr">
        <is>
          <t>Морозова</t>
        </is>
      </c>
      <c r="B4755" s="6" t="n">
        <v>31</v>
      </c>
      <c r="C4755" s="7">
        <f>INDEX(Нед_Раб,31)</f>
        <v/>
      </c>
      <c r="D4755" s="10">
        <f>SUM(G215:G221)</f>
        <v/>
      </c>
      <c r="E4755" s="10">
        <f>SUMIFS($G$215:$G$221,$D$215:$D$221,INDEX($D$215:$D$221,1))</f>
        <v/>
      </c>
      <c r="F4755" s="10">
        <f>SUMIFS($G$215:$G$221,$D$215:$D$221,INDEX($D$215:$D$221,7))</f>
        <v/>
      </c>
      <c r="G4755" s="7">
        <f>IF(ROUND(E4755+F4755-D4755,2)=0,"OK","ОШИБКА")</f>
        <v/>
      </c>
    </row>
    <row r="4756">
      <c r="A4756" s="15" t="inlineStr">
        <is>
          <t>Морозова</t>
        </is>
      </c>
      <c r="B4756" s="6" t="n">
        <v>32</v>
      </c>
      <c r="C4756" s="7">
        <f>INDEX(Нед_Раб,32)</f>
        <v/>
      </c>
      <c r="D4756" s="10">
        <f>SUM(G222:G228)</f>
        <v/>
      </c>
      <c r="E4756" s="10">
        <f>SUMIFS($G$222:$G$228,$D$222:$D$228,INDEX($D$222:$D$228,1))</f>
        <v/>
      </c>
      <c r="F4756" s="10">
        <f>SUMIFS($G$222:$G$228,$D$222:$D$228,INDEX($D$222:$D$228,7))</f>
        <v/>
      </c>
      <c r="G4756" s="7">
        <f>IF(ROUND(E4756+F4756-D4756,2)=0,"OK","ОШИБКА")</f>
        <v/>
      </c>
    </row>
    <row r="4757">
      <c r="A4757" s="15" t="inlineStr">
        <is>
          <t>Морозова</t>
        </is>
      </c>
      <c r="B4757" s="6" t="n">
        <v>33</v>
      </c>
      <c r="C4757" s="7">
        <f>INDEX(Нед_Раб,33)</f>
        <v/>
      </c>
      <c r="D4757" s="10">
        <f>SUM(G229:G235)</f>
        <v/>
      </c>
      <c r="E4757" s="10">
        <f>SUMIFS($G$229:$G$235,$D$229:$D$235,INDEX($D$229:$D$235,1))</f>
        <v/>
      </c>
      <c r="F4757" s="10">
        <f>SUMIFS($G$229:$G$235,$D$229:$D$235,INDEX($D$229:$D$235,7))</f>
        <v/>
      </c>
      <c r="G4757" s="7">
        <f>IF(ROUND(E4757+F4757-D4757,2)=0,"OK","ОШИБКА")</f>
        <v/>
      </c>
    </row>
    <row r="4758">
      <c r="A4758" s="15" t="inlineStr">
        <is>
          <t>Морозова</t>
        </is>
      </c>
      <c r="B4758" s="6" t="n">
        <v>34</v>
      </c>
      <c r="C4758" s="7">
        <f>INDEX(Нед_Раб,34)</f>
        <v/>
      </c>
      <c r="D4758" s="10">
        <f>SUM(G236:G242)</f>
        <v/>
      </c>
      <c r="E4758" s="10">
        <f>SUMIFS($G$236:$G$242,$D$236:$D$242,INDEX($D$236:$D$242,1))</f>
        <v/>
      </c>
      <c r="F4758" s="10">
        <f>SUMIFS($G$236:$G$242,$D$236:$D$242,INDEX($D$236:$D$242,7))</f>
        <v/>
      </c>
      <c r="G4758" s="7">
        <f>IF(ROUND(E4758+F4758-D4758,2)=0,"OK","ОШИБКА")</f>
        <v/>
      </c>
    </row>
    <row r="4759">
      <c r="A4759" s="15" t="inlineStr">
        <is>
          <t>Морозова</t>
        </is>
      </c>
      <c r="B4759" s="6" t="n">
        <v>35</v>
      </c>
      <c r="C4759" s="7">
        <f>INDEX(Нед_Раб,35)</f>
        <v/>
      </c>
      <c r="D4759" s="10">
        <f>SUM(G243:G249)</f>
        <v/>
      </c>
      <c r="E4759" s="10">
        <f>SUMIFS($G$243:$G$249,$D$243:$D$249,INDEX($D$243:$D$249,1))</f>
        <v/>
      </c>
      <c r="F4759" s="10">
        <f>SUMIFS($G$243:$G$249,$D$243:$D$249,INDEX($D$243:$D$249,7))</f>
        <v/>
      </c>
      <c r="G4759" s="7">
        <f>IF(ROUND(E4759+F4759-D4759,2)=0,"OK","ОШИБКА")</f>
        <v/>
      </c>
    </row>
    <row r="4760">
      <c r="A4760" s="15" t="inlineStr">
        <is>
          <t>Морозова</t>
        </is>
      </c>
      <c r="B4760" s="6" t="n">
        <v>36</v>
      </c>
      <c r="C4760" s="7">
        <f>INDEX(Нед_Раб,36)</f>
        <v/>
      </c>
      <c r="D4760" s="10">
        <f>SUM(G250:G256)</f>
        <v/>
      </c>
      <c r="E4760" s="10">
        <f>SUMIFS($G$250:$G$256,$D$250:$D$256,INDEX($D$250:$D$256,1))</f>
        <v/>
      </c>
      <c r="F4760" s="10">
        <f>SUMIFS($G$250:$G$256,$D$250:$D$256,INDEX($D$250:$D$256,7))</f>
        <v/>
      </c>
      <c r="G4760" s="7">
        <f>IF(ROUND(E4760+F4760-D4760,2)=0,"OK","ОШИБКА")</f>
        <v/>
      </c>
    </row>
    <row r="4761">
      <c r="A4761" s="15" t="inlineStr">
        <is>
          <t>Морозова</t>
        </is>
      </c>
      <c r="B4761" s="6" t="n">
        <v>37</v>
      </c>
      <c r="C4761" s="7">
        <f>INDEX(Нед_Раб,37)</f>
        <v/>
      </c>
      <c r="D4761" s="10">
        <f>SUM(G257:G263)</f>
        <v/>
      </c>
      <c r="E4761" s="10">
        <f>SUMIFS($G$257:$G$263,$D$257:$D$263,INDEX($D$257:$D$263,1))</f>
        <v/>
      </c>
      <c r="F4761" s="10">
        <f>SUMIFS($G$257:$G$263,$D$257:$D$263,INDEX($D$257:$D$263,7))</f>
        <v/>
      </c>
      <c r="G4761" s="7">
        <f>IF(ROUND(E4761+F4761-D4761,2)=0,"OK","ОШИБКА")</f>
        <v/>
      </c>
    </row>
    <row r="4762">
      <c r="A4762" s="15" t="inlineStr">
        <is>
          <t>Морозова</t>
        </is>
      </c>
      <c r="B4762" s="6" t="n">
        <v>38</v>
      </c>
      <c r="C4762" s="7">
        <f>INDEX(Нед_Раб,38)</f>
        <v/>
      </c>
      <c r="D4762" s="10">
        <f>SUM(G264:G270)</f>
        <v/>
      </c>
      <c r="E4762" s="10">
        <f>SUMIFS($G$264:$G$270,$D$264:$D$270,INDEX($D$264:$D$270,1))</f>
        <v/>
      </c>
      <c r="F4762" s="10">
        <f>SUMIFS($G$264:$G$270,$D$264:$D$270,INDEX($D$264:$D$270,7))</f>
        <v/>
      </c>
      <c r="G4762" s="7">
        <f>IF(ROUND(E4762+F4762-D4762,2)=0,"OK","ОШИБКА")</f>
        <v/>
      </c>
    </row>
    <row r="4763">
      <c r="A4763" s="15" t="inlineStr">
        <is>
          <t>Морозова</t>
        </is>
      </c>
      <c r="B4763" s="6" t="n">
        <v>39</v>
      </c>
      <c r="C4763" s="7">
        <f>INDEX(Нед_Раб,39)</f>
        <v/>
      </c>
      <c r="D4763" s="10">
        <f>SUM(G271:G277)</f>
        <v/>
      </c>
      <c r="E4763" s="10">
        <f>SUMIFS($G$271:$G$277,$D$271:$D$277,INDEX($D$271:$D$277,1))</f>
        <v/>
      </c>
      <c r="F4763" s="10">
        <f>SUMIFS($G$271:$G$277,$D$271:$D$277,INDEX($D$271:$D$277,7))</f>
        <v/>
      </c>
      <c r="G4763" s="7">
        <f>IF(ROUND(E4763+F4763-D4763,2)=0,"OK","ОШИБКА")</f>
        <v/>
      </c>
    </row>
    <row r="4764">
      <c r="A4764" s="15" t="inlineStr">
        <is>
          <t>Морозова</t>
        </is>
      </c>
      <c r="B4764" s="6" t="n">
        <v>40</v>
      </c>
      <c r="C4764" s="7">
        <f>INDEX(Нед_Раб,40)</f>
        <v/>
      </c>
      <c r="D4764" s="10">
        <f>SUM(G278:G284)</f>
        <v/>
      </c>
      <c r="E4764" s="10">
        <f>SUMIFS($G$278:$G$284,$D$278:$D$284,INDEX($D$278:$D$284,1))</f>
        <v/>
      </c>
      <c r="F4764" s="10">
        <f>SUMIFS($G$278:$G$284,$D$278:$D$284,INDEX($D$278:$D$284,7))</f>
        <v/>
      </c>
      <c r="G4764" s="7">
        <f>IF(ROUND(E4764+F4764-D4764,2)=0,"OK","ОШИБКА")</f>
        <v/>
      </c>
    </row>
    <row r="4765">
      <c r="A4765" s="15" t="inlineStr">
        <is>
          <t>Морозова</t>
        </is>
      </c>
      <c r="B4765" s="6" t="n">
        <v>41</v>
      </c>
      <c r="C4765" s="7">
        <f>INDEX(Нед_Раб,41)</f>
        <v/>
      </c>
      <c r="D4765" s="10">
        <f>SUM(G285:G291)</f>
        <v/>
      </c>
      <c r="E4765" s="10">
        <f>SUMIFS($G$285:$G$291,$D$285:$D$291,INDEX($D$285:$D$291,1))</f>
        <v/>
      </c>
      <c r="F4765" s="10">
        <f>SUMIFS($G$285:$G$291,$D$285:$D$291,INDEX($D$285:$D$291,7))</f>
        <v/>
      </c>
      <c r="G4765" s="7">
        <f>IF(ROUND(E4765+F4765-D4765,2)=0,"OK","ОШИБКА")</f>
        <v/>
      </c>
    </row>
    <row r="4766">
      <c r="A4766" s="15" t="inlineStr">
        <is>
          <t>Морозова</t>
        </is>
      </c>
      <c r="B4766" s="6" t="n">
        <v>42</v>
      </c>
      <c r="C4766" s="7">
        <f>INDEX(Нед_Раб,42)</f>
        <v/>
      </c>
      <c r="D4766" s="10">
        <f>SUM(G292:G298)</f>
        <v/>
      </c>
      <c r="E4766" s="10">
        <f>SUMIFS($G$292:$G$298,$D$292:$D$298,INDEX($D$292:$D$298,1))</f>
        <v/>
      </c>
      <c r="F4766" s="10">
        <f>SUMIFS($G$292:$G$298,$D$292:$D$298,INDEX($D$292:$D$298,7))</f>
        <v/>
      </c>
      <c r="G4766" s="7">
        <f>IF(ROUND(E4766+F4766-D4766,2)=0,"OK","ОШИБКА")</f>
        <v/>
      </c>
    </row>
    <row r="4767">
      <c r="A4767" s="15" t="inlineStr">
        <is>
          <t>Морозова</t>
        </is>
      </c>
      <c r="B4767" s="6" t="n">
        <v>43</v>
      </c>
      <c r="C4767" s="7">
        <f>INDEX(Нед_Раб,43)</f>
        <v/>
      </c>
      <c r="D4767" s="10">
        <f>SUM(G299:G305)</f>
        <v/>
      </c>
      <c r="E4767" s="10">
        <f>SUMIFS($G$299:$G$305,$D$299:$D$305,INDEX($D$299:$D$305,1))</f>
        <v/>
      </c>
      <c r="F4767" s="10">
        <f>SUMIFS($G$299:$G$305,$D$299:$D$305,INDEX($D$299:$D$305,7))</f>
        <v/>
      </c>
      <c r="G4767" s="7">
        <f>IF(ROUND(E4767+F4767-D4767,2)=0,"OK","ОШИБКА")</f>
        <v/>
      </c>
    </row>
    <row r="4768">
      <c r="A4768" s="15" t="inlineStr">
        <is>
          <t>Морозова</t>
        </is>
      </c>
      <c r="B4768" s="6" t="n">
        <v>44</v>
      </c>
      <c r="C4768" s="7">
        <f>INDEX(Нед_Раб,44)</f>
        <v/>
      </c>
      <c r="D4768" s="10">
        <f>SUM(G306:G312)</f>
        <v/>
      </c>
      <c r="E4768" s="10">
        <f>SUMIFS($G$306:$G$312,$D$306:$D$312,INDEX($D$306:$D$312,1))</f>
        <v/>
      </c>
      <c r="F4768" s="10">
        <f>SUMIFS($G$306:$G$312,$D$306:$D$312,INDEX($D$306:$D$312,7))</f>
        <v/>
      </c>
      <c r="G4768" s="7">
        <f>IF(ROUND(E4768+F4768-D4768,2)=0,"OK","ОШИБКА")</f>
        <v/>
      </c>
    </row>
    <row r="4769">
      <c r="A4769" s="15" t="inlineStr">
        <is>
          <t>Морозова</t>
        </is>
      </c>
      <c r="B4769" s="6" t="n">
        <v>45</v>
      </c>
      <c r="C4769" s="7">
        <f>INDEX(Нед_Раб,45)</f>
        <v/>
      </c>
      <c r="D4769" s="10">
        <f>SUM(G313:G319)</f>
        <v/>
      </c>
      <c r="E4769" s="10">
        <f>SUMIFS($G$313:$G$319,$D$313:$D$319,INDEX($D$313:$D$319,1))</f>
        <v/>
      </c>
      <c r="F4769" s="10">
        <f>SUMIFS($G$313:$G$319,$D$313:$D$319,INDEX($D$313:$D$319,7))</f>
        <v/>
      </c>
      <c r="G4769" s="7">
        <f>IF(ROUND(E4769+F4769-D4769,2)=0,"OK","ОШИБКА")</f>
        <v/>
      </c>
    </row>
    <row r="4770">
      <c r="A4770" s="15" t="inlineStr">
        <is>
          <t>Морозова</t>
        </is>
      </c>
      <c r="B4770" s="6" t="n">
        <v>46</v>
      </c>
      <c r="C4770" s="7">
        <f>INDEX(Нед_Раб,46)</f>
        <v/>
      </c>
      <c r="D4770" s="10">
        <f>SUM(G320:G326)</f>
        <v/>
      </c>
      <c r="E4770" s="10">
        <f>SUMIFS($G$320:$G$326,$D$320:$D$326,INDEX($D$320:$D$326,1))</f>
        <v/>
      </c>
      <c r="F4770" s="10">
        <f>SUMIFS($G$320:$G$326,$D$320:$D$326,INDEX($D$320:$D$326,7))</f>
        <v/>
      </c>
      <c r="G4770" s="7">
        <f>IF(ROUND(E4770+F4770-D4770,2)=0,"OK","ОШИБКА")</f>
        <v/>
      </c>
    </row>
    <row r="4771">
      <c r="A4771" s="15" t="inlineStr">
        <is>
          <t>Морозова</t>
        </is>
      </c>
      <c r="B4771" s="6" t="n">
        <v>47</v>
      </c>
      <c r="C4771" s="7">
        <f>INDEX(Нед_Раб,47)</f>
        <v/>
      </c>
      <c r="D4771" s="10">
        <f>SUM(G327:G333)</f>
        <v/>
      </c>
      <c r="E4771" s="10">
        <f>SUMIFS($G$327:$G$333,$D$327:$D$333,INDEX($D$327:$D$333,1))</f>
        <v/>
      </c>
      <c r="F4771" s="10">
        <f>SUMIFS($G$327:$G$333,$D$327:$D$333,INDEX($D$327:$D$333,7))</f>
        <v/>
      </c>
      <c r="G4771" s="7">
        <f>IF(ROUND(E4771+F4771-D4771,2)=0,"OK","ОШИБКА")</f>
        <v/>
      </c>
    </row>
    <row r="4772">
      <c r="A4772" s="15" t="inlineStr">
        <is>
          <t>Морозова</t>
        </is>
      </c>
      <c r="B4772" s="6" t="n">
        <v>48</v>
      </c>
      <c r="C4772" s="7">
        <f>INDEX(Нед_Раб,48)</f>
        <v/>
      </c>
      <c r="D4772" s="10">
        <f>SUM(G334:G340)</f>
        <v/>
      </c>
      <c r="E4772" s="10">
        <f>SUMIFS($G$334:$G$340,$D$334:$D$340,INDEX($D$334:$D$340,1))</f>
        <v/>
      </c>
      <c r="F4772" s="10">
        <f>SUMIFS($G$334:$G$340,$D$334:$D$340,INDEX($D$334:$D$340,7))</f>
        <v/>
      </c>
      <c r="G4772" s="7">
        <f>IF(ROUND(E4772+F4772-D4772,2)=0,"OK","ОШИБКА")</f>
        <v/>
      </c>
    </row>
    <row r="4773">
      <c r="A4773" s="15" t="inlineStr">
        <is>
          <t>Морозова</t>
        </is>
      </c>
      <c r="B4773" s="6" t="n">
        <v>49</v>
      </c>
      <c r="C4773" s="7">
        <f>INDEX(Нед_Раб,49)</f>
        <v/>
      </c>
      <c r="D4773" s="10">
        <f>SUM(G341:G347)</f>
        <v/>
      </c>
      <c r="E4773" s="10">
        <f>SUMIFS($G$341:$G$347,$D$341:$D$347,INDEX($D$341:$D$347,1))</f>
        <v/>
      </c>
      <c r="F4773" s="10">
        <f>SUMIFS($G$341:$G$347,$D$341:$D$347,INDEX($D$341:$D$347,7))</f>
        <v/>
      </c>
      <c r="G4773" s="7">
        <f>IF(ROUND(E4773+F4773-D4773,2)=0,"OK","ОШИБКА")</f>
        <v/>
      </c>
    </row>
    <row r="4774">
      <c r="A4774" s="15" t="inlineStr">
        <is>
          <t>Морозова</t>
        </is>
      </c>
      <c r="B4774" s="6" t="n">
        <v>50</v>
      </c>
      <c r="C4774" s="7">
        <f>INDEX(Нед_Раб,50)</f>
        <v/>
      </c>
      <c r="D4774" s="10">
        <f>SUM(G348:G354)</f>
        <v/>
      </c>
      <c r="E4774" s="10">
        <f>SUMIFS($G$348:$G$354,$D$348:$D$354,INDEX($D$348:$D$354,1))</f>
        <v/>
      </c>
      <c r="F4774" s="10">
        <f>SUMIFS($G$348:$G$354,$D$348:$D$354,INDEX($D$348:$D$354,7))</f>
        <v/>
      </c>
      <c r="G4774" s="7">
        <f>IF(ROUND(E4774+F4774-D4774,2)=0,"OK","ОШИБКА")</f>
        <v/>
      </c>
    </row>
    <row r="4775">
      <c r="A4775" s="15" t="inlineStr">
        <is>
          <t>Морозова</t>
        </is>
      </c>
      <c r="B4775" s="6" t="n">
        <v>51</v>
      </c>
      <c r="C4775" s="7">
        <f>INDEX(Нед_Раб,51)</f>
        <v/>
      </c>
      <c r="D4775" s="10">
        <f>SUM(G355:G361)</f>
        <v/>
      </c>
      <c r="E4775" s="10">
        <f>SUMIFS($G$355:$G$361,$D$355:$D$361,INDEX($D$355:$D$361,1))</f>
        <v/>
      </c>
      <c r="F4775" s="10">
        <f>SUMIFS($G$355:$G$361,$D$355:$D$361,INDEX($D$355:$D$361,7))</f>
        <v/>
      </c>
      <c r="G4775" s="7">
        <f>IF(ROUND(E4775+F4775-D4775,2)=0,"OK","ОШИБКА")</f>
        <v/>
      </c>
    </row>
    <row r="4776">
      <c r="A4776" s="15" t="inlineStr">
        <is>
          <t>Морозова</t>
        </is>
      </c>
      <c r="B4776" s="6" t="n">
        <v>52</v>
      </c>
      <c r="C4776" s="7">
        <f>INDEX(Нед_Раб,52)</f>
        <v/>
      </c>
      <c r="D4776" s="10">
        <f>SUM(G362:G368)</f>
        <v/>
      </c>
      <c r="E4776" s="10">
        <f>SUMIFS($G$362:$G$368,$D$362:$D$368,INDEX($D$362:$D$368,1))</f>
        <v/>
      </c>
      <c r="F4776" s="10">
        <f>SUMIFS($G$362:$G$368,$D$362:$D$368,INDEX($D$362:$D$368,7))</f>
        <v/>
      </c>
      <c r="G4776" s="7">
        <f>IF(ROUND(E4776+F4776-D4776,2)=0,"OK","ОШИБКА")</f>
        <v/>
      </c>
    </row>
    <row r="4777">
      <c r="A4777" s="15" t="inlineStr">
        <is>
          <t>Морозова</t>
        </is>
      </c>
      <c r="B4777" s="6" t="n">
        <v>53</v>
      </c>
      <c r="C4777" s="7">
        <f>INDEX(Нед_Раб,53)</f>
        <v/>
      </c>
      <c r="D4777" s="10">
        <f>SUM(G369:G375)</f>
        <v/>
      </c>
      <c r="E4777" s="10">
        <f>SUMIFS($G$369:$G$375,$D$369:$D$375,INDEX($D$369:$D$375,1))</f>
        <v/>
      </c>
      <c r="F4777" s="10">
        <f>SUMIFS($G$369:$G$375,$D$369:$D$375,INDEX($D$369:$D$375,7))</f>
        <v/>
      </c>
      <c r="G4777" s="7">
        <f>IF(ROUND(E4777+F4777-D4777,2)=0,"OK","ОШИБКА")</f>
        <v/>
      </c>
    </row>
    <row r="4778">
      <c r="A4778" s="15" t="inlineStr">
        <is>
          <t>Волков</t>
        </is>
      </c>
      <c r="B4778" s="6" t="n">
        <v>1</v>
      </c>
      <c r="C4778" s="7">
        <f>INDEX(Нед_Раб,1)</f>
        <v/>
      </c>
      <c r="D4778" s="10">
        <f>SUM(G5:G11)</f>
        <v/>
      </c>
      <c r="E4778" s="10">
        <f>SUMIFS($G$5:$G$11,$D$5:$D$11,INDEX($D$5:$D$11,1))</f>
        <v/>
      </c>
      <c r="F4778" s="10">
        <f>SUMIFS($G$5:$G$11,$D$5:$D$11,INDEX($D$5:$D$11,7))</f>
        <v/>
      </c>
      <c r="G4778" s="7">
        <f>IF(ROUND(E4778+F4778-D4778,2)=0,"OK","ОШИБКА")</f>
        <v/>
      </c>
    </row>
    <row r="4779">
      <c r="A4779" s="15" t="inlineStr">
        <is>
          <t>Волков</t>
        </is>
      </c>
      <c r="B4779" s="6" t="n">
        <v>2</v>
      </c>
      <c r="C4779" s="7">
        <f>INDEX(Нед_Раб,2)</f>
        <v/>
      </c>
      <c r="D4779" s="10">
        <f>SUM(G12:G18)</f>
        <v/>
      </c>
      <c r="E4779" s="10">
        <f>SUMIFS($G$12:$G$18,$D$12:$D$18,INDEX($D$12:$D$18,1))</f>
        <v/>
      </c>
      <c r="F4779" s="10">
        <f>SUMIFS($G$12:$G$18,$D$12:$D$18,INDEX($D$12:$D$18,7))</f>
        <v/>
      </c>
      <c r="G4779" s="7">
        <f>IF(ROUND(E4779+F4779-D4779,2)=0,"OK","ОШИБКА")</f>
        <v/>
      </c>
    </row>
    <row r="4780">
      <c r="A4780" s="15" t="inlineStr">
        <is>
          <t>Волков</t>
        </is>
      </c>
      <c r="B4780" s="6" t="n">
        <v>3</v>
      </c>
      <c r="C4780" s="7">
        <f>INDEX(Нед_Раб,3)</f>
        <v/>
      </c>
      <c r="D4780" s="10">
        <f>SUM(G19:G25)</f>
        <v/>
      </c>
      <c r="E4780" s="10">
        <f>SUMIFS($G$19:$G$25,$D$19:$D$25,INDEX($D$19:$D$25,1))</f>
        <v/>
      </c>
      <c r="F4780" s="10">
        <f>SUMIFS($G$19:$G$25,$D$19:$D$25,INDEX($D$19:$D$25,7))</f>
        <v/>
      </c>
      <c r="G4780" s="7">
        <f>IF(ROUND(E4780+F4780-D4780,2)=0,"OK","ОШИБКА")</f>
        <v/>
      </c>
    </row>
    <row r="4781">
      <c r="A4781" s="15" t="inlineStr">
        <is>
          <t>Волков</t>
        </is>
      </c>
      <c r="B4781" s="6" t="n">
        <v>4</v>
      </c>
      <c r="C4781" s="7">
        <f>INDEX(Нед_Раб,4)</f>
        <v/>
      </c>
      <c r="D4781" s="10">
        <f>SUM(G26:G32)</f>
        <v/>
      </c>
      <c r="E4781" s="10">
        <f>SUMIFS($G$26:$G$32,$D$26:$D$32,INDEX($D$26:$D$32,1))</f>
        <v/>
      </c>
      <c r="F4781" s="10">
        <f>SUMIFS($G$26:$G$32,$D$26:$D$32,INDEX($D$26:$D$32,7))</f>
        <v/>
      </c>
      <c r="G4781" s="7">
        <f>IF(ROUND(E4781+F4781-D4781,2)=0,"OK","ОШИБКА")</f>
        <v/>
      </c>
    </row>
    <row r="4782">
      <c r="A4782" s="15" t="inlineStr">
        <is>
          <t>Волков</t>
        </is>
      </c>
      <c r="B4782" s="6" t="n">
        <v>5</v>
      </c>
      <c r="C4782" s="7">
        <f>INDEX(Нед_Раб,5)</f>
        <v/>
      </c>
      <c r="D4782" s="10">
        <f>SUM(G33:G39)</f>
        <v/>
      </c>
      <c r="E4782" s="10">
        <f>SUMIFS($G$33:$G$39,$D$33:$D$39,INDEX($D$33:$D$39,1))</f>
        <v/>
      </c>
      <c r="F4782" s="10">
        <f>SUMIFS($G$33:$G$39,$D$33:$D$39,INDEX($D$33:$D$39,7))</f>
        <v/>
      </c>
      <c r="G4782" s="7">
        <f>IF(ROUND(E4782+F4782-D4782,2)=0,"OK","ОШИБКА")</f>
        <v/>
      </c>
    </row>
    <row r="4783">
      <c r="A4783" s="15" t="inlineStr">
        <is>
          <t>Волков</t>
        </is>
      </c>
      <c r="B4783" s="6" t="n">
        <v>6</v>
      </c>
      <c r="C4783" s="7">
        <f>INDEX(Нед_Раб,6)</f>
        <v/>
      </c>
      <c r="D4783" s="10">
        <f>SUM(G40:G46)</f>
        <v/>
      </c>
      <c r="E4783" s="10">
        <f>SUMIFS($G$40:$G$46,$D$40:$D$46,INDEX($D$40:$D$46,1))</f>
        <v/>
      </c>
      <c r="F4783" s="10">
        <f>SUMIFS($G$40:$G$46,$D$40:$D$46,INDEX($D$40:$D$46,7))</f>
        <v/>
      </c>
      <c r="G4783" s="7">
        <f>IF(ROUND(E4783+F4783-D4783,2)=0,"OK","ОШИБКА")</f>
        <v/>
      </c>
    </row>
    <row r="4784">
      <c r="A4784" s="15" t="inlineStr">
        <is>
          <t>Волков</t>
        </is>
      </c>
      <c r="B4784" s="6" t="n">
        <v>7</v>
      </c>
      <c r="C4784" s="7">
        <f>INDEX(Нед_Раб,7)</f>
        <v/>
      </c>
      <c r="D4784" s="10">
        <f>SUM(G47:G53)</f>
        <v/>
      </c>
      <c r="E4784" s="10">
        <f>SUMIFS($G$47:$G$53,$D$47:$D$53,INDEX($D$47:$D$53,1))</f>
        <v/>
      </c>
      <c r="F4784" s="10">
        <f>SUMIFS($G$47:$G$53,$D$47:$D$53,INDEX($D$47:$D$53,7))</f>
        <v/>
      </c>
      <c r="G4784" s="7">
        <f>IF(ROUND(E4784+F4784-D4784,2)=0,"OK","ОШИБКА")</f>
        <v/>
      </c>
    </row>
    <row r="4785">
      <c r="A4785" s="15" t="inlineStr">
        <is>
          <t>Волков</t>
        </is>
      </c>
      <c r="B4785" s="6" t="n">
        <v>8</v>
      </c>
      <c r="C4785" s="7">
        <f>INDEX(Нед_Раб,8)</f>
        <v/>
      </c>
      <c r="D4785" s="10">
        <f>SUM(G54:G60)</f>
        <v/>
      </c>
      <c r="E4785" s="10">
        <f>SUMIFS($G$54:$G$60,$D$54:$D$60,INDEX($D$54:$D$60,1))</f>
        <v/>
      </c>
      <c r="F4785" s="10">
        <f>SUMIFS($G$54:$G$60,$D$54:$D$60,INDEX($D$54:$D$60,7))</f>
        <v/>
      </c>
      <c r="G4785" s="7">
        <f>IF(ROUND(E4785+F4785-D4785,2)=0,"OK","ОШИБКА")</f>
        <v/>
      </c>
    </row>
    <row r="4786">
      <c r="A4786" s="15" t="inlineStr">
        <is>
          <t>Волков</t>
        </is>
      </c>
      <c r="B4786" s="6" t="n">
        <v>9</v>
      </c>
      <c r="C4786" s="7">
        <f>INDEX(Нед_Раб,9)</f>
        <v/>
      </c>
      <c r="D4786" s="10">
        <f>SUM(G61:G67)</f>
        <v/>
      </c>
      <c r="E4786" s="10">
        <f>SUMIFS($G$61:$G$67,$D$61:$D$67,INDEX($D$61:$D$67,1))</f>
        <v/>
      </c>
      <c r="F4786" s="10">
        <f>SUMIFS($G$61:$G$67,$D$61:$D$67,INDEX($D$61:$D$67,7))</f>
        <v/>
      </c>
      <c r="G4786" s="7">
        <f>IF(ROUND(E4786+F4786-D4786,2)=0,"OK","ОШИБКА")</f>
        <v/>
      </c>
    </row>
    <row r="4787">
      <c r="A4787" s="15" t="inlineStr">
        <is>
          <t>Волков</t>
        </is>
      </c>
      <c r="B4787" s="6" t="n">
        <v>10</v>
      </c>
      <c r="C4787" s="7">
        <f>INDEX(Нед_Раб,10)</f>
        <v/>
      </c>
      <c r="D4787" s="10">
        <f>SUM(G68:G74)</f>
        <v/>
      </c>
      <c r="E4787" s="10">
        <f>SUMIFS($G$68:$G$74,$D$68:$D$74,INDEX($D$68:$D$74,1))</f>
        <v/>
      </c>
      <c r="F4787" s="10">
        <f>SUMIFS($G$68:$G$74,$D$68:$D$74,INDEX($D$68:$D$74,7))</f>
        <v/>
      </c>
      <c r="G4787" s="7">
        <f>IF(ROUND(E4787+F4787-D4787,2)=0,"OK","ОШИБКА")</f>
        <v/>
      </c>
    </row>
    <row r="4788">
      <c r="A4788" s="15" t="inlineStr">
        <is>
          <t>Волков</t>
        </is>
      </c>
      <c r="B4788" s="6" t="n">
        <v>11</v>
      </c>
      <c r="C4788" s="7">
        <f>INDEX(Нед_Раб,11)</f>
        <v/>
      </c>
      <c r="D4788" s="10">
        <f>SUM(G75:G81)</f>
        <v/>
      </c>
      <c r="E4788" s="10">
        <f>SUMIFS($G$75:$G$81,$D$75:$D$81,INDEX($D$75:$D$81,1))</f>
        <v/>
      </c>
      <c r="F4788" s="10">
        <f>SUMIFS($G$75:$G$81,$D$75:$D$81,INDEX($D$75:$D$81,7))</f>
        <v/>
      </c>
      <c r="G4788" s="7">
        <f>IF(ROUND(E4788+F4788-D4788,2)=0,"OK","ОШИБКА")</f>
        <v/>
      </c>
    </row>
    <row r="4789">
      <c r="A4789" s="15" t="inlineStr">
        <is>
          <t>Волков</t>
        </is>
      </c>
      <c r="B4789" s="6" t="n">
        <v>12</v>
      </c>
      <c r="C4789" s="7">
        <f>INDEX(Нед_Раб,12)</f>
        <v/>
      </c>
      <c r="D4789" s="10">
        <f>SUM(G82:G88)</f>
        <v/>
      </c>
      <c r="E4789" s="10">
        <f>SUMIFS($G$82:$G$88,$D$82:$D$88,INDEX($D$82:$D$88,1))</f>
        <v/>
      </c>
      <c r="F4789" s="10">
        <f>SUMIFS($G$82:$G$88,$D$82:$D$88,INDEX($D$82:$D$88,7))</f>
        <v/>
      </c>
      <c r="G4789" s="7">
        <f>IF(ROUND(E4789+F4789-D4789,2)=0,"OK","ОШИБКА")</f>
        <v/>
      </c>
    </row>
    <row r="4790">
      <c r="A4790" s="15" t="inlineStr">
        <is>
          <t>Волков</t>
        </is>
      </c>
      <c r="B4790" s="6" t="n">
        <v>13</v>
      </c>
      <c r="C4790" s="7">
        <f>INDEX(Нед_Раб,13)</f>
        <v/>
      </c>
      <c r="D4790" s="10">
        <f>SUM(G89:G95)</f>
        <v/>
      </c>
      <c r="E4790" s="10">
        <f>SUMIFS($G$89:$G$95,$D$89:$D$95,INDEX($D$89:$D$95,1))</f>
        <v/>
      </c>
      <c r="F4790" s="10">
        <f>SUMIFS($G$89:$G$95,$D$89:$D$95,INDEX($D$89:$D$95,7))</f>
        <v/>
      </c>
      <c r="G4790" s="7">
        <f>IF(ROUND(E4790+F4790-D4790,2)=0,"OK","ОШИБКА")</f>
        <v/>
      </c>
    </row>
    <row r="4791">
      <c r="A4791" s="15" t="inlineStr">
        <is>
          <t>Волков</t>
        </is>
      </c>
      <c r="B4791" s="6" t="n">
        <v>14</v>
      </c>
      <c r="C4791" s="7">
        <f>INDEX(Нед_Раб,14)</f>
        <v/>
      </c>
      <c r="D4791" s="10">
        <f>SUM(G96:G102)</f>
        <v/>
      </c>
      <c r="E4791" s="10">
        <f>SUMIFS($G$96:$G$102,$D$96:$D$102,INDEX($D$96:$D$102,1))</f>
        <v/>
      </c>
      <c r="F4791" s="10">
        <f>SUMIFS($G$96:$G$102,$D$96:$D$102,INDEX($D$96:$D$102,7))</f>
        <v/>
      </c>
      <c r="G4791" s="7">
        <f>IF(ROUND(E4791+F4791-D4791,2)=0,"OK","ОШИБКА")</f>
        <v/>
      </c>
    </row>
    <row r="4792">
      <c r="A4792" s="15" t="inlineStr">
        <is>
          <t>Волков</t>
        </is>
      </c>
      <c r="B4792" s="6" t="n">
        <v>15</v>
      </c>
      <c r="C4792" s="7">
        <f>INDEX(Нед_Раб,15)</f>
        <v/>
      </c>
      <c r="D4792" s="10">
        <f>SUM(G103:G109)</f>
        <v/>
      </c>
      <c r="E4792" s="10">
        <f>SUMIFS($G$103:$G$109,$D$103:$D$109,INDEX($D$103:$D$109,1))</f>
        <v/>
      </c>
      <c r="F4792" s="10">
        <f>SUMIFS($G$103:$G$109,$D$103:$D$109,INDEX($D$103:$D$109,7))</f>
        <v/>
      </c>
      <c r="G4792" s="7">
        <f>IF(ROUND(E4792+F4792-D4792,2)=0,"OK","ОШИБКА")</f>
        <v/>
      </c>
    </row>
    <row r="4793">
      <c r="A4793" s="15" t="inlineStr">
        <is>
          <t>Волков</t>
        </is>
      </c>
      <c r="B4793" s="6" t="n">
        <v>16</v>
      </c>
      <c r="C4793" s="7">
        <f>INDEX(Нед_Раб,16)</f>
        <v/>
      </c>
      <c r="D4793" s="10">
        <f>SUM(G110:G116)</f>
        <v/>
      </c>
      <c r="E4793" s="10">
        <f>SUMIFS($G$110:$G$116,$D$110:$D$116,INDEX($D$110:$D$116,1))</f>
        <v/>
      </c>
      <c r="F4793" s="10">
        <f>SUMIFS($G$110:$G$116,$D$110:$D$116,INDEX($D$110:$D$116,7))</f>
        <v/>
      </c>
      <c r="G4793" s="7">
        <f>IF(ROUND(E4793+F4793-D4793,2)=0,"OK","ОШИБКА")</f>
        <v/>
      </c>
    </row>
    <row r="4794">
      <c r="A4794" s="15" t="inlineStr">
        <is>
          <t>Волков</t>
        </is>
      </c>
      <c r="B4794" s="6" t="n">
        <v>17</v>
      </c>
      <c r="C4794" s="7">
        <f>INDEX(Нед_Раб,17)</f>
        <v/>
      </c>
      <c r="D4794" s="10">
        <f>SUM(G117:G123)</f>
        <v/>
      </c>
      <c r="E4794" s="10">
        <f>SUMIFS($G$117:$G$123,$D$117:$D$123,INDEX($D$117:$D$123,1))</f>
        <v/>
      </c>
      <c r="F4794" s="10">
        <f>SUMIFS($G$117:$G$123,$D$117:$D$123,INDEX($D$117:$D$123,7))</f>
        <v/>
      </c>
      <c r="G4794" s="7">
        <f>IF(ROUND(E4794+F4794-D4794,2)=0,"OK","ОШИБКА")</f>
        <v/>
      </c>
    </row>
    <row r="4795">
      <c r="A4795" s="15" t="inlineStr">
        <is>
          <t>Волков</t>
        </is>
      </c>
      <c r="B4795" s="6" t="n">
        <v>18</v>
      </c>
      <c r="C4795" s="7">
        <f>INDEX(Нед_Раб,18)</f>
        <v/>
      </c>
      <c r="D4795" s="10">
        <f>SUM(G124:G130)</f>
        <v/>
      </c>
      <c r="E4795" s="10">
        <f>SUMIFS($G$124:$G$130,$D$124:$D$130,INDEX($D$124:$D$130,1))</f>
        <v/>
      </c>
      <c r="F4795" s="10">
        <f>SUMIFS($G$124:$G$130,$D$124:$D$130,INDEX($D$124:$D$130,7))</f>
        <v/>
      </c>
      <c r="G4795" s="7">
        <f>IF(ROUND(E4795+F4795-D4795,2)=0,"OK","ОШИБКА")</f>
        <v/>
      </c>
    </row>
    <row r="4796">
      <c r="A4796" s="15" t="inlineStr">
        <is>
          <t>Волков</t>
        </is>
      </c>
      <c r="B4796" s="6" t="n">
        <v>19</v>
      </c>
      <c r="C4796" s="7">
        <f>INDEX(Нед_Раб,19)</f>
        <v/>
      </c>
      <c r="D4796" s="10">
        <f>SUM(G131:G137)</f>
        <v/>
      </c>
      <c r="E4796" s="10">
        <f>SUMIFS($G$131:$G$137,$D$131:$D$137,INDEX($D$131:$D$137,1))</f>
        <v/>
      </c>
      <c r="F4796" s="10">
        <f>SUMIFS($G$131:$G$137,$D$131:$D$137,INDEX($D$131:$D$137,7))</f>
        <v/>
      </c>
      <c r="G4796" s="7">
        <f>IF(ROUND(E4796+F4796-D4796,2)=0,"OK","ОШИБКА")</f>
        <v/>
      </c>
    </row>
    <row r="4797">
      <c r="A4797" s="15" t="inlineStr">
        <is>
          <t>Волков</t>
        </is>
      </c>
      <c r="B4797" s="6" t="n">
        <v>20</v>
      </c>
      <c r="C4797" s="7">
        <f>INDEX(Нед_Раб,20)</f>
        <v/>
      </c>
      <c r="D4797" s="10">
        <f>SUM(G138:G144)</f>
        <v/>
      </c>
      <c r="E4797" s="10">
        <f>SUMIFS($G$138:$G$144,$D$138:$D$144,INDEX($D$138:$D$144,1))</f>
        <v/>
      </c>
      <c r="F4797" s="10">
        <f>SUMIFS($G$138:$G$144,$D$138:$D$144,INDEX($D$138:$D$144,7))</f>
        <v/>
      </c>
      <c r="G4797" s="7">
        <f>IF(ROUND(E4797+F4797-D4797,2)=0,"OK","ОШИБКА")</f>
        <v/>
      </c>
    </row>
    <row r="4798">
      <c r="A4798" s="15" t="inlineStr">
        <is>
          <t>Волков</t>
        </is>
      </c>
      <c r="B4798" s="6" t="n">
        <v>21</v>
      </c>
      <c r="C4798" s="7">
        <f>INDEX(Нед_Раб,21)</f>
        <v/>
      </c>
      <c r="D4798" s="10">
        <f>SUM(G145:G151)</f>
        <v/>
      </c>
      <c r="E4798" s="10">
        <f>SUMIFS($G$145:$G$151,$D$145:$D$151,INDEX($D$145:$D$151,1))</f>
        <v/>
      </c>
      <c r="F4798" s="10">
        <f>SUMIFS($G$145:$G$151,$D$145:$D$151,INDEX($D$145:$D$151,7))</f>
        <v/>
      </c>
      <c r="G4798" s="7">
        <f>IF(ROUND(E4798+F4798-D4798,2)=0,"OK","ОШИБКА")</f>
        <v/>
      </c>
    </row>
    <row r="4799">
      <c r="A4799" s="15" t="inlineStr">
        <is>
          <t>Волков</t>
        </is>
      </c>
      <c r="B4799" s="6" t="n">
        <v>22</v>
      </c>
      <c r="C4799" s="7">
        <f>INDEX(Нед_Раб,22)</f>
        <v/>
      </c>
      <c r="D4799" s="10">
        <f>SUM(G152:G158)</f>
        <v/>
      </c>
      <c r="E4799" s="10">
        <f>SUMIFS($G$152:$G$158,$D$152:$D$158,INDEX($D$152:$D$158,1))</f>
        <v/>
      </c>
      <c r="F4799" s="10">
        <f>SUMIFS($G$152:$G$158,$D$152:$D$158,INDEX($D$152:$D$158,7))</f>
        <v/>
      </c>
      <c r="G4799" s="7">
        <f>IF(ROUND(E4799+F4799-D4799,2)=0,"OK","ОШИБКА")</f>
        <v/>
      </c>
    </row>
    <row r="4800">
      <c r="A4800" s="15" t="inlineStr">
        <is>
          <t>Волков</t>
        </is>
      </c>
      <c r="B4800" s="6" t="n">
        <v>23</v>
      </c>
      <c r="C4800" s="7">
        <f>INDEX(Нед_Раб,23)</f>
        <v/>
      </c>
      <c r="D4800" s="10">
        <f>SUM(G159:G165)</f>
        <v/>
      </c>
      <c r="E4800" s="10">
        <f>SUMIFS($G$159:$G$165,$D$159:$D$165,INDEX($D$159:$D$165,1))</f>
        <v/>
      </c>
      <c r="F4800" s="10">
        <f>SUMIFS($G$159:$G$165,$D$159:$D$165,INDEX($D$159:$D$165,7))</f>
        <v/>
      </c>
      <c r="G4800" s="7">
        <f>IF(ROUND(E4800+F4800-D4800,2)=0,"OK","ОШИБКА")</f>
        <v/>
      </c>
    </row>
    <row r="4801">
      <c r="A4801" s="15" t="inlineStr">
        <is>
          <t>Волков</t>
        </is>
      </c>
      <c r="B4801" s="6" t="n">
        <v>24</v>
      </c>
      <c r="C4801" s="7">
        <f>INDEX(Нед_Раб,24)</f>
        <v/>
      </c>
      <c r="D4801" s="10">
        <f>SUM(G166:G172)</f>
        <v/>
      </c>
      <c r="E4801" s="10">
        <f>SUMIFS($G$166:$G$172,$D$166:$D$172,INDEX($D$166:$D$172,1))</f>
        <v/>
      </c>
      <c r="F4801" s="10">
        <f>SUMIFS($G$166:$G$172,$D$166:$D$172,INDEX($D$166:$D$172,7))</f>
        <v/>
      </c>
      <c r="G4801" s="7">
        <f>IF(ROUND(E4801+F4801-D4801,2)=0,"OK","ОШИБКА")</f>
        <v/>
      </c>
    </row>
    <row r="4802">
      <c r="A4802" s="15" t="inlineStr">
        <is>
          <t>Волков</t>
        </is>
      </c>
      <c r="B4802" s="6" t="n">
        <v>25</v>
      </c>
      <c r="C4802" s="7">
        <f>INDEX(Нед_Раб,25)</f>
        <v/>
      </c>
      <c r="D4802" s="10">
        <f>SUM(G173:G179)</f>
        <v/>
      </c>
      <c r="E4802" s="10">
        <f>SUMIFS($G$173:$G$179,$D$173:$D$179,INDEX($D$173:$D$179,1))</f>
        <v/>
      </c>
      <c r="F4802" s="10">
        <f>SUMIFS($G$173:$G$179,$D$173:$D$179,INDEX($D$173:$D$179,7))</f>
        <v/>
      </c>
      <c r="G4802" s="7">
        <f>IF(ROUND(E4802+F4802-D4802,2)=0,"OK","ОШИБКА")</f>
        <v/>
      </c>
    </row>
    <row r="4803">
      <c r="A4803" s="15" t="inlineStr">
        <is>
          <t>Волков</t>
        </is>
      </c>
      <c r="B4803" s="6" t="n">
        <v>26</v>
      </c>
      <c r="C4803" s="7">
        <f>INDEX(Нед_Раб,26)</f>
        <v/>
      </c>
      <c r="D4803" s="10">
        <f>SUM(G180:G186)</f>
        <v/>
      </c>
      <c r="E4803" s="10">
        <f>SUMIFS($G$180:$G$186,$D$180:$D$186,INDEX($D$180:$D$186,1))</f>
        <v/>
      </c>
      <c r="F4803" s="10">
        <f>SUMIFS($G$180:$G$186,$D$180:$D$186,INDEX($D$180:$D$186,7))</f>
        <v/>
      </c>
      <c r="G4803" s="7">
        <f>IF(ROUND(E4803+F4803-D4803,2)=0,"OK","ОШИБКА")</f>
        <v/>
      </c>
    </row>
    <row r="4804">
      <c r="A4804" s="15" t="inlineStr">
        <is>
          <t>Волков</t>
        </is>
      </c>
      <c r="B4804" s="6" t="n">
        <v>27</v>
      </c>
      <c r="C4804" s="7">
        <f>INDEX(Нед_Раб,27)</f>
        <v/>
      </c>
      <c r="D4804" s="10">
        <f>SUM(G187:G193)</f>
        <v/>
      </c>
      <c r="E4804" s="10">
        <f>SUMIFS($G$187:$G$193,$D$187:$D$193,INDEX($D$187:$D$193,1))</f>
        <v/>
      </c>
      <c r="F4804" s="10">
        <f>SUMIFS($G$187:$G$193,$D$187:$D$193,INDEX($D$187:$D$193,7))</f>
        <v/>
      </c>
      <c r="G4804" s="7">
        <f>IF(ROUND(E4804+F4804-D4804,2)=0,"OK","ОШИБКА")</f>
        <v/>
      </c>
    </row>
    <row r="4805">
      <c r="A4805" s="15" t="inlineStr">
        <is>
          <t>Волков</t>
        </is>
      </c>
      <c r="B4805" s="6" t="n">
        <v>28</v>
      </c>
      <c r="C4805" s="7">
        <f>INDEX(Нед_Раб,28)</f>
        <v/>
      </c>
      <c r="D4805" s="10">
        <f>SUM(G194:G200)</f>
        <v/>
      </c>
      <c r="E4805" s="10">
        <f>SUMIFS($G$194:$G$200,$D$194:$D$200,INDEX($D$194:$D$200,1))</f>
        <v/>
      </c>
      <c r="F4805" s="10">
        <f>SUMIFS($G$194:$G$200,$D$194:$D$200,INDEX($D$194:$D$200,7))</f>
        <v/>
      </c>
      <c r="G4805" s="7">
        <f>IF(ROUND(E4805+F4805-D4805,2)=0,"OK","ОШИБКА")</f>
        <v/>
      </c>
    </row>
    <row r="4806">
      <c r="A4806" s="15" t="inlineStr">
        <is>
          <t>Волков</t>
        </is>
      </c>
      <c r="B4806" s="6" t="n">
        <v>29</v>
      </c>
      <c r="C4806" s="7">
        <f>INDEX(Нед_Раб,29)</f>
        <v/>
      </c>
      <c r="D4806" s="10">
        <f>SUM(G201:G207)</f>
        <v/>
      </c>
      <c r="E4806" s="10">
        <f>SUMIFS($G$201:$G$207,$D$201:$D$207,INDEX($D$201:$D$207,1))</f>
        <v/>
      </c>
      <c r="F4806" s="10">
        <f>SUMIFS($G$201:$G$207,$D$201:$D$207,INDEX($D$201:$D$207,7))</f>
        <v/>
      </c>
      <c r="G4806" s="7">
        <f>IF(ROUND(E4806+F4806-D4806,2)=0,"OK","ОШИБКА")</f>
        <v/>
      </c>
    </row>
    <row r="4807">
      <c r="A4807" s="15" t="inlineStr">
        <is>
          <t>Волков</t>
        </is>
      </c>
      <c r="B4807" s="6" t="n">
        <v>30</v>
      </c>
      <c r="C4807" s="7">
        <f>INDEX(Нед_Раб,30)</f>
        <v/>
      </c>
      <c r="D4807" s="10">
        <f>SUM(G208:G214)</f>
        <v/>
      </c>
      <c r="E4807" s="10">
        <f>SUMIFS($G$208:$G$214,$D$208:$D$214,INDEX($D$208:$D$214,1))</f>
        <v/>
      </c>
      <c r="F4807" s="10">
        <f>SUMIFS($G$208:$G$214,$D$208:$D$214,INDEX($D$208:$D$214,7))</f>
        <v/>
      </c>
      <c r="G4807" s="7">
        <f>IF(ROUND(E4807+F4807-D4807,2)=0,"OK","ОШИБКА")</f>
        <v/>
      </c>
    </row>
    <row r="4808">
      <c r="A4808" s="15" t="inlineStr">
        <is>
          <t>Волков</t>
        </is>
      </c>
      <c r="B4808" s="6" t="n">
        <v>31</v>
      </c>
      <c r="C4808" s="7">
        <f>INDEX(Нед_Раб,31)</f>
        <v/>
      </c>
      <c r="D4808" s="10">
        <f>SUM(G215:G221)</f>
        <v/>
      </c>
      <c r="E4808" s="10">
        <f>SUMIFS($G$215:$G$221,$D$215:$D$221,INDEX($D$215:$D$221,1))</f>
        <v/>
      </c>
      <c r="F4808" s="10">
        <f>SUMIFS($G$215:$G$221,$D$215:$D$221,INDEX($D$215:$D$221,7))</f>
        <v/>
      </c>
      <c r="G4808" s="7">
        <f>IF(ROUND(E4808+F4808-D4808,2)=0,"OK","ОШИБКА")</f>
        <v/>
      </c>
    </row>
    <row r="4809">
      <c r="A4809" s="15" t="inlineStr">
        <is>
          <t>Волков</t>
        </is>
      </c>
      <c r="B4809" s="6" t="n">
        <v>32</v>
      </c>
      <c r="C4809" s="7">
        <f>INDEX(Нед_Раб,32)</f>
        <v/>
      </c>
      <c r="D4809" s="10">
        <f>SUM(G222:G228)</f>
        <v/>
      </c>
      <c r="E4809" s="10">
        <f>SUMIFS($G$222:$G$228,$D$222:$D$228,INDEX($D$222:$D$228,1))</f>
        <v/>
      </c>
      <c r="F4809" s="10">
        <f>SUMIFS($G$222:$G$228,$D$222:$D$228,INDEX($D$222:$D$228,7))</f>
        <v/>
      </c>
      <c r="G4809" s="7">
        <f>IF(ROUND(E4809+F4809-D4809,2)=0,"OK","ОШИБКА")</f>
        <v/>
      </c>
    </row>
    <row r="4810">
      <c r="A4810" s="15" t="inlineStr">
        <is>
          <t>Волков</t>
        </is>
      </c>
      <c r="B4810" s="6" t="n">
        <v>33</v>
      </c>
      <c r="C4810" s="7">
        <f>INDEX(Нед_Раб,33)</f>
        <v/>
      </c>
      <c r="D4810" s="10">
        <f>SUM(G229:G235)</f>
        <v/>
      </c>
      <c r="E4810" s="10">
        <f>SUMIFS($G$229:$G$235,$D$229:$D$235,INDEX($D$229:$D$235,1))</f>
        <v/>
      </c>
      <c r="F4810" s="10">
        <f>SUMIFS($G$229:$G$235,$D$229:$D$235,INDEX($D$229:$D$235,7))</f>
        <v/>
      </c>
      <c r="G4810" s="7">
        <f>IF(ROUND(E4810+F4810-D4810,2)=0,"OK","ОШИБКА")</f>
        <v/>
      </c>
    </row>
    <row r="4811">
      <c r="A4811" s="15" t="inlineStr">
        <is>
          <t>Волков</t>
        </is>
      </c>
      <c r="B4811" s="6" t="n">
        <v>34</v>
      </c>
      <c r="C4811" s="7">
        <f>INDEX(Нед_Раб,34)</f>
        <v/>
      </c>
      <c r="D4811" s="10">
        <f>SUM(G236:G242)</f>
        <v/>
      </c>
      <c r="E4811" s="10">
        <f>SUMIFS($G$236:$G$242,$D$236:$D$242,INDEX($D$236:$D$242,1))</f>
        <v/>
      </c>
      <c r="F4811" s="10">
        <f>SUMIFS($G$236:$G$242,$D$236:$D$242,INDEX($D$236:$D$242,7))</f>
        <v/>
      </c>
      <c r="G4811" s="7">
        <f>IF(ROUND(E4811+F4811-D4811,2)=0,"OK","ОШИБКА")</f>
        <v/>
      </c>
    </row>
    <row r="4812">
      <c r="A4812" s="15" t="inlineStr">
        <is>
          <t>Волков</t>
        </is>
      </c>
      <c r="B4812" s="6" t="n">
        <v>35</v>
      </c>
      <c r="C4812" s="7">
        <f>INDEX(Нед_Раб,35)</f>
        <v/>
      </c>
      <c r="D4812" s="10">
        <f>SUM(G243:G249)</f>
        <v/>
      </c>
      <c r="E4812" s="10">
        <f>SUMIFS($G$243:$G$249,$D$243:$D$249,INDEX($D$243:$D$249,1))</f>
        <v/>
      </c>
      <c r="F4812" s="10">
        <f>SUMIFS($G$243:$G$249,$D$243:$D$249,INDEX($D$243:$D$249,7))</f>
        <v/>
      </c>
      <c r="G4812" s="7">
        <f>IF(ROUND(E4812+F4812-D4812,2)=0,"OK","ОШИБКА")</f>
        <v/>
      </c>
    </row>
    <row r="4813">
      <c r="A4813" s="15" t="inlineStr">
        <is>
          <t>Волков</t>
        </is>
      </c>
      <c r="B4813" s="6" t="n">
        <v>36</v>
      </c>
      <c r="C4813" s="7">
        <f>INDEX(Нед_Раб,36)</f>
        <v/>
      </c>
      <c r="D4813" s="10">
        <f>SUM(G250:G256)</f>
        <v/>
      </c>
      <c r="E4813" s="10">
        <f>SUMIFS($G$250:$G$256,$D$250:$D$256,INDEX($D$250:$D$256,1))</f>
        <v/>
      </c>
      <c r="F4813" s="10">
        <f>SUMIFS($G$250:$G$256,$D$250:$D$256,INDEX($D$250:$D$256,7))</f>
        <v/>
      </c>
      <c r="G4813" s="7">
        <f>IF(ROUND(E4813+F4813-D4813,2)=0,"OK","ОШИБКА")</f>
        <v/>
      </c>
    </row>
    <row r="4814">
      <c r="A4814" s="15" t="inlineStr">
        <is>
          <t>Волков</t>
        </is>
      </c>
      <c r="B4814" s="6" t="n">
        <v>37</v>
      </c>
      <c r="C4814" s="7">
        <f>INDEX(Нед_Раб,37)</f>
        <v/>
      </c>
      <c r="D4814" s="10">
        <f>SUM(G257:G263)</f>
        <v/>
      </c>
      <c r="E4814" s="10">
        <f>SUMIFS($G$257:$G$263,$D$257:$D$263,INDEX($D$257:$D$263,1))</f>
        <v/>
      </c>
      <c r="F4814" s="10">
        <f>SUMIFS($G$257:$G$263,$D$257:$D$263,INDEX($D$257:$D$263,7))</f>
        <v/>
      </c>
      <c r="G4814" s="7">
        <f>IF(ROUND(E4814+F4814-D4814,2)=0,"OK","ОШИБКА")</f>
        <v/>
      </c>
    </row>
    <row r="4815">
      <c r="A4815" s="15" t="inlineStr">
        <is>
          <t>Волков</t>
        </is>
      </c>
      <c r="B4815" s="6" t="n">
        <v>38</v>
      </c>
      <c r="C4815" s="7">
        <f>INDEX(Нед_Раб,38)</f>
        <v/>
      </c>
      <c r="D4815" s="10">
        <f>SUM(G264:G270)</f>
        <v/>
      </c>
      <c r="E4815" s="10">
        <f>SUMIFS($G$264:$G$270,$D$264:$D$270,INDEX($D$264:$D$270,1))</f>
        <v/>
      </c>
      <c r="F4815" s="10">
        <f>SUMIFS($G$264:$G$270,$D$264:$D$270,INDEX($D$264:$D$270,7))</f>
        <v/>
      </c>
      <c r="G4815" s="7">
        <f>IF(ROUND(E4815+F4815-D4815,2)=0,"OK","ОШИБКА")</f>
        <v/>
      </c>
    </row>
    <row r="4816">
      <c r="A4816" s="15" t="inlineStr">
        <is>
          <t>Волков</t>
        </is>
      </c>
      <c r="B4816" s="6" t="n">
        <v>39</v>
      </c>
      <c r="C4816" s="7">
        <f>INDEX(Нед_Раб,39)</f>
        <v/>
      </c>
      <c r="D4816" s="10">
        <f>SUM(G271:G277)</f>
        <v/>
      </c>
      <c r="E4816" s="10">
        <f>SUMIFS($G$271:$G$277,$D$271:$D$277,INDEX($D$271:$D$277,1))</f>
        <v/>
      </c>
      <c r="F4816" s="10">
        <f>SUMIFS($G$271:$G$277,$D$271:$D$277,INDEX($D$271:$D$277,7))</f>
        <v/>
      </c>
      <c r="G4816" s="7">
        <f>IF(ROUND(E4816+F4816-D4816,2)=0,"OK","ОШИБКА")</f>
        <v/>
      </c>
    </row>
    <row r="4817">
      <c r="A4817" s="15" t="inlineStr">
        <is>
          <t>Волков</t>
        </is>
      </c>
      <c r="B4817" s="6" t="n">
        <v>40</v>
      </c>
      <c r="C4817" s="7">
        <f>INDEX(Нед_Раб,40)</f>
        <v/>
      </c>
      <c r="D4817" s="10">
        <f>SUM(G278:G284)</f>
        <v/>
      </c>
      <c r="E4817" s="10">
        <f>SUMIFS($G$278:$G$284,$D$278:$D$284,INDEX($D$278:$D$284,1))</f>
        <v/>
      </c>
      <c r="F4817" s="10">
        <f>SUMIFS($G$278:$G$284,$D$278:$D$284,INDEX($D$278:$D$284,7))</f>
        <v/>
      </c>
      <c r="G4817" s="7">
        <f>IF(ROUND(E4817+F4817-D4817,2)=0,"OK","ОШИБКА")</f>
        <v/>
      </c>
    </row>
    <row r="4818">
      <c r="A4818" s="15" t="inlineStr">
        <is>
          <t>Волков</t>
        </is>
      </c>
      <c r="B4818" s="6" t="n">
        <v>41</v>
      </c>
      <c r="C4818" s="7">
        <f>INDEX(Нед_Раб,41)</f>
        <v/>
      </c>
      <c r="D4818" s="10">
        <f>SUM(G285:G291)</f>
        <v/>
      </c>
      <c r="E4818" s="10">
        <f>SUMIFS($G$285:$G$291,$D$285:$D$291,INDEX($D$285:$D$291,1))</f>
        <v/>
      </c>
      <c r="F4818" s="10">
        <f>SUMIFS($G$285:$G$291,$D$285:$D$291,INDEX($D$285:$D$291,7))</f>
        <v/>
      </c>
      <c r="G4818" s="7">
        <f>IF(ROUND(E4818+F4818-D4818,2)=0,"OK","ОШИБКА")</f>
        <v/>
      </c>
    </row>
    <row r="4819">
      <c r="A4819" s="15" t="inlineStr">
        <is>
          <t>Волков</t>
        </is>
      </c>
      <c r="B4819" s="6" t="n">
        <v>42</v>
      </c>
      <c r="C4819" s="7">
        <f>INDEX(Нед_Раб,42)</f>
        <v/>
      </c>
      <c r="D4819" s="10">
        <f>SUM(G292:G298)</f>
        <v/>
      </c>
      <c r="E4819" s="10">
        <f>SUMIFS($G$292:$G$298,$D$292:$D$298,INDEX($D$292:$D$298,1))</f>
        <v/>
      </c>
      <c r="F4819" s="10">
        <f>SUMIFS($G$292:$G$298,$D$292:$D$298,INDEX($D$292:$D$298,7))</f>
        <v/>
      </c>
      <c r="G4819" s="7">
        <f>IF(ROUND(E4819+F4819-D4819,2)=0,"OK","ОШИБКА")</f>
        <v/>
      </c>
    </row>
    <row r="4820">
      <c r="A4820" s="15" t="inlineStr">
        <is>
          <t>Волков</t>
        </is>
      </c>
      <c r="B4820" s="6" t="n">
        <v>43</v>
      </c>
      <c r="C4820" s="7">
        <f>INDEX(Нед_Раб,43)</f>
        <v/>
      </c>
      <c r="D4820" s="10">
        <f>SUM(G299:G305)</f>
        <v/>
      </c>
      <c r="E4820" s="10">
        <f>SUMIFS($G$299:$G$305,$D$299:$D$305,INDEX($D$299:$D$305,1))</f>
        <v/>
      </c>
      <c r="F4820" s="10">
        <f>SUMIFS($G$299:$G$305,$D$299:$D$305,INDEX($D$299:$D$305,7))</f>
        <v/>
      </c>
      <c r="G4820" s="7">
        <f>IF(ROUND(E4820+F4820-D4820,2)=0,"OK","ОШИБКА")</f>
        <v/>
      </c>
    </row>
    <row r="4821">
      <c r="A4821" s="15" t="inlineStr">
        <is>
          <t>Волков</t>
        </is>
      </c>
      <c r="B4821" s="6" t="n">
        <v>44</v>
      </c>
      <c r="C4821" s="7">
        <f>INDEX(Нед_Раб,44)</f>
        <v/>
      </c>
      <c r="D4821" s="10">
        <f>SUM(G306:G312)</f>
        <v/>
      </c>
      <c r="E4821" s="10">
        <f>SUMIFS($G$306:$G$312,$D$306:$D$312,INDEX($D$306:$D$312,1))</f>
        <v/>
      </c>
      <c r="F4821" s="10">
        <f>SUMIFS($G$306:$G$312,$D$306:$D$312,INDEX($D$306:$D$312,7))</f>
        <v/>
      </c>
      <c r="G4821" s="7">
        <f>IF(ROUND(E4821+F4821-D4821,2)=0,"OK","ОШИБКА")</f>
        <v/>
      </c>
    </row>
    <row r="4822">
      <c r="A4822" s="15" t="inlineStr">
        <is>
          <t>Волков</t>
        </is>
      </c>
      <c r="B4822" s="6" t="n">
        <v>45</v>
      </c>
      <c r="C4822" s="7">
        <f>INDEX(Нед_Раб,45)</f>
        <v/>
      </c>
      <c r="D4822" s="10">
        <f>SUM(G313:G319)</f>
        <v/>
      </c>
      <c r="E4822" s="10">
        <f>SUMIFS($G$313:$G$319,$D$313:$D$319,INDEX($D$313:$D$319,1))</f>
        <v/>
      </c>
      <c r="F4822" s="10">
        <f>SUMIFS($G$313:$G$319,$D$313:$D$319,INDEX($D$313:$D$319,7))</f>
        <v/>
      </c>
      <c r="G4822" s="7">
        <f>IF(ROUND(E4822+F4822-D4822,2)=0,"OK","ОШИБКА")</f>
        <v/>
      </c>
    </row>
    <row r="4823">
      <c r="A4823" s="15" t="inlineStr">
        <is>
          <t>Волков</t>
        </is>
      </c>
      <c r="B4823" s="6" t="n">
        <v>46</v>
      </c>
      <c r="C4823" s="7">
        <f>INDEX(Нед_Раб,46)</f>
        <v/>
      </c>
      <c r="D4823" s="10">
        <f>SUM(G320:G326)</f>
        <v/>
      </c>
      <c r="E4823" s="10">
        <f>SUMIFS($G$320:$G$326,$D$320:$D$326,INDEX($D$320:$D$326,1))</f>
        <v/>
      </c>
      <c r="F4823" s="10">
        <f>SUMIFS($G$320:$G$326,$D$320:$D$326,INDEX($D$320:$D$326,7))</f>
        <v/>
      </c>
      <c r="G4823" s="7">
        <f>IF(ROUND(E4823+F4823-D4823,2)=0,"OK","ОШИБКА")</f>
        <v/>
      </c>
    </row>
    <row r="4824">
      <c r="A4824" s="15" t="inlineStr">
        <is>
          <t>Волков</t>
        </is>
      </c>
      <c r="B4824" s="6" t="n">
        <v>47</v>
      </c>
      <c r="C4824" s="7">
        <f>INDEX(Нед_Раб,47)</f>
        <v/>
      </c>
      <c r="D4824" s="10">
        <f>SUM(G327:G333)</f>
        <v/>
      </c>
      <c r="E4824" s="10">
        <f>SUMIFS($G$327:$G$333,$D$327:$D$333,INDEX($D$327:$D$333,1))</f>
        <v/>
      </c>
      <c r="F4824" s="10">
        <f>SUMIFS($G$327:$G$333,$D$327:$D$333,INDEX($D$327:$D$333,7))</f>
        <v/>
      </c>
      <c r="G4824" s="7">
        <f>IF(ROUND(E4824+F4824-D4824,2)=0,"OK","ОШИБКА")</f>
        <v/>
      </c>
    </row>
    <row r="4825">
      <c r="A4825" s="15" t="inlineStr">
        <is>
          <t>Волков</t>
        </is>
      </c>
      <c r="B4825" s="6" t="n">
        <v>48</v>
      </c>
      <c r="C4825" s="7">
        <f>INDEX(Нед_Раб,48)</f>
        <v/>
      </c>
      <c r="D4825" s="10">
        <f>SUM(G334:G340)</f>
        <v/>
      </c>
      <c r="E4825" s="10">
        <f>SUMIFS($G$334:$G$340,$D$334:$D$340,INDEX($D$334:$D$340,1))</f>
        <v/>
      </c>
      <c r="F4825" s="10">
        <f>SUMIFS($G$334:$G$340,$D$334:$D$340,INDEX($D$334:$D$340,7))</f>
        <v/>
      </c>
      <c r="G4825" s="7">
        <f>IF(ROUND(E4825+F4825-D4825,2)=0,"OK","ОШИБКА")</f>
        <v/>
      </c>
    </row>
    <row r="4826">
      <c r="A4826" s="15" t="inlineStr">
        <is>
          <t>Волков</t>
        </is>
      </c>
      <c r="B4826" s="6" t="n">
        <v>49</v>
      </c>
      <c r="C4826" s="7">
        <f>INDEX(Нед_Раб,49)</f>
        <v/>
      </c>
      <c r="D4826" s="10">
        <f>SUM(G341:G347)</f>
        <v/>
      </c>
      <c r="E4826" s="10">
        <f>SUMIFS($G$341:$G$347,$D$341:$D$347,INDEX($D$341:$D$347,1))</f>
        <v/>
      </c>
      <c r="F4826" s="10">
        <f>SUMIFS($G$341:$G$347,$D$341:$D$347,INDEX($D$341:$D$347,7))</f>
        <v/>
      </c>
      <c r="G4826" s="7">
        <f>IF(ROUND(E4826+F4826-D4826,2)=0,"OK","ОШИБКА")</f>
        <v/>
      </c>
    </row>
    <row r="4827">
      <c r="A4827" s="15" t="inlineStr">
        <is>
          <t>Волков</t>
        </is>
      </c>
      <c r="B4827" s="6" t="n">
        <v>50</v>
      </c>
      <c r="C4827" s="7">
        <f>INDEX(Нед_Раб,50)</f>
        <v/>
      </c>
      <c r="D4827" s="10">
        <f>SUM(G348:G354)</f>
        <v/>
      </c>
      <c r="E4827" s="10">
        <f>SUMIFS($G$348:$G$354,$D$348:$D$354,INDEX($D$348:$D$354,1))</f>
        <v/>
      </c>
      <c r="F4827" s="10">
        <f>SUMIFS($G$348:$G$354,$D$348:$D$354,INDEX($D$348:$D$354,7))</f>
        <v/>
      </c>
      <c r="G4827" s="7">
        <f>IF(ROUND(E4827+F4827-D4827,2)=0,"OK","ОШИБКА")</f>
        <v/>
      </c>
    </row>
    <row r="4828">
      <c r="A4828" s="15" t="inlineStr">
        <is>
          <t>Волков</t>
        </is>
      </c>
      <c r="B4828" s="6" t="n">
        <v>51</v>
      </c>
      <c r="C4828" s="7">
        <f>INDEX(Нед_Раб,51)</f>
        <v/>
      </c>
      <c r="D4828" s="10">
        <f>SUM(G355:G361)</f>
        <v/>
      </c>
      <c r="E4828" s="10">
        <f>SUMIFS($G$355:$G$361,$D$355:$D$361,INDEX($D$355:$D$361,1))</f>
        <v/>
      </c>
      <c r="F4828" s="10">
        <f>SUMIFS($G$355:$G$361,$D$355:$D$361,INDEX($D$355:$D$361,7))</f>
        <v/>
      </c>
      <c r="G4828" s="7">
        <f>IF(ROUND(E4828+F4828-D4828,2)=0,"OK","ОШИБКА")</f>
        <v/>
      </c>
    </row>
    <row r="4829">
      <c r="A4829" s="15" t="inlineStr">
        <is>
          <t>Волков</t>
        </is>
      </c>
      <c r="B4829" s="6" t="n">
        <v>52</v>
      </c>
      <c r="C4829" s="7">
        <f>INDEX(Нед_Раб,52)</f>
        <v/>
      </c>
      <c r="D4829" s="10">
        <f>SUM(G362:G368)</f>
        <v/>
      </c>
      <c r="E4829" s="10">
        <f>SUMIFS($G$362:$G$368,$D$362:$D$368,INDEX($D$362:$D$368,1))</f>
        <v/>
      </c>
      <c r="F4829" s="10">
        <f>SUMIFS($G$362:$G$368,$D$362:$D$368,INDEX($D$362:$D$368,7))</f>
        <v/>
      </c>
      <c r="G4829" s="7">
        <f>IF(ROUND(E4829+F4829-D4829,2)=0,"OK","ОШИБКА")</f>
        <v/>
      </c>
    </row>
    <row r="4830">
      <c r="A4830" s="15" t="inlineStr">
        <is>
          <t>Волков</t>
        </is>
      </c>
      <c r="B4830" s="6" t="n">
        <v>53</v>
      </c>
      <c r="C4830" s="7">
        <f>INDEX(Нед_Раб,53)</f>
        <v/>
      </c>
      <c r="D4830" s="10">
        <f>SUM(G369:G375)</f>
        <v/>
      </c>
      <c r="E4830" s="10">
        <f>SUMIFS($G$369:$G$375,$D$369:$D$375,INDEX($D$369:$D$375,1))</f>
        <v/>
      </c>
      <c r="F4830" s="10">
        <f>SUMIFS($G$369:$G$375,$D$369:$D$375,INDEX($D$369:$D$375,7))</f>
        <v/>
      </c>
      <c r="G4830" s="7">
        <f>IF(ROUND(E4830+F4830-D4830,2)=0,"OK","ОШИБКА")</f>
        <v/>
      </c>
    </row>
    <row r="4831">
      <c r="A4831" s="15" t="inlineStr">
        <is>
          <t>Алексеева</t>
        </is>
      </c>
      <c r="B4831" s="6" t="n">
        <v>1</v>
      </c>
      <c r="C4831" s="7">
        <f>INDEX(Нед_Раб,1)</f>
        <v/>
      </c>
      <c r="D4831" s="10">
        <f>SUM(G5:G11)</f>
        <v/>
      </c>
      <c r="E4831" s="10">
        <f>SUMIFS($G$5:$G$11,$D$5:$D$11,INDEX($D$5:$D$11,1))</f>
        <v/>
      </c>
      <c r="F4831" s="10">
        <f>SUMIFS($G$5:$G$11,$D$5:$D$11,INDEX($D$5:$D$11,7))</f>
        <v/>
      </c>
      <c r="G4831" s="7">
        <f>IF(ROUND(E4831+F4831-D4831,2)=0,"OK","ОШИБКА")</f>
        <v/>
      </c>
    </row>
    <row r="4832">
      <c r="A4832" s="15" t="inlineStr">
        <is>
          <t>Алексеева</t>
        </is>
      </c>
      <c r="B4832" s="6" t="n">
        <v>2</v>
      </c>
      <c r="C4832" s="7">
        <f>INDEX(Нед_Раб,2)</f>
        <v/>
      </c>
      <c r="D4832" s="10">
        <f>SUM(G12:G18)</f>
        <v/>
      </c>
      <c r="E4832" s="10">
        <f>SUMIFS($G$12:$G$18,$D$12:$D$18,INDEX($D$12:$D$18,1))</f>
        <v/>
      </c>
      <c r="F4832" s="10">
        <f>SUMIFS($G$12:$G$18,$D$12:$D$18,INDEX($D$12:$D$18,7))</f>
        <v/>
      </c>
      <c r="G4832" s="7">
        <f>IF(ROUND(E4832+F4832-D4832,2)=0,"OK","ОШИБКА")</f>
        <v/>
      </c>
    </row>
    <row r="4833">
      <c r="A4833" s="15" t="inlineStr">
        <is>
          <t>Алексеева</t>
        </is>
      </c>
      <c r="B4833" s="6" t="n">
        <v>3</v>
      </c>
      <c r="C4833" s="7">
        <f>INDEX(Нед_Раб,3)</f>
        <v/>
      </c>
      <c r="D4833" s="10">
        <f>SUM(G19:G25)</f>
        <v/>
      </c>
      <c r="E4833" s="10">
        <f>SUMIFS($G$19:$G$25,$D$19:$D$25,INDEX($D$19:$D$25,1))</f>
        <v/>
      </c>
      <c r="F4833" s="10">
        <f>SUMIFS($G$19:$G$25,$D$19:$D$25,INDEX($D$19:$D$25,7))</f>
        <v/>
      </c>
      <c r="G4833" s="7">
        <f>IF(ROUND(E4833+F4833-D4833,2)=0,"OK","ОШИБКА")</f>
        <v/>
      </c>
    </row>
    <row r="4834">
      <c r="A4834" s="15" t="inlineStr">
        <is>
          <t>Алексеева</t>
        </is>
      </c>
      <c r="B4834" s="6" t="n">
        <v>4</v>
      </c>
      <c r="C4834" s="7">
        <f>INDEX(Нед_Раб,4)</f>
        <v/>
      </c>
      <c r="D4834" s="10">
        <f>SUM(G26:G32)</f>
        <v/>
      </c>
      <c r="E4834" s="10">
        <f>SUMIFS($G$26:$G$32,$D$26:$D$32,INDEX($D$26:$D$32,1))</f>
        <v/>
      </c>
      <c r="F4834" s="10">
        <f>SUMIFS($G$26:$G$32,$D$26:$D$32,INDEX($D$26:$D$32,7))</f>
        <v/>
      </c>
      <c r="G4834" s="7">
        <f>IF(ROUND(E4834+F4834-D4834,2)=0,"OK","ОШИБКА")</f>
        <v/>
      </c>
    </row>
    <row r="4835">
      <c r="A4835" s="15" t="inlineStr">
        <is>
          <t>Алексеева</t>
        </is>
      </c>
      <c r="B4835" s="6" t="n">
        <v>5</v>
      </c>
      <c r="C4835" s="7">
        <f>INDEX(Нед_Раб,5)</f>
        <v/>
      </c>
      <c r="D4835" s="10">
        <f>SUM(G33:G39)</f>
        <v/>
      </c>
      <c r="E4835" s="10">
        <f>SUMIFS($G$33:$G$39,$D$33:$D$39,INDEX($D$33:$D$39,1))</f>
        <v/>
      </c>
      <c r="F4835" s="10">
        <f>SUMIFS($G$33:$G$39,$D$33:$D$39,INDEX($D$33:$D$39,7))</f>
        <v/>
      </c>
      <c r="G4835" s="7">
        <f>IF(ROUND(E4835+F4835-D4835,2)=0,"OK","ОШИБКА")</f>
        <v/>
      </c>
    </row>
    <row r="4836">
      <c r="A4836" s="15" t="inlineStr">
        <is>
          <t>Алексеева</t>
        </is>
      </c>
      <c r="B4836" s="6" t="n">
        <v>6</v>
      </c>
      <c r="C4836" s="7">
        <f>INDEX(Нед_Раб,6)</f>
        <v/>
      </c>
      <c r="D4836" s="10">
        <f>SUM(G40:G46)</f>
        <v/>
      </c>
      <c r="E4836" s="10">
        <f>SUMIFS($G$40:$G$46,$D$40:$D$46,INDEX($D$40:$D$46,1))</f>
        <v/>
      </c>
      <c r="F4836" s="10">
        <f>SUMIFS($G$40:$G$46,$D$40:$D$46,INDEX($D$40:$D$46,7))</f>
        <v/>
      </c>
      <c r="G4836" s="7">
        <f>IF(ROUND(E4836+F4836-D4836,2)=0,"OK","ОШИБКА")</f>
        <v/>
      </c>
    </row>
    <row r="4837">
      <c r="A4837" s="15" t="inlineStr">
        <is>
          <t>Алексеева</t>
        </is>
      </c>
      <c r="B4837" s="6" t="n">
        <v>7</v>
      </c>
      <c r="C4837" s="7">
        <f>INDEX(Нед_Раб,7)</f>
        <v/>
      </c>
      <c r="D4837" s="10">
        <f>SUM(G47:G53)</f>
        <v/>
      </c>
      <c r="E4837" s="10">
        <f>SUMIFS($G$47:$G$53,$D$47:$D$53,INDEX($D$47:$D$53,1))</f>
        <v/>
      </c>
      <c r="F4837" s="10">
        <f>SUMIFS($G$47:$G$53,$D$47:$D$53,INDEX($D$47:$D$53,7))</f>
        <v/>
      </c>
      <c r="G4837" s="7">
        <f>IF(ROUND(E4837+F4837-D4837,2)=0,"OK","ОШИБКА")</f>
        <v/>
      </c>
    </row>
    <row r="4838">
      <c r="A4838" s="15" t="inlineStr">
        <is>
          <t>Алексеева</t>
        </is>
      </c>
      <c r="B4838" s="6" t="n">
        <v>8</v>
      </c>
      <c r="C4838" s="7">
        <f>INDEX(Нед_Раб,8)</f>
        <v/>
      </c>
      <c r="D4838" s="10">
        <f>SUM(G54:G60)</f>
        <v/>
      </c>
      <c r="E4838" s="10">
        <f>SUMIFS($G$54:$G$60,$D$54:$D$60,INDEX($D$54:$D$60,1))</f>
        <v/>
      </c>
      <c r="F4838" s="10">
        <f>SUMIFS($G$54:$G$60,$D$54:$D$60,INDEX($D$54:$D$60,7))</f>
        <v/>
      </c>
      <c r="G4838" s="7">
        <f>IF(ROUND(E4838+F4838-D4838,2)=0,"OK","ОШИБКА")</f>
        <v/>
      </c>
    </row>
    <row r="4839">
      <c r="A4839" s="15" t="inlineStr">
        <is>
          <t>Алексеева</t>
        </is>
      </c>
      <c r="B4839" s="6" t="n">
        <v>9</v>
      </c>
      <c r="C4839" s="7">
        <f>INDEX(Нед_Раб,9)</f>
        <v/>
      </c>
      <c r="D4839" s="10">
        <f>SUM(G61:G67)</f>
        <v/>
      </c>
      <c r="E4839" s="10">
        <f>SUMIFS($G$61:$G$67,$D$61:$D$67,INDEX($D$61:$D$67,1))</f>
        <v/>
      </c>
      <c r="F4839" s="10">
        <f>SUMIFS($G$61:$G$67,$D$61:$D$67,INDEX($D$61:$D$67,7))</f>
        <v/>
      </c>
      <c r="G4839" s="7">
        <f>IF(ROUND(E4839+F4839-D4839,2)=0,"OK","ОШИБКА")</f>
        <v/>
      </c>
    </row>
    <row r="4840">
      <c r="A4840" s="15" t="inlineStr">
        <is>
          <t>Алексеева</t>
        </is>
      </c>
      <c r="B4840" s="6" t="n">
        <v>10</v>
      </c>
      <c r="C4840" s="7">
        <f>INDEX(Нед_Раб,10)</f>
        <v/>
      </c>
      <c r="D4840" s="10">
        <f>SUM(G68:G74)</f>
        <v/>
      </c>
      <c r="E4840" s="10">
        <f>SUMIFS($G$68:$G$74,$D$68:$D$74,INDEX($D$68:$D$74,1))</f>
        <v/>
      </c>
      <c r="F4840" s="10">
        <f>SUMIFS($G$68:$G$74,$D$68:$D$74,INDEX($D$68:$D$74,7))</f>
        <v/>
      </c>
      <c r="G4840" s="7">
        <f>IF(ROUND(E4840+F4840-D4840,2)=0,"OK","ОШИБКА")</f>
        <v/>
      </c>
    </row>
    <row r="4841">
      <c r="A4841" s="15" t="inlineStr">
        <is>
          <t>Алексеева</t>
        </is>
      </c>
      <c r="B4841" s="6" t="n">
        <v>11</v>
      </c>
      <c r="C4841" s="7">
        <f>INDEX(Нед_Раб,11)</f>
        <v/>
      </c>
      <c r="D4841" s="10">
        <f>SUM(G75:G81)</f>
        <v/>
      </c>
      <c r="E4841" s="10">
        <f>SUMIFS($G$75:$G$81,$D$75:$D$81,INDEX($D$75:$D$81,1))</f>
        <v/>
      </c>
      <c r="F4841" s="10">
        <f>SUMIFS($G$75:$G$81,$D$75:$D$81,INDEX($D$75:$D$81,7))</f>
        <v/>
      </c>
      <c r="G4841" s="7">
        <f>IF(ROUND(E4841+F4841-D4841,2)=0,"OK","ОШИБКА")</f>
        <v/>
      </c>
    </row>
    <row r="4842">
      <c r="A4842" s="15" t="inlineStr">
        <is>
          <t>Алексеева</t>
        </is>
      </c>
      <c r="B4842" s="6" t="n">
        <v>12</v>
      </c>
      <c r="C4842" s="7">
        <f>INDEX(Нед_Раб,12)</f>
        <v/>
      </c>
      <c r="D4842" s="10">
        <f>SUM(G82:G88)</f>
        <v/>
      </c>
      <c r="E4842" s="10">
        <f>SUMIFS($G$82:$G$88,$D$82:$D$88,INDEX($D$82:$D$88,1))</f>
        <v/>
      </c>
      <c r="F4842" s="10">
        <f>SUMIFS($G$82:$G$88,$D$82:$D$88,INDEX($D$82:$D$88,7))</f>
        <v/>
      </c>
      <c r="G4842" s="7">
        <f>IF(ROUND(E4842+F4842-D4842,2)=0,"OK","ОШИБКА")</f>
        <v/>
      </c>
    </row>
    <row r="4843">
      <c r="A4843" s="15" t="inlineStr">
        <is>
          <t>Алексеева</t>
        </is>
      </c>
      <c r="B4843" s="6" t="n">
        <v>13</v>
      </c>
      <c r="C4843" s="7">
        <f>INDEX(Нед_Раб,13)</f>
        <v/>
      </c>
      <c r="D4843" s="10">
        <f>SUM(G89:G95)</f>
        <v/>
      </c>
      <c r="E4843" s="10">
        <f>SUMIFS($G$89:$G$95,$D$89:$D$95,INDEX($D$89:$D$95,1))</f>
        <v/>
      </c>
      <c r="F4843" s="10">
        <f>SUMIFS($G$89:$G$95,$D$89:$D$95,INDEX($D$89:$D$95,7))</f>
        <v/>
      </c>
      <c r="G4843" s="7">
        <f>IF(ROUND(E4843+F4843-D4843,2)=0,"OK","ОШИБКА")</f>
        <v/>
      </c>
    </row>
    <row r="4844">
      <c r="A4844" s="15" t="inlineStr">
        <is>
          <t>Алексеева</t>
        </is>
      </c>
      <c r="B4844" s="6" t="n">
        <v>14</v>
      </c>
      <c r="C4844" s="7">
        <f>INDEX(Нед_Раб,14)</f>
        <v/>
      </c>
      <c r="D4844" s="10">
        <f>SUM(G96:G102)</f>
        <v/>
      </c>
      <c r="E4844" s="10">
        <f>SUMIFS($G$96:$G$102,$D$96:$D$102,INDEX($D$96:$D$102,1))</f>
        <v/>
      </c>
      <c r="F4844" s="10">
        <f>SUMIFS($G$96:$G$102,$D$96:$D$102,INDEX($D$96:$D$102,7))</f>
        <v/>
      </c>
      <c r="G4844" s="7">
        <f>IF(ROUND(E4844+F4844-D4844,2)=0,"OK","ОШИБКА")</f>
        <v/>
      </c>
    </row>
    <row r="4845">
      <c r="A4845" s="15" t="inlineStr">
        <is>
          <t>Алексеева</t>
        </is>
      </c>
      <c r="B4845" s="6" t="n">
        <v>15</v>
      </c>
      <c r="C4845" s="7">
        <f>INDEX(Нед_Раб,15)</f>
        <v/>
      </c>
      <c r="D4845" s="10">
        <f>SUM(G103:G109)</f>
        <v/>
      </c>
      <c r="E4845" s="10">
        <f>SUMIFS($G$103:$G$109,$D$103:$D$109,INDEX($D$103:$D$109,1))</f>
        <v/>
      </c>
      <c r="F4845" s="10">
        <f>SUMIFS($G$103:$G$109,$D$103:$D$109,INDEX($D$103:$D$109,7))</f>
        <v/>
      </c>
      <c r="G4845" s="7">
        <f>IF(ROUND(E4845+F4845-D4845,2)=0,"OK","ОШИБКА")</f>
        <v/>
      </c>
    </row>
    <row r="4846">
      <c r="A4846" s="15" t="inlineStr">
        <is>
          <t>Алексеева</t>
        </is>
      </c>
      <c r="B4846" s="6" t="n">
        <v>16</v>
      </c>
      <c r="C4846" s="7">
        <f>INDEX(Нед_Раб,16)</f>
        <v/>
      </c>
      <c r="D4846" s="10">
        <f>SUM(G110:G116)</f>
        <v/>
      </c>
      <c r="E4846" s="10">
        <f>SUMIFS($G$110:$G$116,$D$110:$D$116,INDEX($D$110:$D$116,1))</f>
        <v/>
      </c>
      <c r="F4846" s="10">
        <f>SUMIFS($G$110:$G$116,$D$110:$D$116,INDEX($D$110:$D$116,7))</f>
        <v/>
      </c>
      <c r="G4846" s="7">
        <f>IF(ROUND(E4846+F4846-D4846,2)=0,"OK","ОШИБКА")</f>
        <v/>
      </c>
    </row>
    <row r="4847">
      <c r="A4847" s="15" t="inlineStr">
        <is>
          <t>Алексеева</t>
        </is>
      </c>
      <c r="B4847" s="6" t="n">
        <v>17</v>
      </c>
      <c r="C4847" s="7">
        <f>INDEX(Нед_Раб,17)</f>
        <v/>
      </c>
      <c r="D4847" s="10">
        <f>SUM(G117:G123)</f>
        <v/>
      </c>
      <c r="E4847" s="10">
        <f>SUMIFS($G$117:$G$123,$D$117:$D$123,INDEX($D$117:$D$123,1))</f>
        <v/>
      </c>
      <c r="F4847" s="10">
        <f>SUMIFS($G$117:$G$123,$D$117:$D$123,INDEX($D$117:$D$123,7))</f>
        <v/>
      </c>
      <c r="G4847" s="7">
        <f>IF(ROUND(E4847+F4847-D4847,2)=0,"OK","ОШИБКА")</f>
        <v/>
      </c>
    </row>
    <row r="4848">
      <c r="A4848" s="15" t="inlineStr">
        <is>
          <t>Алексеева</t>
        </is>
      </c>
      <c r="B4848" s="6" t="n">
        <v>18</v>
      </c>
      <c r="C4848" s="7">
        <f>INDEX(Нед_Раб,18)</f>
        <v/>
      </c>
      <c r="D4848" s="10">
        <f>SUM(G124:G130)</f>
        <v/>
      </c>
      <c r="E4848" s="10">
        <f>SUMIFS($G$124:$G$130,$D$124:$D$130,INDEX($D$124:$D$130,1))</f>
        <v/>
      </c>
      <c r="F4848" s="10">
        <f>SUMIFS($G$124:$G$130,$D$124:$D$130,INDEX($D$124:$D$130,7))</f>
        <v/>
      </c>
      <c r="G4848" s="7">
        <f>IF(ROUND(E4848+F4848-D4848,2)=0,"OK","ОШИБКА")</f>
        <v/>
      </c>
    </row>
    <row r="4849">
      <c r="A4849" s="15" t="inlineStr">
        <is>
          <t>Алексеева</t>
        </is>
      </c>
      <c r="B4849" s="6" t="n">
        <v>19</v>
      </c>
      <c r="C4849" s="7">
        <f>INDEX(Нед_Раб,19)</f>
        <v/>
      </c>
      <c r="D4849" s="10">
        <f>SUM(G131:G137)</f>
        <v/>
      </c>
      <c r="E4849" s="10">
        <f>SUMIFS($G$131:$G$137,$D$131:$D$137,INDEX($D$131:$D$137,1))</f>
        <v/>
      </c>
      <c r="F4849" s="10">
        <f>SUMIFS($G$131:$G$137,$D$131:$D$137,INDEX($D$131:$D$137,7))</f>
        <v/>
      </c>
      <c r="G4849" s="7">
        <f>IF(ROUND(E4849+F4849-D4849,2)=0,"OK","ОШИБКА")</f>
        <v/>
      </c>
    </row>
    <row r="4850">
      <c r="A4850" s="15" t="inlineStr">
        <is>
          <t>Алексеева</t>
        </is>
      </c>
      <c r="B4850" s="6" t="n">
        <v>20</v>
      </c>
      <c r="C4850" s="7">
        <f>INDEX(Нед_Раб,20)</f>
        <v/>
      </c>
      <c r="D4850" s="10">
        <f>SUM(G138:G144)</f>
        <v/>
      </c>
      <c r="E4850" s="10">
        <f>SUMIFS($G$138:$G$144,$D$138:$D$144,INDEX($D$138:$D$144,1))</f>
        <v/>
      </c>
      <c r="F4850" s="10">
        <f>SUMIFS($G$138:$G$144,$D$138:$D$144,INDEX($D$138:$D$144,7))</f>
        <v/>
      </c>
      <c r="G4850" s="7">
        <f>IF(ROUND(E4850+F4850-D4850,2)=0,"OK","ОШИБКА")</f>
        <v/>
      </c>
    </row>
    <row r="4851">
      <c r="A4851" s="15" t="inlineStr">
        <is>
          <t>Алексеева</t>
        </is>
      </c>
      <c r="B4851" s="6" t="n">
        <v>21</v>
      </c>
      <c r="C4851" s="7">
        <f>INDEX(Нед_Раб,21)</f>
        <v/>
      </c>
      <c r="D4851" s="10">
        <f>SUM(G145:G151)</f>
        <v/>
      </c>
      <c r="E4851" s="10">
        <f>SUMIFS($G$145:$G$151,$D$145:$D$151,INDEX($D$145:$D$151,1))</f>
        <v/>
      </c>
      <c r="F4851" s="10">
        <f>SUMIFS($G$145:$G$151,$D$145:$D$151,INDEX($D$145:$D$151,7))</f>
        <v/>
      </c>
      <c r="G4851" s="7">
        <f>IF(ROUND(E4851+F4851-D4851,2)=0,"OK","ОШИБКА")</f>
        <v/>
      </c>
    </row>
    <row r="4852">
      <c r="A4852" s="15" t="inlineStr">
        <is>
          <t>Алексеева</t>
        </is>
      </c>
      <c r="B4852" s="6" t="n">
        <v>22</v>
      </c>
      <c r="C4852" s="7">
        <f>INDEX(Нед_Раб,22)</f>
        <v/>
      </c>
      <c r="D4852" s="10">
        <f>SUM(G152:G158)</f>
        <v/>
      </c>
      <c r="E4852" s="10">
        <f>SUMIFS($G$152:$G$158,$D$152:$D$158,INDEX($D$152:$D$158,1))</f>
        <v/>
      </c>
      <c r="F4852" s="10">
        <f>SUMIFS($G$152:$G$158,$D$152:$D$158,INDEX($D$152:$D$158,7))</f>
        <v/>
      </c>
      <c r="G4852" s="7">
        <f>IF(ROUND(E4852+F4852-D4852,2)=0,"OK","ОШИБКА")</f>
        <v/>
      </c>
    </row>
    <row r="4853">
      <c r="A4853" s="15" t="inlineStr">
        <is>
          <t>Алексеева</t>
        </is>
      </c>
      <c r="B4853" s="6" t="n">
        <v>23</v>
      </c>
      <c r="C4853" s="7">
        <f>INDEX(Нед_Раб,23)</f>
        <v/>
      </c>
      <c r="D4853" s="10">
        <f>SUM(G159:G165)</f>
        <v/>
      </c>
      <c r="E4853" s="10">
        <f>SUMIFS($G$159:$G$165,$D$159:$D$165,INDEX($D$159:$D$165,1))</f>
        <v/>
      </c>
      <c r="F4853" s="10">
        <f>SUMIFS($G$159:$G$165,$D$159:$D$165,INDEX($D$159:$D$165,7))</f>
        <v/>
      </c>
      <c r="G4853" s="7">
        <f>IF(ROUND(E4853+F4853-D4853,2)=0,"OK","ОШИБКА")</f>
        <v/>
      </c>
    </row>
    <row r="4854">
      <c r="A4854" s="15" t="inlineStr">
        <is>
          <t>Алексеева</t>
        </is>
      </c>
      <c r="B4854" s="6" t="n">
        <v>24</v>
      </c>
      <c r="C4854" s="7">
        <f>INDEX(Нед_Раб,24)</f>
        <v/>
      </c>
      <c r="D4854" s="10">
        <f>SUM(G166:G172)</f>
        <v/>
      </c>
      <c r="E4854" s="10">
        <f>SUMIFS($G$166:$G$172,$D$166:$D$172,INDEX($D$166:$D$172,1))</f>
        <v/>
      </c>
      <c r="F4854" s="10">
        <f>SUMIFS($G$166:$G$172,$D$166:$D$172,INDEX($D$166:$D$172,7))</f>
        <v/>
      </c>
      <c r="G4854" s="7">
        <f>IF(ROUND(E4854+F4854-D4854,2)=0,"OK","ОШИБКА")</f>
        <v/>
      </c>
    </row>
    <row r="4855">
      <c r="A4855" s="15" t="inlineStr">
        <is>
          <t>Алексеева</t>
        </is>
      </c>
      <c r="B4855" s="6" t="n">
        <v>25</v>
      </c>
      <c r="C4855" s="7">
        <f>INDEX(Нед_Раб,25)</f>
        <v/>
      </c>
      <c r="D4855" s="10">
        <f>SUM(G173:G179)</f>
        <v/>
      </c>
      <c r="E4855" s="10">
        <f>SUMIFS($G$173:$G$179,$D$173:$D$179,INDEX($D$173:$D$179,1))</f>
        <v/>
      </c>
      <c r="F4855" s="10">
        <f>SUMIFS($G$173:$G$179,$D$173:$D$179,INDEX($D$173:$D$179,7))</f>
        <v/>
      </c>
      <c r="G4855" s="7">
        <f>IF(ROUND(E4855+F4855-D4855,2)=0,"OK","ОШИБКА")</f>
        <v/>
      </c>
    </row>
    <row r="4856">
      <c r="A4856" s="15" t="inlineStr">
        <is>
          <t>Алексеева</t>
        </is>
      </c>
      <c r="B4856" s="6" t="n">
        <v>26</v>
      </c>
      <c r="C4856" s="7">
        <f>INDEX(Нед_Раб,26)</f>
        <v/>
      </c>
      <c r="D4856" s="10">
        <f>SUM(G180:G186)</f>
        <v/>
      </c>
      <c r="E4856" s="10">
        <f>SUMIFS($G$180:$G$186,$D$180:$D$186,INDEX($D$180:$D$186,1))</f>
        <v/>
      </c>
      <c r="F4856" s="10">
        <f>SUMIFS($G$180:$G$186,$D$180:$D$186,INDEX($D$180:$D$186,7))</f>
        <v/>
      </c>
      <c r="G4856" s="7">
        <f>IF(ROUND(E4856+F4856-D4856,2)=0,"OK","ОШИБКА")</f>
        <v/>
      </c>
    </row>
    <row r="4857">
      <c r="A4857" s="15" t="inlineStr">
        <is>
          <t>Алексеева</t>
        </is>
      </c>
      <c r="B4857" s="6" t="n">
        <v>27</v>
      </c>
      <c r="C4857" s="7">
        <f>INDEX(Нед_Раб,27)</f>
        <v/>
      </c>
      <c r="D4857" s="10">
        <f>SUM(G187:G193)</f>
        <v/>
      </c>
      <c r="E4857" s="10">
        <f>SUMIFS($G$187:$G$193,$D$187:$D$193,INDEX($D$187:$D$193,1))</f>
        <v/>
      </c>
      <c r="F4857" s="10">
        <f>SUMIFS($G$187:$G$193,$D$187:$D$193,INDEX($D$187:$D$193,7))</f>
        <v/>
      </c>
      <c r="G4857" s="7">
        <f>IF(ROUND(E4857+F4857-D4857,2)=0,"OK","ОШИБКА")</f>
        <v/>
      </c>
    </row>
    <row r="4858">
      <c r="A4858" s="15" t="inlineStr">
        <is>
          <t>Алексеева</t>
        </is>
      </c>
      <c r="B4858" s="6" t="n">
        <v>28</v>
      </c>
      <c r="C4858" s="7">
        <f>INDEX(Нед_Раб,28)</f>
        <v/>
      </c>
      <c r="D4858" s="10">
        <f>SUM(G194:G200)</f>
        <v/>
      </c>
      <c r="E4858" s="10">
        <f>SUMIFS($G$194:$G$200,$D$194:$D$200,INDEX($D$194:$D$200,1))</f>
        <v/>
      </c>
      <c r="F4858" s="10">
        <f>SUMIFS($G$194:$G$200,$D$194:$D$200,INDEX($D$194:$D$200,7))</f>
        <v/>
      </c>
      <c r="G4858" s="7">
        <f>IF(ROUND(E4858+F4858-D4858,2)=0,"OK","ОШИБКА")</f>
        <v/>
      </c>
    </row>
    <row r="4859">
      <c r="A4859" s="15" t="inlineStr">
        <is>
          <t>Алексеева</t>
        </is>
      </c>
      <c r="B4859" s="6" t="n">
        <v>29</v>
      </c>
      <c r="C4859" s="7">
        <f>INDEX(Нед_Раб,29)</f>
        <v/>
      </c>
      <c r="D4859" s="10">
        <f>SUM(G201:G207)</f>
        <v/>
      </c>
      <c r="E4859" s="10">
        <f>SUMIFS($G$201:$G$207,$D$201:$D$207,INDEX($D$201:$D$207,1))</f>
        <v/>
      </c>
      <c r="F4859" s="10">
        <f>SUMIFS($G$201:$G$207,$D$201:$D$207,INDEX($D$201:$D$207,7))</f>
        <v/>
      </c>
      <c r="G4859" s="7">
        <f>IF(ROUND(E4859+F4859-D4859,2)=0,"OK","ОШИБКА")</f>
        <v/>
      </c>
    </row>
    <row r="4860">
      <c r="A4860" s="15" t="inlineStr">
        <is>
          <t>Алексеева</t>
        </is>
      </c>
      <c r="B4860" s="6" t="n">
        <v>30</v>
      </c>
      <c r="C4860" s="7">
        <f>INDEX(Нед_Раб,30)</f>
        <v/>
      </c>
      <c r="D4860" s="10">
        <f>SUM(G208:G214)</f>
        <v/>
      </c>
      <c r="E4860" s="10">
        <f>SUMIFS($G$208:$G$214,$D$208:$D$214,INDEX($D$208:$D$214,1))</f>
        <v/>
      </c>
      <c r="F4860" s="10">
        <f>SUMIFS($G$208:$G$214,$D$208:$D$214,INDEX($D$208:$D$214,7))</f>
        <v/>
      </c>
      <c r="G4860" s="7">
        <f>IF(ROUND(E4860+F4860-D4860,2)=0,"OK","ОШИБКА")</f>
        <v/>
      </c>
    </row>
    <row r="4861">
      <c r="A4861" s="15" t="inlineStr">
        <is>
          <t>Алексеева</t>
        </is>
      </c>
      <c r="B4861" s="6" t="n">
        <v>31</v>
      </c>
      <c r="C4861" s="7">
        <f>INDEX(Нед_Раб,31)</f>
        <v/>
      </c>
      <c r="D4861" s="10">
        <f>SUM(G215:G221)</f>
        <v/>
      </c>
      <c r="E4861" s="10">
        <f>SUMIFS($G$215:$G$221,$D$215:$D$221,INDEX($D$215:$D$221,1))</f>
        <v/>
      </c>
      <c r="F4861" s="10">
        <f>SUMIFS($G$215:$G$221,$D$215:$D$221,INDEX($D$215:$D$221,7))</f>
        <v/>
      </c>
      <c r="G4861" s="7">
        <f>IF(ROUND(E4861+F4861-D4861,2)=0,"OK","ОШИБКА")</f>
        <v/>
      </c>
    </row>
    <row r="4862">
      <c r="A4862" s="15" t="inlineStr">
        <is>
          <t>Алексеева</t>
        </is>
      </c>
      <c r="B4862" s="6" t="n">
        <v>32</v>
      </c>
      <c r="C4862" s="7">
        <f>INDEX(Нед_Раб,32)</f>
        <v/>
      </c>
      <c r="D4862" s="10">
        <f>SUM(G222:G228)</f>
        <v/>
      </c>
      <c r="E4862" s="10">
        <f>SUMIFS($G$222:$G$228,$D$222:$D$228,INDEX($D$222:$D$228,1))</f>
        <v/>
      </c>
      <c r="F4862" s="10">
        <f>SUMIFS($G$222:$G$228,$D$222:$D$228,INDEX($D$222:$D$228,7))</f>
        <v/>
      </c>
      <c r="G4862" s="7">
        <f>IF(ROUND(E4862+F4862-D4862,2)=0,"OK","ОШИБКА")</f>
        <v/>
      </c>
    </row>
    <row r="4863">
      <c r="A4863" s="15" t="inlineStr">
        <is>
          <t>Алексеева</t>
        </is>
      </c>
      <c r="B4863" s="6" t="n">
        <v>33</v>
      </c>
      <c r="C4863" s="7">
        <f>INDEX(Нед_Раб,33)</f>
        <v/>
      </c>
      <c r="D4863" s="10">
        <f>SUM(G229:G235)</f>
        <v/>
      </c>
      <c r="E4863" s="10">
        <f>SUMIFS($G$229:$G$235,$D$229:$D$235,INDEX($D$229:$D$235,1))</f>
        <v/>
      </c>
      <c r="F4863" s="10">
        <f>SUMIFS($G$229:$G$235,$D$229:$D$235,INDEX($D$229:$D$235,7))</f>
        <v/>
      </c>
      <c r="G4863" s="7">
        <f>IF(ROUND(E4863+F4863-D4863,2)=0,"OK","ОШИБКА")</f>
        <v/>
      </c>
    </row>
    <row r="4864">
      <c r="A4864" s="15" t="inlineStr">
        <is>
          <t>Алексеева</t>
        </is>
      </c>
      <c r="B4864" s="6" t="n">
        <v>34</v>
      </c>
      <c r="C4864" s="7">
        <f>INDEX(Нед_Раб,34)</f>
        <v/>
      </c>
      <c r="D4864" s="10">
        <f>SUM(G236:G242)</f>
        <v/>
      </c>
      <c r="E4864" s="10">
        <f>SUMIFS($G$236:$G$242,$D$236:$D$242,INDEX($D$236:$D$242,1))</f>
        <v/>
      </c>
      <c r="F4864" s="10">
        <f>SUMIFS($G$236:$G$242,$D$236:$D$242,INDEX($D$236:$D$242,7))</f>
        <v/>
      </c>
      <c r="G4864" s="7">
        <f>IF(ROUND(E4864+F4864-D4864,2)=0,"OK","ОШИБКА")</f>
        <v/>
      </c>
    </row>
    <row r="4865">
      <c r="A4865" s="15" t="inlineStr">
        <is>
          <t>Алексеева</t>
        </is>
      </c>
      <c r="B4865" s="6" t="n">
        <v>35</v>
      </c>
      <c r="C4865" s="7">
        <f>INDEX(Нед_Раб,35)</f>
        <v/>
      </c>
      <c r="D4865" s="10">
        <f>SUM(G243:G249)</f>
        <v/>
      </c>
      <c r="E4865" s="10">
        <f>SUMIFS($G$243:$G$249,$D$243:$D$249,INDEX($D$243:$D$249,1))</f>
        <v/>
      </c>
      <c r="F4865" s="10">
        <f>SUMIFS($G$243:$G$249,$D$243:$D$249,INDEX($D$243:$D$249,7))</f>
        <v/>
      </c>
      <c r="G4865" s="7">
        <f>IF(ROUND(E4865+F4865-D4865,2)=0,"OK","ОШИБКА")</f>
        <v/>
      </c>
    </row>
    <row r="4866">
      <c r="A4866" s="15" t="inlineStr">
        <is>
          <t>Алексеева</t>
        </is>
      </c>
      <c r="B4866" s="6" t="n">
        <v>36</v>
      </c>
      <c r="C4866" s="7">
        <f>INDEX(Нед_Раб,36)</f>
        <v/>
      </c>
      <c r="D4866" s="10">
        <f>SUM(G250:G256)</f>
        <v/>
      </c>
      <c r="E4866" s="10">
        <f>SUMIFS($G$250:$G$256,$D$250:$D$256,INDEX($D$250:$D$256,1))</f>
        <v/>
      </c>
      <c r="F4866" s="10">
        <f>SUMIFS($G$250:$G$256,$D$250:$D$256,INDEX($D$250:$D$256,7))</f>
        <v/>
      </c>
      <c r="G4866" s="7">
        <f>IF(ROUND(E4866+F4866-D4866,2)=0,"OK","ОШИБКА")</f>
        <v/>
      </c>
    </row>
    <row r="4867">
      <c r="A4867" s="15" t="inlineStr">
        <is>
          <t>Алексеева</t>
        </is>
      </c>
      <c r="B4867" s="6" t="n">
        <v>37</v>
      </c>
      <c r="C4867" s="7">
        <f>INDEX(Нед_Раб,37)</f>
        <v/>
      </c>
      <c r="D4867" s="10">
        <f>SUM(G257:G263)</f>
        <v/>
      </c>
      <c r="E4867" s="10">
        <f>SUMIFS($G$257:$G$263,$D$257:$D$263,INDEX($D$257:$D$263,1))</f>
        <v/>
      </c>
      <c r="F4867" s="10">
        <f>SUMIFS($G$257:$G$263,$D$257:$D$263,INDEX($D$257:$D$263,7))</f>
        <v/>
      </c>
      <c r="G4867" s="7">
        <f>IF(ROUND(E4867+F4867-D4867,2)=0,"OK","ОШИБКА")</f>
        <v/>
      </c>
    </row>
    <row r="4868">
      <c r="A4868" s="15" t="inlineStr">
        <is>
          <t>Алексеева</t>
        </is>
      </c>
      <c r="B4868" s="6" t="n">
        <v>38</v>
      </c>
      <c r="C4868" s="7">
        <f>INDEX(Нед_Раб,38)</f>
        <v/>
      </c>
      <c r="D4868" s="10">
        <f>SUM(G264:G270)</f>
        <v/>
      </c>
      <c r="E4868" s="10">
        <f>SUMIFS($G$264:$G$270,$D$264:$D$270,INDEX($D$264:$D$270,1))</f>
        <v/>
      </c>
      <c r="F4868" s="10">
        <f>SUMIFS($G$264:$G$270,$D$264:$D$270,INDEX($D$264:$D$270,7))</f>
        <v/>
      </c>
      <c r="G4868" s="7">
        <f>IF(ROUND(E4868+F4868-D4868,2)=0,"OK","ОШИБКА")</f>
        <v/>
      </c>
    </row>
    <row r="4869">
      <c r="A4869" s="15" t="inlineStr">
        <is>
          <t>Алексеева</t>
        </is>
      </c>
      <c r="B4869" s="6" t="n">
        <v>39</v>
      </c>
      <c r="C4869" s="7">
        <f>INDEX(Нед_Раб,39)</f>
        <v/>
      </c>
      <c r="D4869" s="10">
        <f>SUM(G271:G277)</f>
        <v/>
      </c>
      <c r="E4869" s="10">
        <f>SUMIFS($G$271:$G$277,$D$271:$D$277,INDEX($D$271:$D$277,1))</f>
        <v/>
      </c>
      <c r="F4869" s="10">
        <f>SUMIFS($G$271:$G$277,$D$271:$D$277,INDEX($D$271:$D$277,7))</f>
        <v/>
      </c>
      <c r="G4869" s="7">
        <f>IF(ROUND(E4869+F4869-D4869,2)=0,"OK","ОШИБКА")</f>
        <v/>
      </c>
    </row>
    <row r="4870">
      <c r="A4870" s="15" t="inlineStr">
        <is>
          <t>Алексеева</t>
        </is>
      </c>
      <c r="B4870" s="6" t="n">
        <v>40</v>
      </c>
      <c r="C4870" s="7">
        <f>INDEX(Нед_Раб,40)</f>
        <v/>
      </c>
      <c r="D4870" s="10">
        <f>SUM(G278:G284)</f>
        <v/>
      </c>
      <c r="E4870" s="10">
        <f>SUMIFS($G$278:$G$284,$D$278:$D$284,INDEX($D$278:$D$284,1))</f>
        <v/>
      </c>
      <c r="F4870" s="10">
        <f>SUMIFS($G$278:$G$284,$D$278:$D$284,INDEX($D$278:$D$284,7))</f>
        <v/>
      </c>
      <c r="G4870" s="7">
        <f>IF(ROUND(E4870+F4870-D4870,2)=0,"OK","ОШИБКА")</f>
        <v/>
      </c>
    </row>
    <row r="4871">
      <c r="A4871" s="15" t="inlineStr">
        <is>
          <t>Алексеева</t>
        </is>
      </c>
      <c r="B4871" s="6" t="n">
        <v>41</v>
      </c>
      <c r="C4871" s="7">
        <f>INDEX(Нед_Раб,41)</f>
        <v/>
      </c>
      <c r="D4871" s="10">
        <f>SUM(G285:G291)</f>
        <v/>
      </c>
      <c r="E4871" s="10">
        <f>SUMIFS($G$285:$G$291,$D$285:$D$291,INDEX($D$285:$D$291,1))</f>
        <v/>
      </c>
      <c r="F4871" s="10">
        <f>SUMIFS($G$285:$G$291,$D$285:$D$291,INDEX($D$285:$D$291,7))</f>
        <v/>
      </c>
      <c r="G4871" s="7">
        <f>IF(ROUND(E4871+F4871-D4871,2)=0,"OK","ОШИБКА")</f>
        <v/>
      </c>
    </row>
    <row r="4872">
      <c r="A4872" s="15" t="inlineStr">
        <is>
          <t>Алексеева</t>
        </is>
      </c>
      <c r="B4872" s="6" t="n">
        <v>42</v>
      </c>
      <c r="C4872" s="7">
        <f>INDEX(Нед_Раб,42)</f>
        <v/>
      </c>
      <c r="D4872" s="10">
        <f>SUM(G292:G298)</f>
        <v/>
      </c>
      <c r="E4872" s="10">
        <f>SUMIFS($G$292:$G$298,$D$292:$D$298,INDEX($D$292:$D$298,1))</f>
        <v/>
      </c>
      <c r="F4872" s="10">
        <f>SUMIFS($G$292:$G$298,$D$292:$D$298,INDEX($D$292:$D$298,7))</f>
        <v/>
      </c>
      <c r="G4872" s="7">
        <f>IF(ROUND(E4872+F4872-D4872,2)=0,"OK","ОШИБКА")</f>
        <v/>
      </c>
    </row>
    <row r="4873">
      <c r="A4873" s="15" t="inlineStr">
        <is>
          <t>Алексеева</t>
        </is>
      </c>
      <c r="B4873" s="6" t="n">
        <v>43</v>
      </c>
      <c r="C4873" s="7">
        <f>INDEX(Нед_Раб,43)</f>
        <v/>
      </c>
      <c r="D4873" s="10">
        <f>SUM(G299:G305)</f>
        <v/>
      </c>
      <c r="E4873" s="10">
        <f>SUMIFS($G$299:$G$305,$D$299:$D$305,INDEX($D$299:$D$305,1))</f>
        <v/>
      </c>
      <c r="F4873" s="10">
        <f>SUMIFS($G$299:$G$305,$D$299:$D$305,INDEX($D$299:$D$305,7))</f>
        <v/>
      </c>
      <c r="G4873" s="7">
        <f>IF(ROUND(E4873+F4873-D4873,2)=0,"OK","ОШИБКА")</f>
        <v/>
      </c>
    </row>
    <row r="4874">
      <c r="A4874" s="15" t="inlineStr">
        <is>
          <t>Алексеева</t>
        </is>
      </c>
      <c r="B4874" s="6" t="n">
        <v>44</v>
      </c>
      <c r="C4874" s="7">
        <f>INDEX(Нед_Раб,44)</f>
        <v/>
      </c>
      <c r="D4874" s="10">
        <f>SUM(G306:G312)</f>
        <v/>
      </c>
      <c r="E4874" s="10">
        <f>SUMIFS($G$306:$G$312,$D$306:$D$312,INDEX($D$306:$D$312,1))</f>
        <v/>
      </c>
      <c r="F4874" s="10">
        <f>SUMIFS($G$306:$G$312,$D$306:$D$312,INDEX($D$306:$D$312,7))</f>
        <v/>
      </c>
      <c r="G4874" s="7">
        <f>IF(ROUND(E4874+F4874-D4874,2)=0,"OK","ОШИБКА")</f>
        <v/>
      </c>
    </row>
    <row r="4875">
      <c r="A4875" s="15" t="inlineStr">
        <is>
          <t>Алексеева</t>
        </is>
      </c>
      <c r="B4875" s="6" t="n">
        <v>45</v>
      </c>
      <c r="C4875" s="7">
        <f>INDEX(Нед_Раб,45)</f>
        <v/>
      </c>
      <c r="D4875" s="10">
        <f>SUM(G313:G319)</f>
        <v/>
      </c>
      <c r="E4875" s="10">
        <f>SUMIFS($G$313:$G$319,$D$313:$D$319,INDEX($D$313:$D$319,1))</f>
        <v/>
      </c>
      <c r="F4875" s="10">
        <f>SUMIFS($G$313:$G$319,$D$313:$D$319,INDEX($D$313:$D$319,7))</f>
        <v/>
      </c>
      <c r="G4875" s="7">
        <f>IF(ROUND(E4875+F4875-D4875,2)=0,"OK","ОШИБКА")</f>
        <v/>
      </c>
    </row>
    <row r="4876">
      <c r="A4876" s="15" t="inlineStr">
        <is>
          <t>Алексеева</t>
        </is>
      </c>
      <c r="B4876" s="6" t="n">
        <v>46</v>
      </c>
      <c r="C4876" s="7">
        <f>INDEX(Нед_Раб,46)</f>
        <v/>
      </c>
      <c r="D4876" s="10">
        <f>SUM(G320:G326)</f>
        <v/>
      </c>
      <c r="E4876" s="10">
        <f>SUMIFS($G$320:$G$326,$D$320:$D$326,INDEX($D$320:$D$326,1))</f>
        <v/>
      </c>
      <c r="F4876" s="10">
        <f>SUMIFS($G$320:$G$326,$D$320:$D$326,INDEX($D$320:$D$326,7))</f>
        <v/>
      </c>
      <c r="G4876" s="7">
        <f>IF(ROUND(E4876+F4876-D4876,2)=0,"OK","ОШИБКА")</f>
        <v/>
      </c>
    </row>
    <row r="4877">
      <c r="A4877" s="15" t="inlineStr">
        <is>
          <t>Алексеева</t>
        </is>
      </c>
      <c r="B4877" s="6" t="n">
        <v>47</v>
      </c>
      <c r="C4877" s="7">
        <f>INDEX(Нед_Раб,47)</f>
        <v/>
      </c>
      <c r="D4877" s="10">
        <f>SUM(G327:G333)</f>
        <v/>
      </c>
      <c r="E4877" s="10">
        <f>SUMIFS($G$327:$G$333,$D$327:$D$333,INDEX($D$327:$D$333,1))</f>
        <v/>
      </c>
      <c r="F4877" s="10">
        <f>SUMIFS($G$327:$G$333,$D$327:$D$333,INDEX($D$327:$D$333,7))</f>
        <v/>
      </c>
      <c r="G4877" s="7">
        <f>IF(ROUND(E4877+F4877-D4877,2)=0,"OK","ОШИБКА")</f>
        <v/>
      </c>
    </row>
    <row r="4878">
      <c r="A4878" s="15" t="inlineStr">
        <is>
          <t>Алексеева</t>
        </is>
      </c>
      <c r="B4878" s="6" t="n">
        <v>48</v>
      </c>
      <c r="C4878" s="7">
        <f>INDEX(Нед_Раб,48)</f>
        <v/>
      </c>
      <c r="D4878" s="10">
        <f>SUM(G334:G340)</f>
        <v/>
      </c>
      <c r="E4878" s="10">
        <f>SUMIFS($G$334:$G$340,$D$334:$D$340,INDEX($D$334:$D$340,1))</f>
        <v/>
      </c>
      <c r="F4878" s="10">
        <f>SUMIFS($G$334:$G$340,$D$334:$D$340,INDEX($D$334:$D$340,7))</f>
        <v/>
      </c>
      <c r="G4878" s="7">
        <f>IF(ROUND(E4878+F4878-D4878,2)=0,"OK","ОШИБКА")</f>
        <v/>
      </c>
    </row>
    <row r="4879">
      <c r="A4879" s="15" t="inlineStr">
        <is>
          <t>Алексеева</t>
        </is>
      </c>
      <c r="B4879" s="6" t="n">
        <v>49</v>
      </c>
      <c r="C4879" s="7">
        <f>INDEX(Нед_Раб,49)</f>
        <v/>
      </c>
      <c r="D4879" s="10">
        <f>SUM(G341:G347)</f>
        <v/>
      </c>
      <c r="E4879" s="10">
        <f>SUMIFS($G$341:$G$347,$D$341:$D$347,INDEX($D$341:$D$347,1))</f>
        <v/>
      </c>
      <c r="F4879" s="10">
        <f>SUMIFS($G$341:$G$347,$D$341:$D$347,INDEX($D$341:$D$347,7))</f>
        <v/>
      </c>
      <c r="G4879" s="7">
        <f>IF(ROUND(E4879+F4879-D4879,2)=0,"OK","ОШИБКА")</f>
        <v/>
      </c>
    </row>
    <row r="4880">
      <c r="A4880" s="15" t="inlineStr">
        <is>
          <t>Алексеева</t>
        </is>
      </c>
      <c r="B4880" s="6" t="n">
        <v>50</v>
      </c>
      <c r="C4880" s="7">
        <f>INDEX(Нед_Раб,50)</f>
        <v/>
      </c>
      <c r="D4880" s="10">
        <f>SUM(G348:G354)</f>
        <v/>
      </c>
      <c r="E4880" s="10">
        <f>SUMIFS($G$348:$G$354,$D$348:$D$354,INDEX($D$348:$D$354,1))</f>
        <v/>
      </c>
      <c r="F4880" s="10">
        <f>SUMIFS($G$348:$G$354,$D$348:$D$354,INDEX($D$348:$D$354,7))</f>
        <v/>
      </c>
      <c r="G4880" s="7">
        <f>IF(ROUND(E4880+F4880-D4880,2)=0,"OK","ОШИБКА")</f>
        <v/>
      </c>
    </row>
    <row r="4881">
      <c r="A4881" s="15" t="inlineStr">
        <is>
          <t>Алексеева</t>
        </is>
      </c>
      <c r="B4881" s="6" t="n">
        <v>51</v>
      </c>
      <c r="C4881" s="7">
        <f>INDEX(Нед_Раб,51)</f>
        <v/>
      </c>
      <c r="D4881" s="10">
        <f>SUM(G355:G361)</f>
        <v/>
      </c>
      <c r="E4881" s="10">
        <f>SUMIFS($G$355:$G$361,$D$355:$D$361,INDEX($D$355:$D$361,1))</f>
        <v/>
      </c>
      <c r="F4881" s="10">
        <f>SUMIFS($G$355:$G$361,$D$355:$D$361,INDEX($D$355:$D$361,7))</f>
        <v/>
      </c>
      <c r="G4881" s="7">
        <f>IF(ROUND(E4881+F4881-D4881,2)=0,"OK","ОШИБКА")</f>
        <v/>
      </c>
    </row>
    <row r="4882">
      <c r="A4882" s="15" t="inlineStr">
        <is>
          <t>Алексеева</t>
        </is>
      </c>
      <c r="B4882" s="6" t="n">
        <v>52</v>
      </c>
      <c r="C4882" s="7">
        <f>INDEX(Нед_Раб,52)</f>
        <v/>
      </c>
      <c r="D4882" s="10">
        <f>SUM(G362:G368)</f>
        <v/>
      </c>
      <c r="E4882" s="10">
        <f>SUMIFS($G$362:$G$368,$D$362:$D$368,INDEX($D$362:$D$368,1))</f>
        <v/>
      </c>
      <c r="F4882" s="10">
        <f>SUMIFS($G$362:$G$368,$D$362:$D$368,INDEX($D$362:$D$368,7))</f>
        <v/>
      </c>
      <c r="G4882" s="7">
        <f>IF(ROUND(E4882+F4882-D4882,2)=0,"OK","ОШИБКА")</f>
        <v/>
      </c>
    </row>
    <row r="4883">
      <c r="A4883" s="15" t="inlineStr">
        <is>
          <t>Алексеева</t>
        </is>
      </c>
      <c r="B4883" s="6" t="n">
        <v>53</v>
      </c>
      <c r="C4883" s="7">
        <f>INDEX(Нед_Раб,53)</f>
        <v/>
      </c>
      <c r="D4883" s="10">
        <f>SUM(G369:G375)</f>
        <v/>
      </c>
      <c r="E4883" s="10">
        <f>SUMIFS($G$369:$G$375,$D$369:$D$375,INDEX($D$369:$D$375,1))</f>
        <v/>
      </c>
      <c r="F4883" s="10">
        <f>SUMIFS($G$369:$G$375,$D$369:$D$375,INDEX($D$369:$D$375,7))</f>
        <v/>
      </c>
      <c r="G4883" s="7">
        <f>IF(ROUND(E4883+F4883-D4883,2)=0,"OK","ОШИБКА")</f>
        <v/>
      </c>
    </row>
    <row r="4884">
      <c r="A4884" s="15" t="inlineStr">
        <is>
          <t>Лебедев</t>
        </is>
      </c>
      <c r="B4884" s="6" t="n">
        <v>1</v>
      </c>
      <c r="C4884" s="7">
        <f>INDEX(Нед_Раб,1)</f>
        <v/>
      </c>
      <c r="D4884" s="10">
        <f>SUM(G5:G11)</f>
        <v/>
      </c>
      <c r="E4884" s="10">
        <f>SUMIFS($G$5:$G$11,$D$5:$D$11,INDEX($D$5:$D$11,1))</f>
        <v/>
      </c>
      <c r="F4884" s="10">
        <f>SUMIFS($G$5:$G$11,$D$5:$D$11,INDEX($D$5:$D$11,7))</f>
        <v/>
      </c>
      <c r="G4884" s="7">
        <f>IF(ROUND(E4884+F4884-D4884,2)=0,"OK","ОШИБКА")</f>
        <v/>
      </c>
    </row>
    <row r="4885">
      <c r="A4885" s="15" t="inlineStr">
        <is>
          <t>Лебедев</t>
        </is>
      </c>
      <c r="B4885" s="6" t="n">
        <v>2</v>
      </c>
      <c r="C4885" s="7">
        <f>INDEX(Нед_Раб,2)</f>
        <v/>
      </c>
      <c r="D4885" s="10">
        <f>SUM(G12:G18)</f>
        <v/>
      </c>
      <c r="E4885" s="10">
        <f>SUMIFS($G$12:$G$18,$D$12:$D$18,INDEX($D$12:$D$18,1))</f>
        <v/>
      </c>
      <c r="F4885" s="10">
        <f>SUMIFS($G$12:$G$18,$D$12:$D$18,INDEX($D$12:$D$18,7))</f>
        <v/>
      </c>
      <c r="G4885" s="7">
        <f>IF(ROUND(E4885+F4885-D4885,2)=0,"OK","ОШИБКА")</f>
        <v/>
      </c>
    </row>
    <row r="4886">
      <c r="A4886" s="15" t="inlineStr">
        <is>
          <t>Лебедев</t>
        </is>
      </c>
      <c r="B4886" s="6" t="n">
        <v>3</v>
      </c>
      <c r="C4886" s="7">
        <f>INDEX(Нед_Раб,3)</f>
        <v/>
      </c>
      <c r="D4886" s="10">
        <f>SUM(G19:G25)</f>
        <v/>
      </c>
      <c r="E4886" s="10">
        <f>SUMIFS($G$19:$G$25,$D$19:$D$25,INDEX($D$19:$D$25,1))</f>
        <v/>
      </c>
      <c r="F4886" s="10">
        <f>SUMIFS($G$19:$G$25,$D$19:$D$25,INDEX($D$19:$D$25,7))</f>
        <v/>
      </c>
      <c r="G4886" s="7">
        <f>IF(ROUND(E4886+F4886-D4886,2)=0,"OK","ОШИБКА")</f>
        <v/>
      </c>
    </row>
    <row r="4887">
      <c r="A4887" s="15" t="inlineStr">
        <is>
          <t>Лебедев</t>
        </is>
      </c>
      <c r="B4887" s="6" t="n">
        <v>4</v>
      </c>
      <c r="C4887" s="7">
        <f>INDEX(Нед_Раб,4)</f>
        <v/>
      </c>
      <c r="D4887" s="10">
        <f>SUM(G26:G32)</f>
        <v/>
      </c>
      <c r="E4887" s="10">
        <f>SUMIFS($G$26:$G$32,$D$26:$D$32,INDEX($D$26:$D$32,1))</f>
        <v/>
      </c>
      <c r="F4887" s="10">
        <f>SUMIFS($G$26:$G$32,$D$26:$D$32,INDEX($D$26:$D$32,7))</f>
        <v/>
      </c>
      <c r="G4887" s="7">
        <f>IF(ROUND(E4887+F4887-D4887,2)=0,"OK","ОШИБКА")</f>
        <v/>
      </c>
    </row>
    <row r="4888">
      <c r="A4888" s="15" t="inlineStr">
        <is>
          <t>Лебедев</t>
        </is>
      </c>
      <c r="B4888" s="6" t="n">
        <v>5</v>
      </c>
      <c r="C4888" s="7">
        <f>INDEX(Нед_Раб,5)</f>
        <v/>
      </c>
      <c r="D4888" s="10">
        <f>SUM(G33:G39)</f>
        <v/>
      </c>
      <c r="E4888" s="10">
        <f>SUMIFS($G$33:$G$39,$D$33:$D$39,INDEX($D$33:$D$39,1))</f>
        <v/>
      </c>
      <c r="F4888" s="10">
        <f>SUMIFS($G$33:$G$39,$D$33:$D$39,INDEX($D$33:$D$39,7))</f>
        <v/>
      </c>
      <c r="G4888" s="7">
        <f>IF(ROUND(E4888+F4888-D4888,2)=0,"OK","ОШИБКА")</f>
        <v/>
      </c>
    </row>
    <row r="4889">
      <c r="A4889" s="15" t="inlineStr">
        <is>
          <t>Лебедев</t>
        </is>
      </c>
      <c r="B4889" s="6" t="n">
        <v>6</v>
      </c>
      <c r="C4889" s="7">
        <f>INDEX(Нед_Раб,6)</f>
        <v/>
      </c>
      <c r="D4889" s="10">
        <f>SUM(G40:G46)</f>
        <v/>
      </c>
      <c r="E4889" s="10">
        <f>SUMIFS($G$40:$G$46,$D$40:$D$46,INDEX($D$40:$D$46,1))</f>
        <v/>
      </c>
      <c r="F4889" s="10">
        <f>SUMIFS($G$40:$G$46,$D$40:$D$46,INDEX($D$40:$D$46,7))</f>
        <v/>
      </c>
      <c r="G4889" s="7">
        <f>IF(ROUND(E4889+F4889-D4889,2)=0,"OK","ОШИБКА")</f>
        <v/>
      </c>
    </row>
    <row r="4890">
      <c r="A4890" s="15" t="inlineStr">
        <is>
          <t>Лебедев</t>
        </is>
      </c>
      <c r="B4890" s="6" t="n">
        <v>7</v>
      </c>
      <c r="C4890" s="7">
        <f>INDEX(Нед_Раб,7)</f>
        <v/>
      </c>
      <c r="D4890" s="10">
        <f>SUM(G47:G53)</f>
        <v/>
      </c>
      <c r="E4890" s="10">
        <f>SUMIFS($G$47:$G$53,$D$47:$D$53,INDEX($D$47:$D$53,1))</f>
        <v/>
      </c>
      <c r="F4890" s="10">
        <f>SUMIFS($G$47:$G$53,$D$47:$D$53,INDEX($D$47:$D$53,7))</f>
        <v/>
      </c>
      <c r="G4890" s="7">
        <f>IF(ROUND(E4890+F4890-D4890,2)=0,"OK","ОШИБКА")</f>
        <v/>
      </c>
    </row>
    <row r="4891">
      <c r="A4891" s="15" t="inlineStr">
        <is>
          <t>Лебедев</t>
        </is>
      </c>
      <c r="B4891" s="6" t="n">
        <v>8</v>
      </c>
      <c r="C4891" s="7">
        <f>INDEX(Нед_Раб,8)</f>
        <v/>
      </c>
      <c r="D4891" s="10">
        <f>SUM(G54:G60)</f>
        <v/>
      </c>
      <c r="E4891" s="10">
        <f>SUMIFS($G$54:$G$60,$D$54:$D$60,INDEX($D$54:$D$60,1))</f>
        <v/>
      </c>
      <c r="F4891" s="10">
        <f>SUMIFS($G$54:$G$60,$D$54:$D$60,INDEX($D$54:$D$60,7))</f>
        <v/>
      </c>
      <c r="G4891" s="7">
        <f>IF(ROUND(E4891+F4891-D4891,2)=0,"OK","ОШИБКА")</f>
        <v/>
      </c>
    </row>
    <row r="4892">
      <c r="A4892" s="15" t="inlineStr">
        <is>
          <t>Лебедев</t>
        </is>
      </c>
      <c r="B4892" s="6" t="n">
        <v>9</v>
      </c>
      <c r="C4892" s="7">
        <f>INDEX(Нед_Раб,9)</f>
        <v/>
      </c>
      <c r="D4892" s="10">
        <f>SUM(G61:G67)</f>
        <v/>
      </c>
      <c r="E4892" s="10">
        <f>SUMIFS($G$61:$G$67,$D$61:$D$67,INDEX($D$61:$D$67,1))</f>
        <v/>
      </c>
      <c r="F4892" s="10">
        <f>SUMIFS($G$61:$G$67,$D$61:$D$67,INDEX($D$61:$D$67,7))</f>
        <v/>
      </c>
      <c r="G4892" s="7">
        <f>IF(ROUND(E4892+F4892-D4892,2)=0,"OK","ОШИБКА")</f>
        <v/>
      </c>
    </row>
    <row r="4893">
      <c r="A4893" s="15" t="inlineStr">
        <is>
          <t>Лебедев</t>
        </is>
      </c>
      <c r="B4893" s="6" t="n">
        <v>10</v>
      </c>
      <c r="C4893" s="7">
        <f>INDEX(Нед_Раб,10)</f>
        <v/>
      </c>
      <c r="D4893" s="10">
        <f>SUM(G68:G74)</f>
        <v/>
      </c>
      <c r="E4893" s="10">
        <f>SUMIFS($G$68:$G$74,$D$68:$D$74,INDEX($D$68:$D$74,1))</f>
        <v/>
      </c>
      <c r="F4893" s="10">
        <f>SUMIFS($G$68:$G$74,$D$68:$D$74,INDEX($D$68:$D$74,7))</f>
        <v/>
      </c>
      <c r="G4893" s="7">
        <f>IF(ROUND(E4893+F4893-D4893,2)=0,"OK","ОШИБКА")</f>
        <v/>
      </c>
    </row>
    <row r="4894">
      <c r="A4894" s="15" t="inlineStr">
        <is>
          <t>Лебедев</t>
        </is>
      </c>
      <c r="B4894" s="6" t="n">
        <v>11</v>
      </c>
      <c r="C4894" s="7">
        <f>INDEX(Нед_Раб,11)</f>
        <v/>
      </c>
      <c r="D4894" s="10">
        <f>SUM(G75:G81)</f>
        <v/>
      </c>
      <c r="E4894" s="10">
        <f>SUMIFS($G$75:$G$81,$D$75:$D$81,INDEX($D$75:$D$81,1))</f>
        <v/>
      </c>
      <c r="F4894" s="10">
        <f>SUMIFS($G$75:$G$81,$D$75:$D$81,INDEX($D$75:$D$81,7))</f>
        <v/>
      </c>
      <c r="G4894" s="7">
        <f>IF(ROUND(E4894+F4894-D4894,2)=0,"OK","ОШИБКА")</f>
        <v/>
      </c>
    </row>
    <row r="4895">
      <c r="A4895" s="15" t="inlineStr">
        <is>
          <t>Лебедев</t>
        </is>
      </c>
      <c r="B4895" s="6" t="n">
        <v>12</v>
      </c>
      <c r="C4895" s="7">
        <f>INDEX(Нед_Раб,12)</f>
        <v/>
      </c>
      <c r="D4895" s="10">
        <f>SUM(G82:G88)</f>
        <v/>
      </c>
      <c r="E4895" s="10">
        <f>SUMIFS($G$82:$G$88,$D$82:$D$88,INDEX($D$82:$D$88,1))</f>
        <v/>
      </c>
      <c r="F4895" s="10">
        <f>SUMIFS($G$82:$G$88,$D$82:$D$88,INDEX($D$82:$D$88,7))</f>
        <v/>
      </c>
      <c r="G4895" s="7">
        <f>IF(ROUND(E4895+F4895-D4895,2)=0,"OK","ОШИБКА")</f>
        <v/>
      </c>
    </row>
    <row r="4896">
      <c r="A4896" s="15" t="inlineStr">
        <is>
          <t>Лебедев</t>
        </is>
      </c>
      <c r="B4896" s="6" t="n">
        <v>13</v>
      </c>
      <c r="C4896" s="7">
        <f>INDEX(Нед_Раб,13)</f>
        <v/>
      </c>
      <c r="D4896" s="10">
        <f>SUM(G89:G95)</f>
        <v/>
      </c>
      <c r="E4896" s="10">
        <f>SUMIFS($G$89:$G$95,$D$89:$D$95,INDEX($D$89:$D$95,1))</f>
        <v/>
      </c>
      <c r="F4896" s="10">
        <f>SUMIFS($G$89:$G$95,$D$89:$D$95,INDEX($D$89:$D$95,7))</f>
        <v/>
      </c>
      <c r="G4896" s="7">
        <f>IF(ROUND(E4896+F4896-D4896,2)=0,"OK","ОШИБКА")</f>
        <v/>
      </c>
    </row>
    <row r="4897">
      <c r="A4897" s="15" t="inlineStr">
        <is>
          <t>Лебедев</t>
        </is>
      </c>
      <c r="B4897" s="6" t="n">
        <v>14</v>
      </c>
      <c r="C4897" s="7">
        <f>INDEX(Нед_Раб,14)</f>
        <v/>
      </c>
      <c r="D4897" s="10">
        <f>SUM(G96:G102)</f>
        <v/>
      </c>
      <c r="E4897" s="10">
        <f>SUMIFS($G$96:$G$102,$D$96:$D$102,INDEX($D$96:$D$102,1))</f>
        <v/>
      </c>
      <c r="F4897" s="10">
        <f>SUMIFS($G$96:$G$102,$D$96:$D$102,INDEX($D$96:$D$102,7))</f>
        <v/>
      </c>
      <c r="G4897" s="7">
        <f>IF(ROUND(E4897+F4897-D4897,2)=0,"OK","ОШИБКА")</f>
        <v/>
      </c>
    </row>
    <row r="4898">
      <c r="A4898" s="15" t="inlineStr">
        <is>
          <t>Лебедев</t>
        </is>
      </c>
      <c r="B4898" s="6" t="n">
        <v>15</v>
      </c>
      <c r="C4898" s="7">
        <f>INDEX(Нед_Раб,15)</f>
        <v/>
      </c>
      <c r="D4898" s="10">
        <f>SUM(G103:G109)</f>
        <v/>
      </c>
      <c r="E4898" s="10">
        <f>SUMIFS($G$103:$G$109,$D$103:$D$109,INDEX($D$103:$D$109,1))</f>
        <v/>
      </c>
      <c r="F4898" s="10">
        <f>SUMIFS($G$103:$G$109,$D$103:$D$109,INDEX($D$103:$D$109,7))</f>
        <v/>
      </c>
      <c r="G4898" s="7">
        <f>IF(ROUND(E4898+F4898-D4898,2)=0,"OK","ОШИБКА")</f>
        <v/>
      </c>
    </row>
    <row r="4899">
      <c r="A4899" s="15" t="inlineStr">
        <is>
          <t>Лебедев</t>
        </is>
      </c>
      <c r="B4899" s="6" t="n">
        <v>16</v>
      </c>
      <c r="C4899" s="7">
        <f>INDEX(Нед_Раб,16)</f>
        <v/>
      </c>
      <c r="D4899" s="10">
        <f>SUM(G110:G116)</f>
        <v/>
      </c>
      <c r="E4899" s="10">
        <f>SUMIFS($G$110:$G$116,$D$110:$D$116,INDEX($D$110:$D$116,1))</f>
        <v/>
      </c>
      <c r="F4899" s="10">
        <f>SUMIFS($G$110:$G$116,$D$110:$D$116,INDEX($D$110:$D$116,7))</f>
        <v/>
      </c>
      <c r="G4899" s="7">
        <f>IF(ROUND(E4899+F4899-D4899,2)=0,"OK","ОШИБКА")</f>
        <v/>
      </c>
    </row>
    <row r="4900">
      <c r="A4900" s="15" t="inlineStr">
        <is>
          <t>Лебедев</t>
        </is>
      </c>
      <c r="B4900" s="6" t="n">
        <v>17</v>
      </c>
      <c r="C4900" s="7">
        <f>INDEX(Нед_Раб,17)</f>
        <v/>
      </c>
      <c r="D4900" s="10">
        <f>SUM(G117:G123)</f>
        <v/>
      </c>
      <c r="E4900" s="10">
        <f>SUMIFS($G$117:$G$123,$D$117:$D$123,INDEX($D$117:$D$123,1))</f>
        <v/>
      </c>
      <c r="F4900" s="10">
        <f>SUMIFS($G$117:$G$123,$D$117:$D$123,INDEX($D$117:$D$123,7))</f>
        <v/>
      </c>
      <c r="G4900" s="7">
        <f>IF(ROUND(E4900+F4900-D4900,2)=0,"OK","ОШИБКА")</f>
        <v/>
      </c>
    </row>
    <row r="4901">
      <c r="A4901" s="15" t="inlineStr">
        <is>
          <t>Лебедев</t>
        </is>
      </c>
      <c r="B4901" s="6" t="n">
        <v>18</v>
      </c>
      <c r="C4901" s="7">
        <f>INDEX(Нед_Раб,18)</f>
        <v/>
      </c>
      <c r="D4901" s="10">
        <f>SUM(G124:G130)</f>
        <v/>
      </c>
      <c r="E4901" s="10">
        <f>SUMIFS($G$124:$G$130,$D$124:$D$130,INDEX($D$124:$D$130,1))</f>
        <v/>
      </c>
      <c r="F4901" s="10">
        <f>SUMIFS($G$124:$G$130,$D$124:$D$130,INDEX($D$124:$D$130,7))</f>
        <v/>
      </c>
      <c r="G4901" s="7">
        <f>IF(ROUND(E4901+F4901-D4901,2)=0,"OK","ОШИБКА")</f>
        <v/>
      </c>
    </row>
    <row r="4902">
      <c r="A4902" s="15" t="inlineStr">
        <is>
          <t>Лебедев</t>
        </is>
      </c>
      <c r="B4902" s="6" t="n">
        <v>19</v>
      </c>
      <c r="C4902" s="7">
        <f>INDEX(Нед_Раб,19)</f>
        <v/>
      </c>
      <c r="D4902" s="10">
        <f>SUM(G131:G137)</f>
        <v/>
      </c>
      <c r="E4902" s="10">
        <f>SUMIFS($G$131:$G$137,$D$131:$D$137,INDEX($D$131:$D$137,1))</f>
        <v/>
      </c>
      <c r="F4902" s="10">
        <f>SUMIFS($G$131:$G$137,$D$131:$D$137,INDEX($D$131:$D$137,7))</f>
        <v/>
      </c>
      <c r="G4902" s="7">
        <f>IF(ROUND(E4902+F4902-D4902,2)=0,"OK","ОШИБКА")</f>
        <v/>
      </c>
    </row>
    <row r="4903">
      <c r="A4903" s="15" t="inlineStr">
        <is>
          <t>Лебедев</t>
        </is>
      </c>
      <c r="B4903" s="6" t="n">
        <v>20</v>
      </c>
      <c r="C4903" s="7">
        <f>INDEX(Нед_Раб,20)</f>
        <v/>
      </c>
      <c r="D4903" s="10">
        <f>SUM(G138:G144)</f>
        <v/>
      </c>
      <c r="E4903" s="10">
        <f>SUMIFS($G$138:$G$144,$D$138:$D$144,INDEX($D$138:$D$144,1))</f>
        <v/>
      </c>
      <c r="F4903" s="10">
        <f>SUMIFS($G$138:$G$144,$D$138:$D$144,INDEX($D$138:$D$144,7))</f>
        <v/>
      </c>
      <c r="G4903" s="7">
        <f>IF(ROUND(E4903+F4903-D4903,2)=0,"OK","ОШИБКА")</f>
        <v/>
      </c>
    </row>
    <row r="4904">
      <c r="A4904" s="15" t="inlineStr">
        <is>
          <t>Лебедев</t>
        </is>
      </c>
      <c r="B4904" s="6" t="n">
        <v>21</v>
      </c>
      <c r="C4904" s="7">
        <f>INDEX(Нед_Раб,21)</f>
        <v/>
      </c>
      <c r="D4904" s="10">
        <f>SUM(G145:G151)</f>
        <v/>
      </c>
      <c r="E4904" s="10">
        <f>SUMIFS($G$145:$G$151,$D$145:$D$151,INDEX($D$145:$D$151,1))</f>
        <v/>
      </c>
      <c r="F4904" s="10">
        <f>SUMIFS($G$145:$G$151,$D$145:$D$151,INDEX($D$145:$D$151,7))</f>
        <v/>
      </c>
      <c r="G4904" s="7">
        <f>IF(ROUND(E4904+F4904-D4904,2)=0,"OK","ОШИБКА")</f>
        <v/>
      </c>
    </row>
    <row r="4905">
      <c r="A4905" s="15" t="inlineStr">
        <is>
          <t>Лебедев</t>
        </is>
      </c>
      <c r="B4905" s="6" t="n">
        <v>22</v>
      </c>
      <c r="C4905" s="7">
        <f>INDEX(Нед_Раб,22)</f>
        <v/>
      </c>
      <c r="D4905" s="10">
        <f>SUM(G152:G158)</f>
        <v/>
      </c>
      <c r="E4905" s="10">
        <f>SUMIFS($G$152:$G$158,$D$152:$D$158,INDEX($D$152:$D$158,1))</f>
        <v/>
      </c>
      <c r="F4905" s="10">
        <f>SUMIFS($G$152:$G$158,$D$152:$D$158,INDEX($D$152:$D$158,7))</f>
        <v/>
      </c>
      <c r="G4905" s="7">
        <f>IF(ROUND(E4905+F4905-D4905,2)=0,"OK","ОШИБКА")</f>
        <v/>
      </c>
    </row>
    <row r="4906">
      <c r="A4906" s="15" t="inlineStr">
        <is>
          <t>Лебедев</t>
        </is>
      </c>
      <c r="B4906" s="6" t="n">
        <v>23</v>
      </c>
      <c r="C4906" s="7">
        <f>INDEX(Нед_Раб,23)</f>
        <v/>
      </c>
      <c r="D4906" s="10">
        <f>SUM(G159:G165)</f>
        <v/>
      </c>
      <c r="E4906" s="10">
        <f>SUMIFS($G$159:$G$165,$D$159:$D$165,INDEX($D$159:$D$165,1))</f>
        <v/>
      </c>
      <c r="F4906" s="10">
        <f>SUMIFS($G$159:$G$165,$D$159:$D$165,INDEX($D$159:$D$165,7))</f>
        <v/>
      </c>
      <c r="G4906" s="7">
        <f>IF(ROUND(E4906+F4906-D4906,2)=0,"OK","ОШИБКА")</f>
        <v/>
      </c>
    </row>
    <row r="4907">
      <c r="A4907" s="15" t="inlineStr">
        <is>
          <t>Лебедев</t>
        </is>
      </c>
      <c r="B4907" s="6" t="n">
        <v>24</v>
      </c>
      <c r="C4907" s="7">
        <f>INDEX(Нед_Раб,24)</f>
        <v/>
      </c>
      <c r="D4907" s="10">
        <f>SUM(G166:G172)</f>
        <v/>
      </c>
      <c r="E4907" s="10">
        <f>SUMIFS($G$166:$G$172,$D$166:$D$172,INDEX($D$166:$D$172,1))</f>
        <v/>
      </c>
      <c r="F4907" s="10">
        <f>SUMIFS($G$166:$G$172,$D$166:$D$172,INDEX($D$166:$D$172,7))</f>
        <v/>
      </c>
      <c r="G4907" s="7">
        <f>IF(ROUND(E4907+F4907-D4907,2)=0,"OK","ОШИБКА")</f>
        <v/>
      </c>
    </row>
    <row r="4908">
      <c r="A4908" s="15" t="inlineStr">
        <is>
          <t>Лебедев</t>
        </is>
      </c>
      <c r="B4908" s="6" t="n">
        <v>25</v>
      </c>
      <c r="C4908" s="7">
        <f>INDEX(Нед_Раб,25)</f>
        <v/>
      </c>
      <c r="D4908" s="10">
        <f>SUM(G173:G179)</f>
        <v/>
      </c>
      <c r="E4908" s="10">
        <f>SUMIFS($G$173:$G$179,$D$173:$D$179,INDEX($D$173:$D$179,1))</f>
        <v/>
      </c>
      <c r="F4908" s="10">
        <f>SUMIFS($G$173:$G$179,$D$173:$D$179,INDEX($D$173:$D$179,7))</f>
        <v/>
      </c>
      <c r="G4908" s="7">
        <f>IF(ROUND(E4908+F4908-D4908,2)=0,"OK","ОШИБКА")</f>
        <v/>
      </c>
    </row>
    <row r="4909">
      <c r="A4909" s="15" t="inlineStr">
        <is>
          <t>Лебедев</t>
        </is>
      </c>
      <c r="B4909" s="6" t="n">
        <v>26</v>
      </c>
      <c r="C4909" s="7">
        <f>INDEX(Нед_Раб,26)</f>
        <v/>
      </c>
      <c r="D4909" s="10">
        <f>SUM(G180:G186)</f>
        <v/>
      </c>
      <c r="E4909" s="10">
        <f>SUMIFS($G$180:$G$186,$D$180:$D$186,INDEX($D$180:$D$186,1))</f>
        <v/>
      </c>
      <c r="F4909" s="10">
        <f>SUMIFS($G$180:$G$186,$D$180:$D$186,INDEX($D$180:$D$186,7))</f>
        <v/>
      </c>
      <c r="G4909" s="7">
        <f>IF(ROUND(E4909+F4909-D4909,2)=0,"OK","ОШИБКА")</f>
        <v/>
      </c>
    </row>
    <row r="4910">
      <c r="A4910" s="15" t="inlineStr">
        <is>
          <t>Лебедев</t>
        </is>
      </c>
      <c r="B4910" s="6" t="n">
        <v>27</v>
      </c>
      <c r="C4910" s="7">
        <f>INDEX(Нед_Раб,27)</f>
        <v/>
      </c>
      <c r="D4910" s="10">
        <f>SUM(G187:G193)</f>
        <v/>
      </c>
      <c r="E4910" s="10">
        <f>SUMIFS($G$187:$G$193,$D$187:$D$193,INDEX($D$187:$D$193,1))</f>
        <v/>
      </c>
      <c r="F4910" s="10">
        <f>SUMIFS($G$187:$G$193,$D$187:$D$193,INDEX($D$187:$D$193,7))</f>
        <v/>
      </c>
      <c r="G4910" s="7">
        <f>IF(ROUND(E4910+F4910-D4910,2)=0,"OK","ОШИБКА")</f>
        <v/>
      </c>
    </row>
    <row r="4911">
      <c r="A4911" s="15" t="inlineStr">
        <is>
          <t>Лебедев</t>
        </is>
      </c>
      <c r="B4911" s="6" t="n">
        <v>28</v>
      </c>
      <c r="C4911" s="7">
        <f>INDEX(Нед_Раб,28)</f>
        <v/>
      </c>
      <c r="D4911" s="10">
        <f>SUM(G194:G200)</f>
        <v/>
      </c>
      <c r="E4911" s="10">
        <f>SUMIFS($G$194:$G$200,$D$194:$D$200,INDEX($D$194:$D$200,1))</f>
        <v/>
      </c>
      <c r="F4911" s="10">
        <f>SUMIFS($G$194:$G$200,$D$194:$D$200,INDEX($D$194:$D$200,7))</f>
        <v/>
      </c>
      <c r="G4911" s="7">
        <f>IF(ROUND(E4911+F4911-D4911,2)=0,"OK","ОШИБКА")</f>
        <v/>
      </c>
    </row>
    <row r="4912">
      <c r="A4912" s="15" t="inlineStr">
        <is>
          <t>Лебедев</t>
        </is>
      </c>
      <c r="B4912" s="6" t="n">
        <v>29</v>
      </c>
      <c r="C4912" s="7">
        <f>INDEX(Нед_Раб,29)</f>
        <v/>
      </c>
      <c r="D4912" s="10">
        <f>SUM(G201:G207)</f>
        <v/>
      </c>
      <c r="E4912" s="10">
        <f>SUMIFS($G$201:$G$207,$D$201:$D$207,INDEX($D$201:$D$207,1))</f>
        <v/>
      </c>
      <c r="F4912" s="10">
        <f>SUMIFS($G$201:$G$207,$D$201:$D$207,INDEX($D$201:$D$207,7))</f>
        <v/>
      </c>
      <c r="G4912" s="7">
        <f>IF(ROUND(E4912+F4912-D4912,2)=0,"OK","ОШИБКА")</f>
        <v/>
      </c>
    </row>
    <row r="4913">
      <c r="A4913" s="15" t="inlineStr">
        <is>
          <t>Лебедев</t>
        </is>
      </c>
      <c r="B4913" s="6" t="n">
        <v>30</v>
      </c>
      <c r="C4913" s="7">
        <f>INDEX(Нед_Раб,30)</f>
        <v/>
      </c>
      <c r="D4913" s="10">
        <f>SUM(G208:G214)</f>
        <v/>
      </c>
      <c r="E4913" s="10">
        <f>SUMIFS($G$208:$G$214,$D$208:$D$214,INDEX($D$208:$D$214,1))</f>
        <v/>
      </c>
      <c r="F4913" s="10">
        <f>SUMIFS($G$208:$G$214,$D$208:$D$214,INDEX($D$208:$D$214,7))</f>
        <v/>
      </c>
      <c r="G4913" s="7">
        <f>IF(ROUND(E4913+F4913-D4913,2)=0,"OK","ОШИБКА")</f>
        <v/>
      </c>
    </row>
    <row r="4914">
      <c r="A4914" s="15" t="inlineStr">
        <is>
          <t>Лебедев</t>
        </is>
      </c>
      <c r="B4914" s="6" t="n">
        <v>31</v>
      </c>
      <c r="C4914" s="7">
        <f>INDEX(Нед_Раб,31)</f>
        <v/>
      </c>
      <c r="D4914" s="10">
        <f>SUM(G215:G221)</f>
        <v/>
      </c>
      <c r="E4914" s="10">
        <f>SUMIFS($G$215:$G$221,$D$215:$D$221,INDEX($D$215:$D$221,1))</f>
        <v/>
      </c>
      <c r="F4914" s="10">
        <f>SUMIFS($G$215:$G$221,$D$215:$D$221,INDEX($D$215:$D$221,7))</f>
        <v/>
      </c>
      <c r="G4914" s="7">
        <f>IF(ROUND(E4914+F4914-D4914,2)=0,"OK","ОШИБКА")</f>
        <v/>
      </c>
    </row>
    <row r="4915">
      <c r="A4915" s="15" t="inlineStr">
        <is>
          <t>Лебедев</t>
        </is>
      </c>
      <c r="B4915" s="6" t="n">
        <v>32</v>
      </c>
      <c r="C4915" s="7">
        <f>INDEX(Нед_Раб,32)</f>
        <v/>
      </c>
      <c r="D4915" s="10">
        <f>SUM(G222:G228)</f>
        <v/>
      </c>
      <c r="E4915" s="10">
        <f>SUMIFS($G$222:$G$228,$D$222:$D$228,INDEX($D$222:$D$228,1))</f>
        <v/>
      </c>
      <c r="F4915" s="10">
        <f>SUMIFS($G$222:$G$228,$D$222:$D$228,INDEX($D$222:$D$228,7))</f>
        <v/>
      </c>
      <c r="G4915" s="7">
        <f>IF(ROUND(E4915+F4915-D4915,2)=0,"OK","ОШИБКА")</f>
        <v/>
      </c>
    </row>
    <row r="4916">
      <c r="A4916" s="15" t="inlineStr">
        <is>
          <t>Лебедев</t>
        </is>
      </c>
      <c r="B4916" s="6" t="n">
        <v>33</v>
      </c>
      <c r="C4916" s="7">
        <f>INDEX(Нед_Раб,33)</f>
        <v/>
      </c>
      <c r="D4916" s="10">
        <f>SUM(G229:G235)</f>
        <v/>
      </c>
      <c r="E4916" s="10">
        <f>SUMIFS($G$229:$G$235,$D$229:$D$235,INDEX($D$229:$D$235,1))</f>
        <v/>
      </c>
      <c r="F4916" s="10">
        <f>SUMIFS($G$229:$G$235,$D$229:$D$235,INDEX($D$229:$D$235,7))</f>
        <v/>
      </c>
      <c r="G4916" s="7">
        <f>IF(ROUND(E4916+F4916-D4916,2)=0,"OK","ОШИБКА")</f>
        <v/>
      </c>
    </row>
    <row r="4917">
      <c r="A4917" s="15" t="inlineStr">
        <is>
          <t>Лебедев</t>
        </is>
      </c>
      <c r="B4917" s="6" t="n">
        <v>34</v>
      </c>
      <c r="C4917" s="7">
        <f>INDEX(Нед_Раб,34)</f>
        <v/>
      </c>
      <c r="D4917" s="10">
        <f>SUM(G236:G242)</f>
        <v/>
      </c>
      <c r="E4917" s="10">
        <f>SUMIFS($G$236:$G$242,$D$236:$D$242,INDEX($D$236:$D$242,1))</f>
        <v/>
      </c>
      <c r="F4917" s="10">
        <f>SUMIFS($G$236:$G$242,$D$236:$D$242,INDEX($D$236:$D$242,7))</f>
        <v/>
      </c>
      <c r="G4917" s="7">
        <f>IF(ROUND(E4917+F4917-D4917,2)=0,"OK","ОШИБКА")</f>
        <v/>
      </c>
    </row>
    <row r="4918">
      <c r="A4918" s="15" t="inlineStr">
        <is>
          <t>Лебедев</t>
        </is>
      </c>
      <c r="B4918" s="6" t="n">
        <v>35</v>
      </c>
      <c r="C4918" s="7">
        <f>INDEX(Нед_Раб,35)</f>
        <v/>
      </c>
      <c r="D4918" s="10">
        <f>SUM(G243:G249)</f>
        <v/>
      </c>
      <c r="E4918" s="10">
        <f>SUMIFS($G$243:$G$249,$D$243:$D$249,INDEX($D$243:$D$249,1))</f>
        <v/>
      </c>
      <c r="F4918" s="10">
        <f>SUMIFS($G$243:$G$249,$D$243:$D$249,INDEX($D$243:$D$249,7))</f>
        <v/>
      </c>
      <c r="G4918" s="7">
        <f>IF(ROUND(E4918+F4918-D4918,2)=0,"OK","ОШИБКА")</f>
        <v/>
      </c>
    </row>
    <row r="4919">
      <c r="A4919" s="15" t="inlineStr">
        <is>
          <t>Лебедев</t>
        </is>
      </c>
      <c r="B4919" s="6" t="n">
        <v>36</v>
      </c>
      <c r="C4919" s="7">
        <f>INDEX(Нед_Раб,36)</f>
        <v/>
      </c>
      <c r="D4919" s="10">
        <f>SUM(G250:G256)</f>
        <v/>
      </c>
      <c r="E4919" s="10">
        <f>SUMIFS($G$250:$G$256,$D$250:$D$256,INDEX($D$250:$D$256,1))</f>
        <v/>
      </c>
      <c r="F4919" s="10">
        <f>SUMIFS($G$250:$G$256,$D$250:$D$256,INDEX($D$250:$D$256,7))</f>
        <v/>
      </c>
      <c r="G4919" s="7">
        <f>IF(ROUND(E4919+F4919-D4919,2)=0,"OK","ОШИБКА")</f>
        <v/>
      </c>
    </row>
    <row r="4920">
      <c r="A4920" s="15" t="inlineStr">
        <is>
          <t>Лебедев</t>
        </is>
      </c>
      <c r="B4920" s="6" t="n">
        <v>37</v>
      </c>
      <c r="C4920" s="7">
        <f>INDEX(Нед_Раб,37)</f>
        <v/>
      </c>
      <c r="D4920" s="10">
        <f>SUM(G257:G263)</f>
        <v/>
      </c>
      <c r="E4920" s="10">
        <f>SUMIFS($G$257:$G$263,$D$257:$D$263,INDEX($D$257:$D$263,1))</f>
        <v/>
      </c>
      <c r="F4920" s="10">
        <f>SUMIFS($G$257:$G$263,$D$257:$D$263,INDEX($D$257:$D$263,7))</f>
        <v/>
      </c>
      <c r="G4920" s="7">
        <f>IF(ROUND(E4920+F4920-D4920,2)=0,"OK","ОШИБКА")</f>
        <v/>
      </c>
    </row>
    <row r="4921">
      <c r="A4921" s="15" t="inlineStr">
        <is>
          <t>Лебедев</t>
        </is>
      </c>
      <c r="B4921" s="6" t="n">
        <v>38</v>
      </c>
      <c r="C4921" s="7">
        <f>INDEX(Нед_Раб,38)</f>
        <v/>
      </c>
      <c r="D4921" s="10">
        <f>SUM(G264:G270)</f>
        <v/>
      </c>
      <c r="E4921" s="10">
        <f>SUMIFS($G$264:$G$270,$D$264:$D$270,INDEX($D$264:$D$270,1))</f>
        <v/>
      </c>
      <c r="F4921" s="10">
        <f>SUMIFS($G$264:$G$270,$D$264:$D$270,INDEX($D$264:$D$270,7))</f>
        <v/>
      </c>
      <c r="G4921" s="7">
        <f>IF(ROUND(E4921+F4921-D4921,2)=0,"OK","ОШИБКА")</f>
        <v/>
      </c>
    </row>
    <row r="4922">
      <c r="A4922" s="15" t="inlineStr">
        <is>
          <t>Лебедев</t>
        </is>
      </c>
      <c r="B4922" s="6" t="n">
        <v>39</v>
      </c>
      <c r="C4922" s="7">
        <f>INDEX(Нед_Раб,39)</f>
        <v/>
      </c>
      <c r="D4922" s="10">
        <f>SUM(G271:G277)</f>
        <v/>
      </c>
      <c r="E4922" s="10">
        <f>SUMIFS($G$271:$G$277,$D$271:$D$277,INDEX($D$271:$D$277,1))</f>
        <v/>
      </c>
      <c r="F4922" s="10">
        <f>SUMIFS($G$271:$G$277,$D$271:$D$277,INDEX($D$271:$D$277,7))</f>
        <v/>
      </c>
      <c r="G4922" s="7">
        <f>IF(ROUND(E4922+F4922-D4922,2)=0,"OK","ОШИБКА")</f>
        <v/>
      </c>
    </row>
    <row r="4923">
      <c r="A4923" s="15" t="inlineStr">
        <is>
          <t>Лебедев</t>
        </is>
      </c>
      <c r="B4923" s="6" t="n">
        <v>40</v>
      </c>
      <c r="C4923" s="7">
        <f>INDEX(Нед_Раб,40)</f>
        <v/>
      </c>
      <c r="D4923" s="10">
        <f>SUM(G278:G284)</f>
        <v/>
      </c>
      <c r="E4923" s="10">
        <f>SUMIFS($G$278:$G$284,$D$278:$D$284,INDEX($D$278:$D$284,1))</f>
        <v/>
      </c>
      <c r="F4923" s="10">
        <f>SUMIFS($G$278:$G$284,$D$278:$D$284,INDEX($D$278:$D$284,7))</f>
        <v/>
      </c>
      <c r="G4923" s="7">
        <f>IF(ROUND(E4923+F4923-D4923,2)=0,"OK","ОШИБКА")</f>
        <v/>
      </c>
    </row>
    <row r="4924">
      <c r="A4924" s="15" t="inlineStr">
        <is>
          <t>Лебедев</t>
        </is>
      </c>
      <c r="B4924" s="6" t="n">
        <v>41</v>
      </c>
      <c r="C4924" s="7">
        <f>INDEX(Нед_Раб,41)</f>
        <v/>
      </c>
      <c r="D4924" s="10">
        <f>SUM(G285:G291)</f>
        <v/>
      </c>
      <c r="E4924" s="10">
        <f>SUMIFS($G$285:$G$291,$D$285:$D$291,INDEX($D$285:$D$291,1))</f>
        <v/>
      </c>
      <c r="F4924" s="10">
        <f>SUMIFS($G$285:$G$291,$D$285:$D$291,INDEX($D$285:$D$291,7))</f>
        <v/>
      </c>
      <c r="G4924" s="7">
        <f>IF(ROUND(E4924+F4924-D4924,2)=0,"OK","ОШИБКА")</f>
        <v/>
      </c>
    </row>
    <row r="4925">
      <c r="A4925" s="15" t="inlineStr">
        <is>
          <t>Лебедев</t>
        </is>
      </c>
      <c r="B4925" s="6" t="n">
        <v>42</v>
      </c>
      <c r="C4925" s="7">
        <f>INDEX(Нед_Раб,42)</f>
        <v/>
      </c>
      <c r="D4925" s="10">
        <f>SUM(G292:G298)</f>
        <v/>
      </c>
      <c r="E4925" s="10">
        <f>SUMIFS($G$292:$G$298,$D$292:$D$298,INDEX($D$292:$D$298,1))</f>
        <v/>
      </c>
      <c r="F4925" s="10">
        <f>SUMIFS($G$292:$G$298,$D$292:$D$298,INDEX($D$292:$D$298,7))</f>
        <v/>
      </c>
      <c r="G4925" s="7">
        <f>IF(ROUND(E4925+F4925-D4925,2)=0,"OK","ОШИБКА")</f>
        <v/>
      </c>
    </row>
    <row r="4926">
      <c r="A4926" s="15" t="inlineStr">
        <is>
          <t>Лебедев</t>
        </is>
      </c>
      <c r="B4926" s="6" t="n">
        <v>43</v>
      </c>
      <c r="C4926" s="7">
        <f>INDEX(Нед_Раб,43)</f>
        <v/>
      </c>
      <c r="D4926" s="10">
        <f>SUM(G299:G305)</f>
        <v/>
      </c>
      <c r="E4926" s="10">
        <f>SUMIFS($G$299:$G$305,$D$299:$D$305,INDEX($D$299:$D$305,1))</f>
        <v/>
      </c>
      <c r="F4926" s="10">
        <f>SUMIFS($G$299:$G$305,$D$299:$D$305,INDEX($D$299:$D$305,7))</f>
        <v/>
      </c>
      <c r="G4926" s="7">
        <f>IF(ROUND(E4926+F4926-D4926,2)=0,"OK","ОШИБКА")</f>
        <v/>
      </c>
    </row>
    <row r="4927">
      <c r="A4927" s="15" t="inlineStr">
        <is>
          <t>Лебедев</t>
        </is>
      </c>
      <c r="B4927" s="6" t="n">
        <v>44</v>
      </c>
      <c r="C4927" s="7">
        <f>INDEX(Нед_Раб,44)</f>
        <v/>
      </c>
      <c r="D4927" s="10">
        <f>SUM(G306:G312)</f>
        <v/>
      </c>
      <c r="E4927" s="10">
        <f>SUMIFS($G$306:$G$312,$D$306:$D$312,INDEX($D$306:$D$312,1))</f>
        <v/>
      </c>
      <c r="F4927" s="10">
        <f>SUMIFS($G$306:$G$312,$D$306:$D$312,INDEX($D$306:$D$312,7))</f>
        <v/>
      </c>
      <c r="G4927" s="7">
        <f>IF(ROUND(E4927+F4927-D4927,2)=0,"OK","ОШИБКА")</f>
        <v/>
      </c>
    </row>
    <row r="4928">
      <c r="A4928" s="15" t="inlineStr">
        <is>
          <t>Лебедев</t>
        </is>
      </c>
      <c r="B4928" s="6" t="n">
        <v>45</v>
      </c>
      <c r="C4928" s="7">
        <f>INDEX(Нед_Раб,45)</f>
        <v/>
      </c>
      <c r="D4928" s="10">
        <f>SUM(G313:G319)</f>
        <v/>
      </c>
      <c r="E4928" s="10">
        <f>SUMIFS($G$313:$G$319,$D$313:$D$319,INDEX($D$313:$D$319,1))</f>
        <v/>
      </c>
      <c r="F4928" s="10">
        <f>SUMIFS($G$313:$G$319,$D$313:$D$319,INDEX($D$313:$D$319,7))</f>
        <v/>
      </c>
      <c r="G4928" s="7">
        <f>IF(ROUND(E4928+F4928-D4928,2)=0,"OK","ОШИБКА")</f>
        <v/>
      </c>
    </row>
    <row r="4929">
      <c r="A4929" s="15" t="inlineStr">
        <is>
          <t>Лебедев</t>
        </is>
      </c>
      <c r="B4929" s="6" t="n">
        <v>46</v>
      </c>
      <c r="C4929" s="7">
        <f>INDEX(Нед_Раб,46)</f>
        <v/>
      </c>
      <c r="D4929" s="10">
        <f>SUM(G320:G326)</f>
        <v/>
      </c>
      <c r="E4929" s="10">
        <f>SUMIFS($G$320:$G$326,$D$320:$D$326,INDEX($D$320:$D$326,1))</f>
        <v/>
      </c>
      <c r="F4929" s="10">
        <f>SUMIFS($G$320:$G$326,$D$320:$D$326,INDEX($D$320:$D$326,7))</f>
        <v/>
      </c>
      <c r="G4929" s="7">
        <f>IF(ROUND(E4929+F4929-D4929,2)=0,"OK","ОШИБКА")</f>
        <v/>
      </c>
    </row>
    <row r="4930">
      <c r="A4930" s="15" t="inlineStr">
        <is>
          <t>Лебедев</t>
        </is>
      </c>
      <c r="B4930" s="6" t="n">
        <v>47</v>
      </c>
      <c r="C4930" s="7">
        <f>INDEX(Нед_Раб,47)</f>
        <v/>
      </c>
      <c r="D4930" s="10">
        <f>SUM(G327:G333)</f>
        <v/>
      </c>
      <c r="E4930" s="10">
        <f>SUMIFS($G$327:$G$333,$D$327:$D$333,INDEX($D$327:$D$333,1))</f>
        <v/>
      </c>
      <c r="F4930" s="10">
        <f>SUMIFS($G$327:$G$333,$D$327:$D$333,INDEX($D$327:$D$333,7))</f>
        <v/>
      </c>
      <c r="G4930" s="7">
        <f>IF(ROUND(E4930+F4930-D4930,2)=0,"OK","ОШИБКА")</f>
        <v/>
      </c>
    </row>
    <row r="4931">
      <c r="A4931" s="15" t="inlineStr">
        <is>
          <t>Лебедев</t>
        </is>
      </c>
      <c r="B4931" s="6" t="n">
        <v>48</v>
      </c>
      <c r="C4931" s="7">
        <f>INDEX(Нед_Раб,48)</f>
        <v/>
      </c>
      <c r="D4931" s="10">
        <f>SUM(G334:G340)</f>
        <v/>
      </c>
      <c r="E4931" s="10">
        <f>SUMIFS($G$334:$G$340,$D$334:$D$340,INDEX($D$334:$D$340,1))</f>
        <v/>
      </c>
      <c r="F4931" s="10">
        <f>SUMIFS($G$334:$G$340,$D$334:$D$340,INDEX($D$334:$D$340,7))</f>
        <v/>
      </c>
      <c r="G4931" s="7">
        <f>IF(ROUND(E4931+F4931-D4931,2)=0,"OK","ОШИБКА")</f>
        <v/>
      </c>
    </row>
    <row r="4932">
      <c r="A4932" s="15" t="inlineStr">
        <is>
          <t>Лебедев</t>
        </is>
      </c>
      <c r="B4932" s="6" t="n">
        <v>49</v>
      </c>
      <c r="C4932" s="7">
        <f>INDEX(Нед_Раб,49)</f>
        <v/>
      </c>
      <c r="D4932" s="10">
        <f>SUM(G341:G347)</f>
        <v/>
      </c>
      <c r="E4932" s="10">
        <f>SUMIFS($G$341:$G$347,$D$341:$D$347,INDEX($D$341:$D$347,1))</f>
        <v/>
      </c>
      <c r="F4932" s="10">
        <f>SUMIFS($G$341:$G$347,$D$341:$D$347,INDEX($D$341:$D$347,7))</f>
        <v/>
      </c>
      <c r="G4932" s="7">
        <f>IF(ROUND(E4932+F4932-D4932,2)=0,"OK","ОШИБКА")</f>
        <v/>
      </c>
    </row>
    <row r="4933">
      <c r="A4933" s="15" t="inlineStr">
        <is>
          <t>Лебедев</t>
        </is>
      </c>
      <c r="B4933" s="6" t="n">
        <v>50</v>
      </c>
      <c r="C4933" s="7">
        <f>INDEX(Нед_Раб,50)</f>
        <v/>
      </c>
      <c r="D4933" s="10">
        <f>SUM(G348:G354)</f>
        <v/>
      </c>
      <c r="E4933" s="10">
        <f>SUMIFS($G$348:$G$354,$D$348:$D$354,INDEX($D$348:$D$354,1))</f>
        <v/>
      </c>
      <c r="F4933" s="10">
        <f>SUMIFS($G$348:$G$354,$D$348:$D$354,INDEX($D$348:$D$354,7))</f>
        <v/>
      </c>
      <c r="G4933" s="7">
        <f>IF(ROUND(E4933+F4933-D4933,2)=0,"OK","ОШИБКА")</f>
        <v/>
      </c>
    </row>
    <row r="4934">
      <c r="A4934" s="15" t="inlineStr">
        <is>
          <t>Лебедев</t>
        </is>
      </c>
      <c r="B4934" s="6" t="n">
        <v>51</v>
      </c>
      <c r="C4934" s="7">
        <f>INDEX(Нед_Раб,51)</f>
        <v/>
      </c>
      <c r="D4934" s="10">
        <f>SUM(G355:G361)</f>
        <v/>
      </c>
      <c r="E4934" s="10">
        <f>SUMIFS($G$355:$G$361,$D$355:$D$361,INDEX($D$355:$D$361,1))</f>
        <v/>
      </c>
      <c r="F4934" s="10">
        <f>SUMIFS($G$355:$G$361,$D$355:$D$361,INDEX($D$355:$D$361,7))</f>
        <v/>
      </c>
      <c r="G4934" s="7">
        <f>IF(ROUND(E4934+F4934-D4934,2)=0,"OK","ОШИБКА")</f>
        <v/>
      </c>
    </row>
    <row r="4935">
      <c r="A4935" s="15" t="inlineStr">
        <is>
          <t>Лебедев</t>
        </is>
      </c>
      <c r="B4935" s="6" t="n">
        <v>52</v>
      </c>
      <c r="C4935" s="7">
        <f>INDEX(Нед_Раб,52)</f>
        <v/>
      </c>
      <c r="D4935" s="10">
        <f>SUM(G362:G368)</f>
        <v/>
      </c>
      <c r="E4935" s="10">
        <f>SUMIFS($G$362:$G$368,$D$362:$D$368,INDEX($D$362:$D$368,1))</f>
        <v/>
      </c>
      <c r="F4935" s="10">
        <f>SUMIFS($G$362:$G$368,$D$362:$D$368,INDEX($D$362:$D$368,7))</f>
        <v/>
      </c>
      <c r="G4935" s="7">
        <f>IF(ROUND(E4935+F4935-D4935,2)=0,"OK","ОШИБКА")</f>
        <v/>
      </c>
    </row>
    <row r="4936">
      <c r="A4936" s="15" t="inlineStr">
        <is>
          <t>Лебедев</t>
        </is>
      </c>
      <c r="B4936" s="6" t="n">
        <v>53</v>
      </c>
      <c r="C4936" s="7">
        <f>INDEX(Нед_Раб,53)</f>
        <v/>
      </c>
      <c r="D4936" s="10">
        <f>SUM(G369:G375)</f>
        <v/>
      </c>
      <c r="E4936" s="10">
        <f>SUMIFS($G$369:$G$375,$D$369:$D$375,INDEX($D$369:$D$375,1))</f>
        <v/>
      </c>
      <c r="F4936" s="10">
        <f>SUMIFS($G$369:$G$375,$D$369:$D$375,INDEX($D$369:$D$375,7))</f>
        <v/>
      </c>
      <c r="G4936" s="7">
        <f>IF(ROUND(E4936+F4936-D4936,2)=0,"OK","ОШИБКА")</f>
        <v/>
      </c>
    </row>
    <row r="4937">
      <c r="A4937" s="15" t="inlineStr">
        <is>
          <t>Семенова</t>
        </is>
      </c>
      <c r="B4937" s="6" t="n">
        <v>1</v>
      </c>
      <c r="C4937" s="7">
        <f>INDEX(Нед_Раб,1)</f>
        <v/>
      </c>
      <c r="D4937" s="10">
        <f>SUM(G5:G11)</f>
        <v/>
      </c>
      <c r="E4937" s="10">
        <f>SUMIFS($G$5:$G$11,$D$5:$D$11,INDEX($D$5:$D$11,1))</f>
        <v/>
      </c>
      <c r="F4937" s="10">
        <f>SUMIFS($G$5:$G$11,$D$5:$D$11,INDEX($D$5:$D$11,7))</f>
        <v/>
      </c>
      <c r="G4937" s="7">
        <f>IF(ROUND(E4937+F4937-D4937,2)=0,"OK","ОШИБКА")</f>
        <v/>
      </c>
    </row>
    <row r="4938">
      <c r="A4938" s="15" t="inlineStr">
        <is>
          <t>Семенова</t>
        </is>
      </c>
      <c r="B4938" s="6" t="n">
        <v>2</v>
      </c>
      <c r="C4938" s="7">
        <f>INDEX(Нед_Раб,2)</f>
        <v/>
      </c>
      <c r="D4938" s="10">
        <f>SUM(G12:G18)</f>
        <v/>
      </c>
      <c r="E4938" s="10">
        <f>SUMIFS($G$12:$G$18,$D$12:$D$18,INDEX($D$12:$D$18,1))</f>
        <v/>
      </c>
      <c r="F4938" s="10">
        <f>SUMIFS($G$12:$G$18,$D$12:$D$18,INDEX($D$12:$D$18,7))</f>
        <v/>
      </c>
      <c r="G4938" s="7">
        <f>IF(ROUND(E4938+F4938-D4938,2)=0,"OK","ОШИБКА")</f>
        <v/>
      </c>
    </row>
    <row r="4939">
      <c r="A4939" s="15" t="inlineStr">
        <is>
          <t>Семенова</t>
        </is>
      </c>
      <c r="B4939" s="6" t="n">
        <v>3</v>
      </c>
      <c r="C4939" s="7">
        <f>INDEX(Нед_Раб,3)</f>
        <v/>
      </c>
      <c r="D4939" s="10">
        <f>SUM(G19:G25)</f>
        <v/>
      </c>
      <c r="E4939" s="10">
        <f>SUMIFS($G$19:$G$25,$D$19:$D$25,INDEX($D$19:$D$25,1))</f>
        <v/>
      </c>
      <c r="F4939" s="10">
        <f>SUMIFS($G$19:$G$25,$D$19:$D$25,INDEX($D$19:$D$25,7))</f>
        <v/>
      </c>
      <c r="G4939" s="7">
        <f>IF(ROUND(E4939+F4939-D4939,2)=0,"OK","ОШИБКА")</f>
        <v/>
      </c>
    </row>
    <row r="4940">
      <c r="A4940" s="15" t="inlineStr">
        <is>
          <t>Семенова</t>
        </is>
      </c>
      <c r="B4940" s="6" t="n">
        <v>4</v>
      </c>
      <c r="C4940" s="7">
        <f>INDEX(Нед_Раб,4)</f>
        <v/>
      </c>
      <c r="D4940" s="10">
        <f>SUM(G26:G32)</f>
        <v/>
      </c>
      <c r="E4940" s="10">
        <f>SUMIFS($G$26:$G$32,$D$26:$D$32,INDEX($D$26:$D$32,1))</f>
        <v/>
      </c>
      <c r="F4940" s="10">
        <f>SUMIFS($G$26:$G$32,$D$26:$D$32,INDEX($D$26:$D$32,7))</f>
        <v/>
      </c>
      <c r="G4940" s="7">
        <f>IF(ROUND(E4940+F4940-D4940,2)=0,"OK","ОШИБКА")</f>
        <v/>
      </c>
    </row>
    <row r="4941">
      <c r="A4941" s="15" t="inlineStr">
        <is>
          <t>Семенова</t>
        </is>
      </c>
      <c r="B4941" s="6" t="n">
        <v>5</v>
      </c>
      <c r="C4941" s="7">
        <f>INDEX(Нед_Раб,5)</f>
        <v/>
      </c>
      <c r="D4941" s="10">
        <f>SUM(G33:G39)</f>
        <v/>
      </c>
      <c r="E4941" s="10">
        <f>SUMIFS($G$33:$G$39,$D$33:$D$39,INDEX($D$33:$D$39,1))</f>
        <v/>
      </c>
      <c r="F4941" s="10">
        <f>SUMIFS($G$33:$G$39,$D$33:$D$39,INDEX($D$33:$D$39,7))</f>
        <v/>
      </c>
      <c r="G4941" s="7">
        <f>IF(ROUND(E4941+F4941-D4941,2)=0,"OK","ОШИБКА")</f>
        <v/>
      </c>
    </row>
    <row r="4942">
      <c r="A4942" s="15" t="inlineStr">
        <is>
          <t>Семенова</t>
        </is>
      </c>
      <c r="B4942" s="6" t="n">
        <v>6</v>
      </c>
      <c r="C4942" s="7">
        <f>INDEX(Нед_Раб,6)</f>
        <v/>
      </c>
      <c r="D4942" s="10">
        <f>SUM(G40:G46)</f>
        <v/>
      </c>
      <c r="E4942" s="10">
        <f>SUMIFS($G$40:$G$46,$D$40:$D$46,INDEX($D$40:$D$46,1))</f>
        <v/>
      </c>
      <c r="F4942" s="10">
        <f>SUMIFS($G$40:$G$46,$D$40:$D$46,INDEX($D$40:$D$46,7))</f>
        <v/>
      </c>
      <c r="G4942" s="7">
        <f>IF(ROUND(E4942+F4942-D4942,2)=0,"OK","ОШИБКА")</f>
        <v/>
      </c>
    </row>
    <row r="4943">
      <c r="A4943" s="15" t="inlineStr">
        <is>
          <t>Семенова</t>
        </is>
      </c>
      <c r="B4943" s="6" t="n">
        <v>7</v>
      </c>
      <c r="C4943" s="7">
        <f>INDEX(Нед_Раб,7)</f>
        <v/>
      </c>
      <c r="D4943" s="10">
        <f>SUM(G47:G53)</f>
        <v/>
      </c>
      <c r="E4943" s="10">
        <f>SUMIFS($G$47:$G$53,$D$47:$D$53,INDEX($D$47:$D$53,1))</f>
        <v/>
      </c>
      <c r="F4943" s="10">
        <f>SUMIFS($G$47:$G$53,$D$47:$D$53,INDEX($D$47:$D$53,7))</f>
        <v/>
      </c>
      <c r="G4943" s="7">
        <f>IF(ROUND(E4943+F4943-D4943,2)=0,"OK","ОШИБКА")</f>
        <v/>
      </c>
    </row>
    <row r="4944">
      <c r="A4944" s="15" t="inlineStr">
        <is>
          <t>Семенова</t>
        </is>
      </c>
      <c r="B4944" s="6" t="n">
        <v>8</v>
      </c>
      <c r="C4944" s="7">
        <f>INDEX(Нед_Раб,8)</f>
        <v/>
      </c>
      <c r="D4944" s="10">
        <f>SUM(G54:G60)</f>
        <v/>
      </c>
      <c r="E4944" s="10">
        <f>SUMIFS($G$54:$G$60,$D$54:$D$60,INDEX($D$54:$D$60,1))</f>
        <v/>
      </c>
      <c r="F4944" s="10">
        <f>SUMIFS($G$54:$G$60,$D$54:$D$60,INDEX($D$54:$D$60,7))</f>
        <v/>
      </c>
      <c r="G4944" s="7">
        <f>IF(ROUND(E4944+F4944-D4944,2)=0,"OK","ОШИБКА")</f>
        <v/>
      </c>
    </row>
    <row r="4945">
      <c r="A4945" s="15" t="inlineStr">
        <is>
          <t>Семенова</t>
        </is>
      </c>
      <c r="B4945" s="6" t="n">
        <v>9</v>
      </c>
      <c r="C4945" s="7">
        <f>INDEX(Нед_Раб,9)</f>
        <v/>
      </c>
      <c r="D4945" s="10">
        <f>SUM(G61:G67)</f>
        <v/>
      </c>
      <c r="E4945" s="10">
        <f>SUMIFS($G$61:$G$67,$D$61:$D$67,INDEX($D$61:$D$67,1))</f>
        <v/>
      </c>
      <c r="F4945" s="10">
        <f>SUMIFS($G$61:$G$67,$D$61:$D$67,INDEX($D$61:$D$67,7))</f>
        <v/>
      </c>
      <c r="G4945" s="7">
        <f>IF(ROUND(E4945+F4945-D4945,2)=0,"OK","ОШИБКА")</f>
        <v/>
      </c>
    </row>
    <row r="4946">
      <c r="A4946" s="15" t="inlineStr">
        <is>
          <t>Семенова</t>
        </is>
      </c>
      <c r="B4946" s="6" t="n">
        <v>10</v>
      </c>
      <c r="C4946" s="7">
        <f>INDEX(Нед_Раб,10)</f>
        <v/>
      </c>
      <c r="D4946" s="10">
        <f>SUM(G68:G74)</f>
        <v/>
      </c>
      <c r="E4946" s="10">
        <f>SUMIFS($G$68:$G$74,$D$68:$D$74,INDEX($D$68:$D$74,1))</f>
        <v/>
      </c>
      <c r="F4946" s="10">
        <f>SUMIFS($G$68:$G$74,$D$68:$D$74,INDEX($D$68:$D$74,7))</f>
        <v/>
      </c>
      <c r="G4946" s="7">
        <f>IF(ROUND(E4946+F4946-D4946,2)=0,"OK","ОШИБКА")</f>
        <v/>
      </c>
    </row>
    <row r="4947">
      <c r="A4947" s="15" t="inlineStr">
        <is>
          <t>Семенова</t>
        </is>
      </c>
      <c r="B4947" s="6" t="n">
        <v>11</v>
      </c>
      <c r="C4947" s="7">
        <f>INDEX(Нед_Раб,11)</f>
        <v/>
      </c>
      <c r="D4947" s="10">
        <f>SUM(G75:G81)</f>
        <v/>
      </c>
      <c r="E4947" s="10">
        <f>SUMIFS($G$75:$G$81,$D$75:$D$81,INDEX($D$75:$D$81,1))</f>
        <v/>
      </c>
      <c r="F4947" s="10">
        <f>SUMIFS($G$75:$G$81,$D$75:$D$81,INDEX($D$75:$D$81,7))</f>
        <v/>
      </c>
      <c r="G4947" s="7">
        <f>IF(ROUND(E4947+F4947-D4947,2)=0,"OK","ОШИБКА")</f>
        <v/>
      </c>
    </row>
    <row r="4948">
      <c r="A4948" s="15" t="inlineStr">
        <is>
          <t>Семенова</t>
        </is>
      </c>
      <c r="B4948" s="6" t="n">
        <v>12</v>
      </c>
      <c r="C4948" s="7">
        <f>INDEX(Нед_Раб,12)</f>
        <v/>
      </c>
      <c r="D4948" s="10">
        <f>SUM(G82:G88)</f>
        <v/>
      </c>
      <c r="E4948" s="10">
        <f>SUMIFS($G$82:$G$88,$D$82:$D$88,INDEX($D$82:$D$88,1))</f>
        <v/>
      </c>
      <c r="F4948" s="10">
        <f>SUMIFS($G$82:$G$88,$D$82:$D$88,INDEX($D$82:$D$88,7))</f>
        <v/>
      </c>
      <c r="G4948" s="7">
        <f>IF(ROUND(E4948+F4948-D4948,2)=0,"OK","ОШИБКА")</f>
        <v/>
      </c>
    </row>
    <row r="4949">
      <c r="A4949" s="15" t="inlineStr">
        <is>
          <t>Семенова</t>
        </is>
      </c>
      <c r="B4949" s="6" t="n">
        <v>13</v>
      </c>
      <c r="C4949" s="7">
        <f>INDEX(Нед_Раб,13)</f>
        <v/>
      </c>
      <c r="D4949" s="10">
        <f>SUM(G89:G95)</f>
        <v/>
      </c>
      <c r="E4949" s="10">
        <f>SUMIFS($G$89:$G$95,$D$89:$D$95,INDEX($D$89:$D$95,1))</f>
        <v/>
      </c>
      <c r="F4949" s="10">
        <f>SUMIFS($G$89:$G$95,$D$89:$D$95,INDEX($D$89:$D$95,7))</f>
        <v/>
      </c>
      <c r="G4949" s="7">
        <f>IF(ROUND(E4949+F4949-D4949,2)=0,"OK","ОШИБКА")</f>
        <v/>
      </c>
    </row>
    <row r="4950">
      <c r="A4950" s="15" t="inlineStr">
        <is>
          <t>Семенова</t>
        </is>
      </c>
      <c r="B4950" s="6" t="n">
        <v>14</v>
      </c>
      <c r="C4950" s="7">
        <f>INDEX(Нед_Раб,14)</f>
        <v/>
      </c>
      <c r="D4950" s="10">
        <f>SUM(G96:G102)</f>
        <v/>
      </c>
      <c r="E4950" s="10">
        <f>SUMIFS($G$96:$G$102,$D$96:$D$102,INDEX($D$96:$D$102,1))</f>
        <v/>
      </c>
      <c r="F4950" s="10">
        <f>SUMIFS($G$96:$G$102,$D$96:$D$102,INDEX($D$96:$D$102,7))</f>
        <v/>
      </c>
      <c r="G4950" s="7">
        <f>IF(ROUND(E4950+F4950-D4950,2)=0,"OK","ОШИБКА")</f>
        <v/>
      </c>
    </row>
    <row r="4951">
      <c r="A4951" s="15" t="inlineStr">
        <is>
          <t>Семенова</t>
        </is>
      </c>
      <c r="B4951" s="6" t="n">
        <v>15</v>
      </c>
      <c r="C4951" s="7">
        <f>INDEX(Нед_Раб,15)</f>
        <v/>
      </c>
      <c r="D4951" s="10">
        <f>SUM(G103:G109)</f>
        <v/>
      </c>
      <c r="E4951" s="10">
        <f>SUMIFS($G$103:$G$109,$D$103:$D$109,INDEX($D$103:$D$109,1))</f>
        <v/>
      </c>
      <c r="F4951" s="10">
        <f>SUMIFS($G$103:$G$109,$D$103:$D$109,INDEX($D$103:$D$109,7))</f>
        <v/>
      </c>
      <c r="G4951" s="7">
        <f>IF(ROUND(E4951+F4951-D4951,2)=0,"OK","ОШИБКА")</f>
        <v/>
      </c>
    </row>
    <row r="4952">
      <c r="A4952" s="15" t="inlineStr">
        <is>
          <t>Семенова</t>
        </is>
      </c>
      <c r="B4952" s="6" t="n">
        <v>16</v>
      </c>
      <c r="C4952" s="7">
        <f>INDEX(Нед_Раб,16)</f>
        <v/>
      </c>
      <c r="D4952" s="10">
        <f>SUM(G110:G116)</f>
        <v/>
      </c>
      <c r="E4952" s="10">
        <f>SUMIFS($G$110:$G$116,$D$110:$D$116,INDEX($D$110:$D$116,1))</f>
        <v/>
      </c>
      <c r="F4952" s="10">
        <f>SUMIFS($G$110:$G$116,$D$110:$D$116,INDEX($D$110:$D$116,7))</f>
        <v/>
      </c>
      <c r="G4952" s="7">
        <f>IF(ROUND(E4952+F4952-D4952,2)=0,"OK","ОШИБКА")</f>
        <v/>
      </c>
    </row>
    <row r="4953">
      <c r="A4953" s="15" t="inlineStr">
        <is>
          <t>Семенова</t>
        </is>
      </c>
      <c r="B4953" s="6" t="n">
        <v>17</v>
      </c>
      <c r="C4953" s="7">
        <f>INDEX(Нед_Раб,17)</f>
        <v/>
      </c>
      <c r="D4953" s="10">
        <f>SUM(G117:G123)</f>
        <v/>
      </c>
      <c r="E4953" s="10">
        <f>SUMIFS($G$117:$G$123,$D$117:$D$123,INDEX($D$117:$D$123,1))</f>
        <v/>
      </c>
      <c r="F4953" s="10">
        <f>SUMIFS($G$117:$G$123,$D$117:$D$123,INDEX($D$117:$D$123,7))</f>
        <v/>
      </c>
      <c r="G4953" s="7">
        <f>IF(ROUND(E4953+F4953-D4953,2)=0,"OK","ОШИБКА")</f>
        <v/>
      </c>
    </row>
    <row r="4954">
      <c r="A4954" s="15" t="inlineStr">
        <is>
          <t>Семенова</t>
        </is>
      </c>
      <c r="B4954" s="6" t="n">
        <v>18</v>
      </c>
      <c r="C4954" s="7">
        <f>INDEX(Нед_Раб,18)</f>
        <v/>
      </c>
      <c r="D4954" s="10">
        <f>SUM(G124:G130)</f>
        <v/>
      </c>
      <c r="E4954" s="10">
        <f>SUMIFS($G$124:$G$130,$D$124:$D$130,INDEX($D$124:$D$130,1))</f>
        <v/>
      </c>
      <c r="F4954" s="10">
        <f>SUMIFS($G$124:$G$130,$D$124:$D$130,INDEX($D$124:$D$130,7))</f>
        <v/>
      </c>
      <c r="G4954" s="7">
        <f>IF(ROUND(E4954+F4954-D4954,2)=0,"OK","ОШИБКА")</f>
        <v/>
      </c>
    </row>
    <row r="4955">
      <c r="A4955" s="15" t="inlineStr">
        <is>
          <t>Семенова</t>
        </is>
      </c>
      <c r="B4955" s="6" t="n">
        <v>19</v>
      </c>
      <c r="C4955" s="7">
        <f>INDEX(Нед_Раб,19)</f>
        <v/>
      </c>
      <c r="D4955" s="10">
        <f>SUM(G131:G137)</f>
        <v/>
      </c>
      <c r="E4955" s="10">
        <f>SUMIFS($G$131:$G$137,$D$131:$D$137,INDEX($D$131:$D$137,1))</f>
        <v/>
      </c>
      <c r="F4955" s="10">
        <f>SUMIFS($G$131:$G$137,$D$131:$D$137,INDEX($D$131:$D$137,7))</f>
        <v/>
      </c>
      <c r="G4955" s="7">
        <f>IF(ROUND(E4955+F4955-D4955,2)=0,"OK","ОШИБКА")</f>
        <v/>
      </c>
    </row>
    <row r="4956">
      <c r="A4956" s="15" t="inlineStr">
        <is>
          <t>Семенова</t>
        </is>
      </c>
      <c r="B4956" s="6" t="n">
        <v>20</v>
      </c>
      <c r="C4956" s="7">
        <f>INDEX(Нед_Раб,20)</f>
        <v/>
      </c>
      <c r="D4956" s="10">
        <f>SUM(G138:G144)</f>
        <v/>
      </c>
      <c r="E4956" s="10">
        <f>SUMIFS($G$138:$G$144,$D$138:$D$144,INDEX($D$138:$D$144,1))</f>
        <v/>
      </c>
      <c r="F4956" s="10">
        <f>SUMIFS($G$138:$G$144,$D$138:$D$144,INDEX($D$138:$D$144,7))</f>
        <v/>
      </c>
      <c r="G4956" s="7">
        <f>IF(ROUND(E4956+F4956-D4956,2)=0,"OK","ОШИБКА")</f>
        <v/>
      </c>
    </row>
    <row r="4957">
      <c r="A4957" s="15" t="inlineStr">
        <is>
          <t>Семенова</t>
        </is>
      </c>
      <c r="B4957" s="6" t="n">
        <v>21</v>
      </c>
      <c r="C4957" s="7">
        <f>INDEX(Нед_Раб,21)</f>
        <v/>
      </c>
      <c r="D4957" s="10">
        <f>SUM(G145:G151)</f>
        <v/>
      </c>
      <c r="E4957" s="10">
        <f>SUMIFS($G$145:$G$151,$D$145:$D$151,INDEX($D$145:$D$151,1))</f>
        <v/>
      </c>
      <c r="F4957" s="10">
        <f>SUMIFS($G$145:$G$151,$D$145:$D$151,INDEX($D$145:$D$151,7))</f>
        <v/>
      </c>
      <c r="G4957" s="7">
        <f>IF(ROUND(E4957+F4957-D4957,2)=0,"OK","ОШИБКА")</f>
        <v/>
      </c>
    </row>
    <row r="4958">
      <c r="A4958" s="15" t="inlineStr">
        <is>
          <t>Семенова</t>
        </is>
      </c>
      <c r="B4958" s="6" t="n">
        <v>22</v>
      </c>
      <c r="C4958" s="7">
        <f>INDEX(Нед_Раб,22)</f>
        <v/>
      </c>
      <c r="D4958" s="10">
        <f>SUM(G152:G158)</f>
        <v/>
      </c>
      <c r="E4958" s="10">
        <f>SUMIFS($G$152:$G$158,$D$152:$D$158,INDEX($D$152:$D$158,1))</f>
        <v/>
      </c>
      <c r="F4958" s="10">
        <f>SUMIFS($G$152:$G$158,$D$152:$D$158,INDEX($D$152:$D$158,7))</f>
        <v/>
      </c>
      <c r="G4958" s="7">
        <f>IF(ROUND(E4958+F4958-D4958,2)=0,"OK","ОШИБКА")</f>
        <v/>
      </c>
    </row>
    <row r="4959">
      <c r="A4959" s="15" t="inlineStr">
        <is>
          <t>Семенова</t>
        </is>
      </c>
      <c r="B4959" s="6" t="n">
        <v>23</v>
      </c>
      <c r="C4959" s="7">
        <f>INDEX(Нед_Раб,23)</f>
        <v/>
      </c>
      <c r="D4959" s="10">
        <f>SUM(G159:G165)</f>
        <v/>
      </c>
      <c r="E4959" s="10">
        <f>SUMIFS($G$159:$G$165,$D$159:$D$165,INDEX($D$159:$D$165,1))</f>
        <v/>
      </c>
      <c r="F4959" s="10">
        <f>SUMIFS($G$159:$G$165,$D$159:$D$165,INDEX($D$159:$D$165,7))</f>
        <v/>
      </c>
      <c r="G4959" s="7">
        <f>IF(ROUND(E4959+F4959-D4959,2)=0,"OK","ОШИБКА")</f>
        <v/>
      </c>
    </row>
    <row r="4960">
      <c r="A4960" s="15" t="inlineStr">
        <is>
          <t>Семенова</t>
        </is>
      </c>
      <c r="B4960" s="6" t="n">
        <v>24</v>
      </c>
      <c r="C4960" s="7">
        <f>INDEX(Нед_Раб,24)</f>
        <v/>
      </c>
      <c r="D4960" s="10">
        <f>SUM(G166:G172)</f>
        <v/>
      </c>
      <c r="E4960" s="10">
        <f>SUMIFS($G$166:$G$172,$D$166:$D$172,INDEX($D$166:$D$172,1))</f>
        <v/>
      </c>
      <c r="F4960" s="10">
        <f>SUMIFS($G$166:$G$172,$D$166:$D$172,INDEX($D$166:$D$172,7))</f>
        <v/>
      </c>
      <c r="G4960" s="7">
        <f>IF(ROUND(E4960+F4960-D4960,2)=0,"OK","ОШИБКА")</f>
        <v/>
      </c>
    </row>
    <row r="4961">
      <c r="A4961" s="15" t="inlineStr">
        <is>
          <t>Семенова</t>
        </is>
      </c>
      <c r="B4961" s="6" t="n">
        <v>25</v>
      </c>
      <c r="C4961" s="7">
        <f>INDEX(Нед_Раб,25)</f>
        <v/>
      </c>
      <c r="D4961" s="10">
        <f>SUM(G173:G179)</f>
        <v/>
      </c>
      <c r="E4961" s="10">
        <f>SUMIFS($G$173:$G$179,$D$173:$D$179,INDEX($D$173:$D$179,1))</f>
        <v/>
      </c>
      <c r="F4961" s="10">
        <f>SUMIFS($G$173:$G$179,$D$173:$D$179,INDEX($D$173:$D$179,7))</f>
        <v/>
      </c>
      <c r="G4961" s="7">
        <f>IF(ROUND(E4961+F4961-D4961,2)=0,"OK","ОШИБКА")</f>
        <v/>
      </c>
    </row>
    <row r="4962">
      <c r="A4962" s="15" t="inlineStr">
        <is>
          <t>Семенова</t>
        </is>
      </c>
      <c r="B4962" s="6" t="n">
        <v>26</v>
      </c>
      <c r="C4962" s="7">
        <f>INDEX(Нед_Раб,26)</f>
        <v/>
      </c>
      <c r="D4962" s="10">
        <f>SUM(G180:G186)</f>
        <v/>
      </c>
      <c r="E4962" s="10">
        <f>SUMIFS($G$180:$G$186,$D$180:$D$186,INDEX($D$180:$D$186,1))</f>
        <v/>
      </c>
      <c r="F4962" s="10">
        <f>SUMIFS($G$180:$G$186,$D$180:$D$186,INDEX($D$180:$D$186,7))</f>
        <v/>
      </c>
      <c r="G4962" s="7">
        <f>IF(ROUND(E4962+F4962-D4962,2)=0,"OK","ОШИБКА")</f>
        <v/>
      </c>
    </row>
    <row r="4963">
      <c r="A4963" s="15" t="inlineStr">
        <is>
          <t>Семенова</t>
        </is>
      </c>
      <c r="B4963" s="6" t="n">
        <v>27</v>
      </c>
      <c r="C4963" s="7">
        <f>INDEX(Нед_Раб,27)</f>
        <v/>
      </c>
      <c r="D4963" s="10">
        <f>SUM(G187:G193)</f>
        <v/>
      </c>
      <c r="E4963" s="10">
        <f>SUMIFS($G$187:$G$193,$D$187:$D$193,INDEX($D$187:$D$193,1))</f>
        <v/>
      </c>
      <c r="F4963" s="10">
        <f>SUMIFS($G$187:$G$193,$D$187:$D$193,INDEX($D$187:$D$193,7))</f>
        <v/>
      </c>
      <c r="G4963" s="7">
        <f>IF(ROUND(E4963+F4963-D4963,2)=0,"OK","ОШИБКА")</f>
        <v/>
      </c>
    </row>
    <row r="4964">
      <c r="A4964" s="15" t="inlineStr">
        <is>
          <t>Семенова</t>
        </is>
      </c>
      <c r="B4964" s="6" t="n">
        <v>28</v>
      </c>
      <c r="C4964" s="7">
        <f>INDEX(Нед_Раб,28)</f>
        <v/>
      </c>
      <c r="D4964" s="10">
        <f>SUM(G194:G200)</f>
        <v/>
      </c>
      <c r="E4964" s="10">
        <f>SUMIFS($G$194:$G$200,$D$194:$D$200,INDEX($D$194:$D$200,1))</f>
        <v/>
      </c>
      <c r="F4964" s="10">
        <f>SUMIFS($G$194:$G$200,$D$194:$D$200,INDEX($D$194:$D$200,7))</f>
        <v/>
      </c>
      <c r="G4964" s="7">
        <f>IF(ROUND(E4964+F4964-D4964,2)=0,"OK","ОШИБКА")</f>
        <v/>
      </c>
    </row>
    <row r="4965">
      <c r="A4965" s="15" t="inlineStr">
        <is>
          <t>Семенова</t>
        </is>
      </c>
      <c r="B4965" s="6" t="n">
        <v>29</v>
      </c>
      <c r="C4965" s="7">
        <f>INDEX(Нед_Раб,29)</f>
        <v/>
      </c>
      <c r="D4965" s="10">
        <f>SUM(G201:G207)</f>
        <v/>
      </c>
      <c r="E4965" s="10">
        <f>SUMIFS($G$201:$G$207,$D$201:$D$207,INDEX($D$201:$D$207,1))</f>
        <v/>
      </c>
      <c r="F4965" s="10">
        <f>SUMIFS($G$201:$G$207,$D$201:$D$207,INDEX($D$201:$D$207,7))</f>
        <v/>
      </c>
      <c r="G4965" s="7">
        <f>IF(ROUND(E4965+F4965-D4965,2)=0,"OK","ОШИБКА")</f>
        <v/>
      </c>
    </row>
    <row r="4966">
      <c r="A4966" s="15" t="inlineStr">
        <is>
          <t>Семенова</t>
        </is>
      </c>
      <c r="B4966" s="6" t="n">
        <v>30</v>
      </c>
      <c r="C4966" s="7">
        <f>INDEX(Нед_Раб,30)</f>
        <v/>
      </c>
      <c r="D4966" s="10">
        <f>SUM(G208:G214)</f>
        <v/>
      </c>
      <c r="E4966" s="10">
        <f>SUMIFS($G$208:$G$214,$D$208:$D$214,INDEX($D$208:$D$214,1))</f>
        <v/>
      </c>
      <c r="F4966" s="10">
        <f>SUMIFS($G$208:$G$214,$D$208:$D$214,INDEX($D$208:$D$214,7))</f>
        <v/>
      </c>
      <c r="G4966" s="7">
        <f>IF(ROUND(E4966+F4966-D4966,2)=0,"OK","ОШИБКА")</f>
        <v/>
      </c>
    </row>
    <row r="4967">
      <c r="A4967" s="15" t="inlineStr">
        <is>
          <t>Семенова</t>
        </is>
      </c>
      <c r="B4967" s="6" t="n">
        <v>31</v>
      </c>
      <c r="C4967" s="7">
        <f>INDEX(Нед_Раб,31)</f>
        <v/>
      </c>
      <c r="D4967" s="10">
        <f>SUM(G215:G221)</f>
        <v/>
      </c>
      <c r="E4967" s="10">
        <f>SUMIFS($G$215:$G$221,$D$215:$D$221,INDEX($D$215:$D$221,1))</f>
        <v/>
      </c>
      <c r="F4967" s="10">
        <f>SUMIFS($G$215:$G$221,$D$215:$D$221,INDEX($D$215:$D$221,7))</f>
        <v/>
      </c>
      <c r="G4967" s="7">
        <f>IF(ROUND(E4967+F4967-D4967,2)=0,"OK","ОШИБКА")</f>
        <v/>
      </c>
    </row>
    <row r="4968">
      <c r="A4968" s="15" t="inlineStr">
        <is>
          <t>Семенова</t>
        </is>
      </c>
      <c r="B4968" s="6" t="n">
        <v>32</v>
      </c>
      <c r="C4968" s="7">
        <f>INDEX(Нед_Раб,32)</f>
        <v/>
      </c>
      <c r="D4968" s="10">
        <f>SUM(G222:G228)</f>
        <v/>
      </c>
      <c r="E4968" s="10">
        <f>SUMIFS($G$222:$G$228,$D$222:$D$228,INDEX($D$222:$D$228,1))</f>
        <v/>
      </c>
      <c r="F4968" s="10">
        <f>SUMIFS($G$222:$G$228,$D$222:$D$228,INDEX($D$222:$D$228,7))</f>
        <v/>
      </c>
      <c r="G4968" s="7">
        <f>IF(ROUND(E4968+F4968-D4968,2)=0,"OK","ОШИБКА")</f>
        <v/>
      </c>
    </row>
    <row r="4969">
      <c r="A4969" s="15" t="inlineStr">
        <is>
          <t>Семенова</t>
        </is>
      </c>
      <c r="B4969" s="6" t="n">
        <v>33</v>
      </c>
      <c r="C4969" s="7">
        <f>INDEX(Нед_Раб,33)</f>
        <v/>
      </c>
      <c r="D4969" s="10">
        <f>SUM(G229:G235)</f>
        <v/>
      </c>
      <c r="E4969" s="10">
        <f>SUMIFS($G$229:$G$235,$D$229:$D$235,INDEX($D$229:$D$235,1))</f>
        <v/>
      </c>
      <c r="F4969" s="10">
        <f>SUMIFS($G$229:$G$235,$D$229:$D$235,INDEX($D$229:$D$235,7))</f>
        <v/>
      </c>
      <c r="G4969" s="7">
        <f>IF(ROUND(E4969+F4969-D4969,2)=0,"OK","ОШИБКА")</f>
        <v/>
      </c>
    </row>
    <row r="4970">
      <c r="A4970" s="15" t="inlineStr">
        <is>
          <t>Семенова</t>
        </is>
      </c>
      <c r="B4970" s="6" t="n">
        <v>34</v>
      </c>
      <c r="C4970" s="7">
        <f>INDEX(Нед_Раб,34)</f>
        <v/>
      </c>
      <c r="D4970" s="10">
        <f>SUM(G236:G242)</f>
        <v/>
      </c>
      <c r="E4970" s="10">
        <f>SUMIFS($G$236:$G$242,$D$236:$D$242,INDEX($D$236:$D$242,1))</f>
        <v/>
      </c>
      <c r="F4970" s="10">
        <f>SUMIFS($G$236:$G$242,$D$236:$D$242,INDEX($D$236:$D$242,7))</f>
        <v/>
      </c>
      <c r="G4970" s="7">
        <f>IF(ROUND(E4970+F4970-D4970,2)=0,"OK","ОШИБКА")</f>
        <v/>
      </c>
    </row>
    <row r="4971">
      <c r="A4971" s="15" t="inlineStr">
        <is>
          <t>Семенова</t>
        </is>
      </c>
      <c r="B4971" s="6" t="n">
        <v>35</v>
      </c>
      <c r="C4971" s="7">
        <f>INDEX(Нед_Раб,35)</f>
        <v/>
      </c>
      <c r="D4971" s="10">
        <f>SUM(G243:G249)</f>
        <v/>
      </c>
      <c r="E4971" s="10">
        <f>SUMIFS($G$243:$G$249,$D$243:$D$249,INDEX($D$243:$D$249,1))</f>
        <v/>
      </c>
      <c r="F4971" s="10">
        <f>SUMIFS($G$243:$G$249,$D$243:$D$249,INDEX($D$243:$D$249,7))</f>
        <v/>
      </c>
      <c r="G4971" s="7">
        <f>IF(ROUND(E4971+F4971-D4971,2)=0,"OK","ОШИБКА")</f>
        <v/>
      </c>
    </row>
    <row r="4972">
      <c r="A4972" s="15" t="inlineStr">
        <is>
          <t>Семенова</t>
        </is>
      </c>
      <c r="B4972" s="6" t="n">
        <v>36</v>
      </c>
      <c r="C4972" s="7">
        <f>INDEX(Нед_Раб,36)</f>
        <v/>
      </c>
      <c r="D4972" s="10">
        <f>SUM(G250:G256)</f>
        <v/>
      </c>
      <c r="E4972" s="10">
        <f>SUMIFS($G$250:$G$256,$D$250:$D$256,INDEX($D$250:$D$256,1))</f>
        <v/>
      </c>
      <c r="F4972" s="10">
        <f>SUMIFS($G$250:$G$256,$D$250:$D$256,INDEX($D$250:$D$256,7))</f>
        <v/>
      </c>
      <c r="G4972" s="7">
        <f>IF(ROUND(E4972+F4972-D4972,2)=0,"OK","ОШИБКА")</f>
        <v/>
      </c>
    </row>
    <row r="4973">
      <c r="A4973" s="15" t="inlineStr">
        <is>
          <t>Семенова</t>
        </is>
      </c>
      <c r="B4973" s="6" t="n">
        <v>37</v>
      </c>
      <c r="C4973" s="7">
        <f>INDEX(Нед_Раб,37)</f>
        <v/>
      </c>
      <c r="D4973" s="10">
        <f>SUM(G257:G263)</f>
        <v/>
      </c>
      <c r="E4973" s="10">
        <f>SUMIFS($G$257:$G$263,$D$257:$D$263,INDEX($D$257:$D$263,1))</f>
        <v/>
      </c>
      <c r="F4973" s="10">
        <f>SUMIFS($G$257:$G$263,$D$257:$D$263,INDEX($D$257:$D$263,7))</f>
        <v/>
      </c>
      <c r="G4973" s="7">
        <f>IF(ROUND(E4973+F4973-D4973,2)=0,"OK","ОШИБКА")</f>
        <v/>
      </c>
    </row>
    <row r="4974">
      <c r="A4974" s="15" t="inlineStr">
        <is>
          <t>Семенова</t>
        </is>
      </c>
      <c r="B4974" s="6" t="n">
        <v>38</v>
      </c>
      <c r="C4974" s="7">
        <f>INDEX(Нед_Раб,38)</f>
        <v/>
      </c>
      <c r="D4974" s="10">
        <f>SUM(G264:G270)</f>
        <v/>
      </c>
      <c r="E4974" s="10">
        <f>SUMIFS($G$264:$G$270,$D$264:$D$270,INDEX($D$264:$D$270,1))</f>
        <v/>
      </c>
      <c r="F4974" s="10">
        <f>SUMIFS($G$264:$G$270,$D$264:$D$270,INDEX($D$264:$D$270,7))</f>
        <v/>
      </c>
      <c r="G4974" s="7">
        <f>IF(ROUND(E4974+F4974-D4974,2)=0,"OK","ОШИБКА")</f>
        <v/>
      </c>
    </row>
    <row r="4975">
      <c r="A4975" s="15" t="inlineStr">
        <is>
          <t>Семенова</t>
        </is>
      </c>
      <c r="B4975" s="6" t="n">
        <v>39</v>
      </c>
      <c r="C4975" s="7">
        <f>INDEX(Нед_Раб,39)</f>
        <v/>
      </c>
      <c r="D4975" s="10">
        <f>SUM(G271:G277)</f>
        <v/>
      </c>
      <c r="E4975" s="10">
        <f>SUMIFS($G$271:$G$277,$D$271:$D$277,INDEX($D$271:$D$277,1))</f>
        <v/>
      </c>
      <c r="F4975" s="10">
        <f>SUMIFS($G$271:$G$277,$D$271:$D$277,INDEX($D$271:$D$277,7))</f>
        <v/>
      </c>
      <c r="G4975" s="7">
        <f>IF(ROUND(E4975+F4975-D4975,2)=0,"OK","ОШИБКА")</f>
        <v/>
      </c>
    </row>
    <row r="4976">
      <c r="A4976" s="15" t="inlineStr">
        <is>
          <t>Семенова</t>
        </is>
      </c>
      <c r="B4976" s="6" t="n">
        <v>40</v>
      </c>
      <c r="C4976" s="7">
        <f>INDEX(Нед_Раб,40)</f>
        <v/>
      </c>
      <c r="D4976" s="10">
        <f>SUM(G278:G284)</f>
        <v/>
      </c>
      <c r="E4976" s="10">
        <f>SUMIFS($G$278:$G$284,$D$278:$D$284,INDEX($D$278:$D$284,1))</f>
        <v/>
      </c>
      <c r="F4976" s="10">
        <f>SUMIFS($G$278:$G$284,$D$278:$D$284,INDEX($D$278:$D$284,7))</f>
        <v/>
      </c>
      <c r="G4976" s="7">
        <f>IF(ROUND(E4976+F4976-D4976,2)=0,"OK","ОШИБКА")</f>
        <v/>
      </c>
    </row>
    <row r="4977">
      <c r="A4977" s="15" t="inlineStr">
        <is>
          <t>Семенова</t>
        </is>
      </c>
      <c r="B4977" s="6" t="n">
        <v>41</v>
      </c>
      <c r="C4977" s="7">
        <f>INDEX(Нед_Раб,41)</f>
        <v/>
      </c>
      <c r="D4977" s="10">
        <f>SUM(G285:G291)</f>
        <v/>
      </c>
      <c r="E4977" s="10">
        <f>SUMIFS($G$285:$G$291,$D$285:$D$291,INDEX($D$285:$D$291,1))</f>
        <v/>
      </c>
      <c r="F4977" s="10">
        <f>SUMIFS($G$285:$G$291,$D$285:$D$291,INDEX($D$285:$D$291,7))</f>
        <v/>
      </c>
      <c r="G4977" s="7">
        <f>IF(ROUND(E4977+F4977-D4977,2)=0,"OK","ОШИБКА")</f>
        <v/>
      </c>
    </row>
    <row r="4978">
      <c r="A4978" s="15" t="inlineStr">
        <is>
          <t>Семенова</t>
        </is>
      </c>
      <c r="B4978" s="6" t="n">
        <v>42</v>
      </c>
      <c r="C4978" s="7">
        <f>INDEX(Нед_Раб,42)</f>
        <v/>
      </c>
      <c r="D4978" s="10">
        <f>SUM(G292:G298)</f>
        <v/>
      </c>
      <c r="E4978" s="10">
        <f>SUMIFS($G$292:$G$298,$D$292:$D$298,INDEX($D$292:$D$298,1))</f>
        <v/>
      </c>
      <c r="F4978" s="10">
        <f>SUMIFS($G$292:$G$298,$D$292:$D$298,INDEX($D$292:$D$298,7))</f>
        <v/>
      </c>
      <c r="G4978" s="7">
        <f>IF(ROUND(E4978+F4978-D4978,2)=0,"OK","ОШИБКА")</f>
        <v/>
      </c>
    </row>
    <row r="4979">
      <c r="A4979" s="15" t="inlineStr">
        <is>
          <t>Семенова</t>
        </is>
      </c>
      <c r="B4979" s="6" t="n">
        <v>43</v>
      </c>
      <c r="C4979" s="7">
        <f>INDEX(Нед_Раб,43)</f>
        <v/>
      </c>
      <c r="D4979" s="10">
        <f>SUM(G299:G305)</f>
        <v/>
      </c>
      <c r="E4979" s="10">
        <f>SUMIFS($G$299:$G$305,$D$299:$D$305,INDEX($D$299:$D$305,1))</f>
        <v/>
      </c>
      <c r="F4979" s="10">
        <f>SUMIFS($G$299:$G$305,$D$299:$D$305,INDEX($D$299:$D$305,7))</f>
        <v/>
      </c>
      <c r="G4979" s="7">
        <f>IF(ROUND(E4979+F4979-D4979,2)=0,"OK","ОШИБКА")</f>
        <v/>
      </c>
    </row>
    <row r="4980">
      <c r="A4980" s="15" t="inlineStr">
        <is>
          <t>Семенова</t>
        </is>
      </c>
      <c r="B4980" s="6" t="n">
        <v>44</v>
      </c>
      <c r="C4980" s="7">
        <f>INDEX(Нед_Раб,44)</f>
        <v/>
      </c>
      <c r="D4980" s="10">
        <f>SUM(G306:G312)</f>
        <v/>
      </c>
      <c r="E4980" s="10">
        <f>SUMIFS($G$306:$G$312,$D$306:$D$312,INDEX($D$306:$D$312,1))</f>
        <v/>
      </c>
      <c r="F4980" s="10">
        <f>SUMIFS($G$306:$G$312,$D$306:$D$312,INDEX($D$306:$D$312,7))</f>
        <v/>
      </c>
      <c r="G4980" s="7">
        <f>IF(ROUND(E4980+F4980-D4980,2)=0,"OK","ОШИБКА")</f>
        <v/>
      </c>
    </row>
    <row r="4981">
      <c r="A4981" s="15" t="inlineStr">
        <is>
          <t>Семенова</t>
        </is>
      </c>
      <c r="B4981" s="6" t="n">
        <v>45</v>
      </c>
      <c r="C4981" s="7">
        <f>INDEX(Нед_Раб,45)</f>
        <v/>
      </c>
      <c r="D4981" s="10">
        <f>SUM(G313:G319)</f>
        <v/>
      </c>
      <c r="E4981" s="10">
        <f>SUMIFS($G$313:$G$319,$D$313:$D$319,INDEX($D$313:$D$319,1))</f>
        <v/>
      </c>
      <c r="F4981" s="10">
        <f>SUMIFS($G$313:$G$319,$D$313:$D$319,INDEX($D$313:$D$319,7))</f>
        <v/>
      </c>
      <c r="G4981" s="7">
        <f>IF(ROUND(E4981+F4981-D4981,2)=0,"OK","ОШИБКА")</f>
        <v/>
      </c>
    </row>
    <row r="4982">
      <c r="A4982" s="15" t="inlineStr">
        <is>
          <t>Семенова</t>
        </is>
      </c>
      <c r="B4982" s="6" t="n">
        <v>46</v>
      </c>
      <c r="C4982" s="7">
        <f>INDEX(Нед_Раб,46)</f>
        <v/>
      </c>
      <c r="D4982" s="10">
        <f>SUM(G320:G326)</f>
        <v/>
      </c>
      <c r="E4982" s="10">
        <f>SUMIFS($G$320:$G$326,$D$320:$D$326,INDEX($D$320:$D$326,1))</f>
        <v/>
      </c>
      <c r="F4982" s="10">
        <f>SUMIFS($G$320:$G$326,$D$320:$D$326,INDEX($D$320:$D$326,7))</f>
        <v/>
      </c>
      <c r="G4982" s="7">
        <f>IF(ROUND(E4982+F4982-D4982,2)=0,"OK","ОШИБКА")</f>
        <v/>
      </c>
    </row>
    <row r="4983">
      <c r="A4983" s="15" t="inlineStr">
        <is>
          <t>Семенова</t>
        </is>
      </c>
      <c r="B4983" s="6" t="n">
        <v>47</v>
      </c>
      <c r="C4983" s="7">
        <f>INDEX(Нед_Раб,47)</f>
        <v/>
      </c>
      <c r="D4983" s="10">
        <f>SUM(G327:G333)</f>
        <v/>
      </c>
      <c r="E4983" s="10">
        <f>SUMIFS($G$327:$G$333,$D$327:$D$333,INDEX($D$327:$D$333,1))</f>
        <v/>
      </c>
      <c r="F4983" s="10">
        <f>SUMIFS($G$327:$G$333,$D$327:$D$333,INDEX($D$327:$D$333,7))</f>
        <v/>
      </c>
      <c r="G4983" s="7">
        <f>IF(ROUND(E4983+F4983-D4983,2)=0,"OK","ОШИБКА")</f>
        <v/>
      </c>
    </row>
    <row r="4984">
      <c r="A4984" s="15" t="inlineStr">
        <is>
          <t>Семенова</t>
        </is>
      </c>
      <c r="B4984" s="6" t="n">
        <v>48</v>
      </c>
      <c r="C4984" s="7">
        <f>INDEX(Нед_Раб,48)</f>
        <v/>
      </c>
      <c r="D4984" s="10">
        <f>SUM(G334:G340)</f>
        <v/>
      </c>
      <c r="E4984" s="10">
        <f>SUMIFS($G$334:$G$340,$D$334:$D$340,INDEX($D$334:$D$340,1))</f>
        <v/>
      </c>
      <c r="F4984" s="10">
        <f>SUMIFS($G$334:$G$340,$D$334:$D$340,INDEX($D$334:$D$340,7))</f>
        <v/>
      </c>
      <c r="G4984" s="7">
        <f>IF(ROUND(E4984+F4984-D4984,2)=0,"OK","ОШИБКА")</f>
        <v/>
      </c>
    </row>
    <row r="4985">
      <c r="A4985" s="15" t="inlineStr">
        <is>
          <t>Семенова</t>
        </is>
      </c>
      <c r="B4985" s="6" t="n">
        <v>49</v>
      </c>
      <c r="C4985" s="7">
        <f>INDEX(Нед_Раб,49)</f>
        <v/>
      </c>
      <c r="D4985" s="10">
        <f>SUM(G341:G347)</f>
        <v/>
      </c>
      <c r="E4985" s="10">
        <f>SUMIFS($G$341:$G$347,$D$341:$D$347,INDEX($D$341:$D$347,1))</f>
        <v/>
      </c>
      <c r="F4985" s="10">
        <f>SUMIFS($G$341:$G$347,$D$341:$D$347,INDEX($D$341:$D$347,7))</f>
        <v/>
      </c>
      <c r="G4985" s="7">
        <f>IF(ROUND(E4985+F4985-D4985,2)=0,"OK","ОШИБКА")</f>
        <v/>
      </c>
    </row>
    <row r="4986">
      <c r="A4986" s="15" t="inlineStr">
        <is>
          <t>Семенова</t>
        </is>
      </c>
      <c r="B4986" s="6" t="n">
        <v>50</v>
      </c>
      <c r="C4986" s="7">
        <f>INDEX(Нед_Раб,50)</f>
        <v/>
      </c>
      <c r="D4986" s="10">
        <f>SUM(G348:G354)</f>
        <v/>
      </c>
      <c r="E4986" s="10">
        <f>SUMIFS($G$348:$G$354,$D$348:$D$354,INDEX($D$348:$D$354,1))</f>
        <v/>
      </c>
      <c r="F4986" s="10">
        <f>SUMIFS($G$348:$G$354,$D$348:$D$354,INDEX($D$348:$D$354,7))</f>
        <v/>
      </c>
      <c r="G4986" s="7">
        <f>IF(ROUND(E4986+F4986-D4986,2)=0,"OK","ОШИБКА")</f>
        <v/>
      </c>
    </row>
    <row r="4987">
      <c r="A4987" s="15" t="inlineStr">
        <is>
          <t>Семенова</t>
        </is>
      </c>
      <c r="B4987" s="6" t="n">
        <v>51</v>
      </c>
      <c r="C4987" s="7">
        <f>INDEX(Нед_Раб,51)</f>
        <v/>
      </c>
      <c r="D4987" s="10">
        <f>SUM(G355:G361)</f>
        <v/>
      </c>
      <c r="E4987" s="10">
        <f>SUMIFS($G$355:$G$361,$D$355:$D$361,INDEX($D$355:$D$361,1))</f>
        <v/>
      </c>
      <c r="F4987" s="10">
        <f>SUMIFS($G$355:$G$361,$D$355:$D$361,INDEX($D$355:$D$361,7))</f>
        <v/>
      </c>
      <c r="G4987" s="7">
        <f>IF(ROUND(E4987+F4987-D4987,2)=0,"OK","ОШИБКА")</f>
        <v/>
      </c>
    </row>
    <row r="4988">
      <c r="A4988" s="15" t="inlineStr">
        <is>
          <t>Семенова</t>
        </is>
      </c>
      <c r="B4988" s="6" t="n">
        <v>52</v>
      </c>
      <c r="C4988" s="7">
        <f>INDEX(Нед_Раб,52)</f>
        <v/>
      </c>
      <c r="D4988" s="10">
        <f>SUM(G362:G368)</f>
        <v/>
      </c>
      <c r="E4988" s="10">
        <f>SUMIFS($G$362:$G$368,$D$362:$D$368,INDEX($D$362:$D$368,1))</f>
        <v/>
      </c>
      <c r="F4988" s="10">
        <f>SUMIFS($G$362:$G$368,$D$362:$D$368,INDEX($D$362:$D$368,7))</f>
        <v/>
      </c>
      <c r="G4988" s="7">
        <f>IF(ROUND(E4988+F4988-D4988,2)=0,"OK","ОШИБКА")</f>
        <v/>
      </c>
    </row>
    <row r="4989">
      <c r="A4989" s="15" t="inlineStr">
        <is>
          <t>Семенова</t>
        </is>
      </c>
      <c r="B4989" s="6" t="n">
        <v>53</v>
      </c>
      <c r="C4989" s="7">
        <f>INDEX(Нед_Раб,53)</f>
        <v/>
      </c>
      <c r="D4989" s="10">
        <f>SUM(G369:G375)</f>
        <v/>
      </c>
      <c r="E4989" s="10">
        <f>SUMIFS($G$369:$G$375,$D$369:$D$375,INDEX($D$369:$D$375,1))</f>
        <v/>
      </c>
      <c r="F4989" s="10">
        <f>SUMIFS($G$369:$G$375,$D$369:$D$375,INDEX($D$369:$D$375,7))</f>
        <v/>
      </c>
      <c r="G4989" s="7">
        <f>IF(ROUND(E4989+F4989-D4989,2)=0,"OK","ОШИБКА")</f>
        <v/>
      </c>
    </row>
    <row r="4990">
      <c r="A4990" s="15" t="inlineStr">
        <is>
          <t>Егоров</t>
        </is>
      </c>
      <c r="B4990" s="6" t="n">
        <v>1</v>
      </c>
      <c r="C4990" s="7">
        <f>INDEX(Нед_Раб,1)</f>
        <v/>
      </c>
      <c r="D4990" s="10">
        <f>SUM(G5:G11)</f>
        <v/>
      </c>
      <c r="E4990" s="10">
        <f>SUMIFS($G$5:$G$11,$D$5:$D$11,INDEX($D$5:$D$11,1))</f>
        <v/>
      </c>
      <c r="F4990" s="10">
        <f>SUMIFS($G$5:$G$11,$D$5:$D$11,INDEX($D$5:$D$11,7))</f>
        <v/>
      </c>
      <c r="G4990" s="7">
        <f>IF(ROUND(E4990+F4990-D4990,2)=0,"OK","ОШИБКА")</f>
        <v/>
      </c>
    </row>
    <row r="4991">
      <c r="A4991" s="15" t="inlineStr">
        <is>
          <t>Егоров</t>
        </is>
      </c>
      <c r="B4991" s="6" t="n">
        <v>2</v>
      </c>
      <c r="C4991" s="7">
        <f>INDEX(Нед_Раб,2)</f>
        <v/>
      </c>
      <c r="D4991" s="10">
        <f>SUM(G12:G18)</f>
        <v/>
      </c>
      <c r="E4991" s="10">
        <f>SUMIFS($G$12:$G$18,$D$12:$D$18,INDEX($D$12:$D$18,1))</f>
        <v/>
      </c>
      <c r="F4991" s="10">
        <f>SUMIFS($G$12:$G$18,$D$12:$D$18,INDEX($D$12:$D$18,7))</f>
        <v/>
      </c>
      <c r="G4991" s="7">
        <f>IF(ROUND(E4991+F4991-D4991,2)=0,"OK","ОШИБКА")</f>
        <v/>
      </c>
    </row>
    <row r="4992">
      <c r="A4992" s="15" t="inlineStr">
        <is>
          <t>Егоров</t>
        </is>
      </c>
      <c r="B4992" s="6" t="n">
        <v>3</v>
      </c>
      <c r="C4992" s="7">
        <f>INDEX(Нед_Раб,3)</f>
        <v/>
      </c>
      <c r="D4992" s="10">
        <f>SUM(G19:G25)</f>
        <v/>
      </c>
      <c r="E4992" s="10">
        <f>SUMIFS($G$19:$G$25,$D$19:$D$25,INDEX($D$19:$D$25,1))</f>
        <v/>
      </c>
      <c r="F4992" s="10">
        <f>SUMIFS($G$19:$G$25,$D$19:$D$25,INDEX($D$19:$D$25,7))</f>
        <v/>
      </c>
      <c r="G4992" s="7">
        <f>IF(ROUND(E4992+F4992-D4992,2)=0,"OK","ОШИБКА")</f>
        <v/>
      </c>
    </row>
    <row r="4993">
      <c r="A4993" s="15" t="inlineStr">
        <is>
          <t>Егоров</t>
        </is>
      </c>
      <c r="B4993" s="6" t="n">
        <v>4</v>
      </c>
      <c r="C4993" s="7">
        <f>INDEX(Нед_Раб,4)</f>
        <v/>
      </c>
      <c r="D4993" s="10">
        <f>SUM(G26:G32)</f>
        <v/>
      </c>
      <c r="E4993" s="10">
        <f>SUMIFS($G$26:$G$32,$D$26:$D$32,INDEX($D$26:$D$32,1))</f>
        <v/>
      </c>
      <c r="F4993" s="10">
        <f>SUMIFS($G$26:$G$32,$D$26:$D$32,INDEX($D$26:$D$32,7))</f>
        <v/>
      </c>
      <c r="G4993" s="7">
        <f>IF(ROUND(E4993+F4993-D4993,2)=0,"OK","ОШИБКА")</f>
        <v/>
      </c>
    </row>
    <row r="4994">
      <c r="A4994" s="15" t="inlineStr">
        <is>
          <t>Егоров</t>
        </is>
      </c>
      <c r="B4994" s="6" t="n">
        <v>5</v>
      </c>
      <c r="C4994" s="7">
        <f>INDEX(Нед_Раб,5)</f>
        <v/>
      </c>
      <c r="D4994" s="10">
        <f>SUM(G33:G39)</f>
        <v/>
      </c>
      <c r="E4994" s="10">
        <f>SUMIFS($G$33:$G$39,$D$33:$D$39,INDEX($D$33:$D$39,1))</f>
        <v/>
      </c>
      <c r="F4994" s="10">
        <f>SUMIFS($G$33:$G$39,$D$33:$D$39,INDEX($D$33:$D$39,7))</f>
        <v/>
      </c>
      <c r="G4994" s="7">
        <f>IF(ROUND(E4994+F4994-D4994,2)=0,"OK","ОШИБКА")</f>
        <v/>
      </c>
    </row>
    <row r="4995">
      <c r="A4995" s="15" t="inlineStr">
        <is>
          <t>Егоров</t>
        </is>
      </c>
      <c r="B4995" s="6" t="n">
        <v>6</v>
      </c>
      <c r="C4995" s="7">
        <f>INDEX(Нед_Раб,6)</f>
        <v/>
      </c>
      <c r="D4995" s="10">
        <f>SUM(G40:G46)</f>
        <v/>
      </c>
      <c r="E4995" s="10">
        <f>SUMIFS($G$40:$G$46,$D$40:$D$46,INDEX($D$40:$D$46,1))</f>
        <v/>
      </c>
      <c r="F4995" s="10">
        <f>SUMIFS($G$40:$G$46,$D$40:$D$46,INDEX($D$40:$D$46,7))</f>
        <v/>
      </c>
      <c r="G4995" s="7">
        <f>IF(ROUND(E4995+F4995-D4995,2)=0,"OK","ОШИБКА")</f>
        <v/>
      </c>
    </row>
    <row r="4996">
      <c r="A4996" s="15" t="inlineStr">
        <is>
          <t>Егоров</t>
        </is>
      </c>
      <c r="B4996" s="6" t="n">
        <v>7</v>
      </c>
      <c r="C4996" s="7">
        <f>INDEX(Нед_Раб,7)</f>
        <v/>
      </c>
      <c r="D4996" s="10">
        <f>SUM(G47:G53)</f>
        <v/>
      </c>
      <c r="E4996" s="10">
        <f>SUMIFS($G$47:$G$53,$D$47:$D$53,INDEX($D$47:$D$53,1))</f>
        <v/>
      </c>
      <c r="F4996" s="10">
        <f>SUMIFS($G$47:$G$53,$D$47:$D$53,INDEX($D$47:$D$53,7))</f>
        <v/>
      </c>
      <c r="G4996" s="7">
        <f>IF(ROUND(E4996+F4996-D4996,2)=0,"OK","ОШИБКА")</f>
        <v/>
      </c>
    </row>
    <row r="4997">
      <c r="A4997" s="15" t="inlineStr">
        <is>
          <t>Егоров</t>
        </is>
      </c>
      <c r="B4997" s="6" t="n">
        <v>8</v>
      </c>
      <c r="C4997" s="7">
        <f>INDEX(Нед_Раб,8)</f>
        <v/>
      </c>
      <c r="D4997" s="10">
        <f>SUM(G54:G60)</f>
        <v/>
      </c>
      <c r="E4997" s="10">
        <f>SUMIFS($G$54:$G$60,$D$54:$D$60,INDEX($D$54:$D$60,1))</f>
        <v/>
      </c>
      <c r="F4997" s="10">
        <f>SUMIFS($G$54:$G$60,$D$54:$D$60,INDEX($D$54:$D$60,7))</f>
        <v/>
      </c>
      <c r="G4997" s="7">
        <f>IF(ROUND(E4997+F4997-D4997,2)=0,"OK","ОШИБКА")</f>
        <v/>
      </c>
    </row>
    <row r="4998">
      <c r="A4998" s="15" t="inlineStr">
        <is>
          <t>Егоров</t>
        </is>
      </c>
      <c r="B4998" s="6" t="n">
        <v>9</v>
      </c>
      <c r="C4998" s="7">
        <f>INDEX(Нед_Раб,9)</f>
        <v/>
      </c>
      <c r="D4998" s="10">
        <f>SUM(G61:G67)</f>
        <v/>
      </c>
      <c r="E4998" s="10">
        <f>SUMIFS($G$61:$G$67,$D$61:$D$67,INDEX($D$61:$D$67,1))</f>
        <v/>
      </c>
      <c r="F4998" s="10">
        <f>SUMIFS($G$61:$G$67,$D$61:$D$67,INDEX($D$61:$D$67,7))</f>
        <v/>
      </c>
      <c r="G4998" s="7">
        <f>IF(ROUND(E4998+F4998-D4998,2)=0,"OK","ОШИБКА")</f>
        <v/>
      </c>
    </row>
    <row r="4999">
      <c r="A4999" s="15" t="inlineStr">
        <is>
          <t>Егоров</t>
        </is>
      </c>
      <c r="B4999" s="6" t="n">
        <v>10</v>
      </c>
      <c r="C4999" s="7">
        <f>INDEX(Нед_Раб,10)</f>
        <v/>
      </c>
      <c r="D4999" s="10">
        <f>SUM(G68:G74)</f>
        <v/>
      </c>
      <c r="E4999" s="10">
        <f>SUMIFS($G$68:$G$74,$D$68:$D$74,INDEX($D$68:$D$74,1))</f>
        <v/>
      </c>
      <c r="F4999" s="10">
        <f>SUMIFS($G$68:$G$74,$D$68:$D$74,INDEX($D$68:$D$74,7))</f>
        <v/>
      </c>
      <c r="G4999" s="7">
        <f>IF(ROUND(E4999+F4999-D4999,2)=0,"OK","ОШИБКА")</f>
        <v/>
      </c>
    </row>
    <row r="5000">
      <c r="A5000" s="15" t="inlineStr">
        <is>
          <t>Егоров</t>
        </is>
      </c>
      <c r="B5000" s="6" t="n">
        <v>11</v>
      </c>
      <c r="C5000" s="7">
        <f>INDEX(Нед_Раб,11)</f>
        <v/>
      </c>
      <c r="D5000" s="10">
        <f>SUM(G75:G81)</f>
        <v/>
      </c>
      <c r="E5000" s="10">
        <f>SUMIFS($G$75:$G$81,$D$75:$D$81,INDEX($D$75:$D$81,1))</f>
        <v/>
      </c>
      <c r="F5000" s="10">
        <f>SUMIFS($G$75:$G$81,$D$75:$D$81,INDEX($D$75:$D$81,7))</f>
        <v/>
      </c>
      <c r="G5000" s="7">
        <f>IF(ROUND(E5000+F5000-D5000,2)=0,"OK","ОШИБКА")</f>
        <v/>
      </c>
    </row>
    <row r="5001">
      <c r="A5001" s="15" t="inlineStr">
        <is>
          <t>Егоров</t>
        </is>
      </c>
      <c r="B5001" s="6" t="n">
        <v>12</v>
      </c>
      <c r="C5001" s="7">
        <f>INDEX(Нед_Раб,12)</f>
        <v/>
      </c>
      <c r="D5001" s="10">
        <f>SUM(G82:G88)</f>
        <v/>
      </c>
      <c r="E5001" s="10">
        <f>SUMIFS($G$82:$G$88,$D$82:$D$88,INDEX($D$82:$D$88,1))</f>
        <v/>
      </c>
      <c r="F5001" s="10">
        <f>SUMIFS($G$82:$G$88,$D$82:$D$88,INDEX($D$82:$D$88,7))</f>
        <v/>
      </c>
      <c r="G5001" s="7">
        <f>IF(ROUND(E5001+F5001-D5001,2)=0,"OK","ОШИБКА")</f>
        <v/>
      </c>
    </row>
    <row r="5002">
      <c r="A5002" s="15" t="inlineStr">
        <is>
          <t>Егоров</t>
        </is>
      </c>
      <c r="B5002" s="6" t="n">
        <v>13</v>
      </c>
      <c r="C5002" s="7">
        <f>INDEX(Нед_Раб,13)</f>
        <v/>
      </c>
      <c r="D5002" s="10">
        <f>SUM(G89:G95)</f>
        <v/>
      </c>
      <c r="E5002" s="10">
        <f>SUMIFS($G$89:$G$95,$D$89:$D$95,INDEX($D$89:$D$95,1))</f>
        <v/>
      </c>
      <c r="F5002" s="10">
        <f>SUMIFS($G$89:$G$95,$D$89:$D$95,INDEX($D$89:$D$95,7))</f>
        <v/>
      </c>
      <c r="G5002" s="7">
        <f>IF(ROUND(E5002+F5002-D5002,2)=0,"OK","ОШИБКА")</f>
        <v/>
      </c>
    </row>
    <row r="5003">
      <c r="A5003" s="15" t="inlineStr">
        <is>
          <t>Егоров</t>
        </is>
      </c>
      <c r="B5003" s="6" t="n">
        <v>14</v>
      </c>
      <c r="C5003" s="7">
        <f>INDEX(Нед_Раб,14)</f>
        <v/>
      </c>
      <c r="D5003" s="10">
        <f>SUM(G96:G102)</f>
        <v/>
      </c>
      <c r="E5003" s="10">
        <f>SUMIFS($G$96:$G$102,$D$96:$D$102,INDEX($D$96:$D$102,1))</f>
        <v/>
      </c>
      <c r="F5003" s="10">
        <f>SUMIFS($G$96:$G$102,$D$96:$D$102,INDEX($D$96:$D$102,7))</f>
        <v/>
      </c>
      <c r="G5003" s="7">
        <f>IF(ROUND(E5003+F5003-D5003,2)=0,"OK","ОШИБКА")</f>
        <v/>
      </c>
    </row>
    <row r="5004">
      <c r="A5004" s="15" t="inlineStr">
        <is>
          <t>Егоров</t>
        </is>
      </c>
      <c r="B5004" s="6" t="n">
        <v>15</v>
      </c>
      <c r="C5004" s="7">
        <f>INDEX(Нед_Раб,15)</f>
        <v/>
      </c>
      <c r="D5004" s="10">
        <f>SUM(G103:G109)</f>
        <v/>
      </c>
      <c r="E5004" s="10">
        <f>SUMIFS($G$103:$G$109,$D$103:$D$109,INDEX($D$103:$D$109,1))</f>
        <v/>
      </c>
      <c r="F5004" s="10">
        <f>SUMIFS($G$103:$G$109,$D$103:$D$109,INDEX($D$103:$D$109,7))</f>
        <v/>
      </c>
      <c r="G5004" s="7">
        <f>IF(ROUND(E5004+F5004-D5004,2)=0,"OK","ОШИБКА")</f>
        <v/>
      </c>
    </row>
    <row r="5005">
      <c r="A5005" s="15" t="inlineStr">
        <is>
          <t>Егоров</t>
        </is>
      </c>
      <c r="B5005" s="6" t="n">
        <v>16</v>
      </c>
      <c r="C5005" s="7">
        <f>INDEX(Нед_Раб,16)</f>
        <v/>
      </c>
      <c r="D5005" s="10">
        <f>SUM(G110:G116)</f>
        <v/>
      </c>
      <c r="E5005" s="10">
        <f>SUMIFS($G$110:$G$116,$D$110:$D$116,INDEX($D$110:$D$116,1))</f>
        <v/>
      </c>
      <c r="F5005" s="10">
        <f>SUMIFS($G$110:$G$116,$D$110:$D$116,INDEX($D$110:$D$116,7))</f>
        <v/>
      </c>
      <c r="G5005" s="7">
        <f>IF(ROUND(E5005+F5005-D5005,2)=0,"OK","ОШИБКА")</f>
        <v/>
      </c>
    </row>
    <row r="5006">
      <c r="A5006" s="15" t="inlineStr">
        <is>
          <t>Егоров</t>
        </is>
      </c>
      <c r="B5006" s="6" t="n">
        <v>17</v>
      </c>
      <c r="C5006" s="7">
        <f>INDEX(Нед_Раб,17)</f>
        <v/>
      </c>
      <c r="D5006" s="10">
        <f>SUM(G117:G123)</f>
        <v/>
      </c>
      <c r="E5006" s="10">
        <f>SUMIFS($G$117:$G$123,$D$117:$D$123,INDEX($D$117:$D$123,1))</f>
        <v/>
      </c>
      <c r="F5006" s="10">
        <f>SUMIFS($G$117:$G$123,$D$117:$D$123,INDEX($D$117:$D$123,7))</f>
        <v/>
      </c>
      <c r="G5006" s="7">
        <f>IF(ROUND(E5006+F5006-D5006,2)=0,"OK","ОШИБКА")</f>
        <v/>
      </c>
    </row>
    <row r="5007">
      <c r="A5007" s="15" t="inlineStr">
        <is>
          <t>Егоров</t>
        </is>
      </c>
      <c r="B5007" s="6" t="n">
        <v>18</v>
      </c>
      <c r="C5007" s="7">
        <f>INDEX(Нед_Раб,18)</f>
        <v/>
      </c>
      <c r="D5007" s="10">
        <f>SUM(G124:G130)</f>
        <v/>
      </c>
      <c r="E5007" s="10">
        <f>SUMIFS($G$124:$G$130,$D$124:$D$130,INDEX($D$124:$D$130,1))</f>
        <v/>
      </c>
      <c r="F5007" s="10">
        <f>SUMIFS($G$124:$G$130,$D$124:$D$130,INDEX($D$124:$D$130,7))</f>
        <v/>
      </c>
      <c r="G5007" s="7">
        <f>IF(ROUND(E5007+F5007-D5007,2)=0,"OK","ОШИБКА")</f>
        <v/>
      </c>
    </row>
    <row r="5008">
      <c r="A5008" s="15" t="inlineStr">
        <is>
          <t>Егоров</t>
        </is>
      </c>
      <c r="B5008" s="6" t="n">
        <v>19</v>
      </c>
      <c r="C5008" s="7">
        <f>INDEX(Нед_Раб,19)</f>
        <v/>
      </c>
      <c r="D5008" s="10">
        <f>SUM(G131:G137)</f>
        <v/>
      </c>
      <c r="E5008" s="10">
        <f>SUMIFS($G$131:$G$137,$D$131:$D$137,INDEX($D$131:$D$137,1))</f>
        <v/>
      </c>
      <c r="F5008" s="10">
        <f>SUMIFS($G$131:$G$137,$D$131:$D$137,INDEX($D$131:$D$137,7))</f>
        <v/>
      </c>
      <c r="G5008" s="7">
        <f>IF(ROUND(E5008+F5008-D5008,2)=0,"OK","ОШИБКА")</f>
        <v/>
      </c>
    </row>
    <row r="5009">
      <c r="A5009" s="15" t="inlineStr">
        <is>
          <t>Егоров</t>
        </is>
      </c>
      <c r="B5009" s="6" t="n">
        <v>20</v>
      </c>
      <c r="C5009" s="7">
        <f>INDEX(Нед_Раб,20)</f>
        <v/>
      </c>
      <c r="D5009" s="10">
        <f>SUM(G138:G144)</f>
        <v/>
      </c>
      <c r="E5009" s="10">
        <f>SUMIFS($G$138:$G$144,$D$138:$D$144,INDEX($D$138:$D$144,1))</f>
        <v/>
      </c>
      <c r="F5009" s="10">
        <f>SUMIFS($G$138:$G$144,$D$138:$D$144,INDEX($D$138:$D$144,7))</f>
        <v/>
      </c>
      <c r="G5009" s="7">
        <f>IF(ROUND(E5009+F5009-D5009,2)=0,"OK","ОШИБКА")</f>
        <v/>
      </c>
    </row>
    <row r="5010">
      <c r="A5010" s="15" t="inlineStr">
        <is>
          <t>Егоров</t>
        </is>
      </c>
      <c r="B5010" s="6" t="n">
        <v>21</v>
      </c>
      <c r="C5010" s="7">
        <f>INDEX(Нед_Раб,21)</f>
        <v/>
      </c>
      <c r="D5010" s="10">
        <f>SUM(G145:G151)</f>
        <v/>
      </c>
      <c r="E5010" s="10">
        <f>SUMIFS($G$145:$G$151,$D$145:$D$151,INDEX($D$145:$D$151,1))</f>
        <v/>
      </c>
      <c r="F5010" s="10">
        <f>SUMIFS($G$145:$G$151,$D$145:$D$151,INDEX($D$145:$D$151,7))</f>
        <v/>
      </c>
      <c r="G5010" s="7">
        <f>IF(ROUND(E5010+F5010-D5010,2)=0,"OK","ОШИБКА")</f>
        <v/>
      </c>
    </row>
    <row r="5011">
      <c r="A5011" s="15" t="inlineStr">
        <is>
          <t>Егоров</t>
        </is>
      </c>
      <c r="B5011" s="6" t="n">
        <v>22</v>
      </c>
      <c r="C5011" s="7">
        <f>INDEX(Нед_Раб,22)</f>
        <v/>
      </c>
      <c r="D5011" s="10">
        <f>SUM(G152:G158)</f>
        <v/>
      </c>
      <c r="E5011" s="10">
        <f>SUMIFS($G$152:$G$158,$D$152:$D$158,INDEX($D$152:$D$158,1))</f>
        <v/>
      </c>
      <c r="F5011" s="10">
        <f>SUMIFS($G$152:$G$158,$D$152:$D$158,INDEX($D$152:$D$158,7))</f>
        <v/>
      </c>
      <c r="G5011" s="7">
        <f>IF(ROUND(E5011+F5011-D5011,2)=0,"OK","ОШИБКА")</f>
        <v/>
      </c>
    </row>
    <row r="5012">
      <c r="A5012" s="15" t="inlineStr">
        <is>
          <t>Егоров</t>
        </is>
      </c>
      <c r="B5012" s="6" t="n">
        <v>23</v>
      </c>
      <c r="C5012" s="7">
        <f>INDEX(Нед_Раб,23)</f>
        <v/>
      </c>
      <c r="D5012" s="10">
        <f>SUM(G159:G165)</f>
        <v/>
      </c>
      <c r="E5012" s="10">
        <f>SUMIFS($G$159:$G$165,$D$159:$D$165,INDEX($D$159:$D$165,1))</f>
        <v/>
      </c>
      <c r="F5012" s="10">
        <f>SUMIFS($G$159:$G$165,$D$159:$D$165,INDEX($D$159:$D$165,7))</f>
        <v/>
      </c>
      <c r="G5012" s="7">
        <f>IF(ROUND(E5012+F5012-D5012,2)=0,"OK","ОШИБКА")</f>
        <v/>
      </c>
    </row>
    <row r="5013">
      <c r="A5013" s="15" t="inlineStr">
        <is>
          <t>Егоров</t>
        </is>
      </c>
      <c r="B5013" s="6" t="n">
        <v>24</v>
      </c>
      <c r="C5013" s="7">
        <f>INDEX(Нед_Раб,24)</f>
        <v/>
      </c>
      <c r="D5013" s="10">
        <f>SUM(G166:G172)</f>
        <v/>
      </c>
      <c r="E5013" s="10">
        <f>SUMIFS($G$166:$G$172,$D$166:$D$172,INDEX($D$166:$D$172,1))</f>
        <v/>
      </c>
      <c r="F5013" s="10">
        <f>SUMIFS($G$166:$G$172,$D$166:$D$172,INDEX($D$166:$D$172,7))</f>
        <v/>
      </c>
      <c r="G5013" s="7">
        <f>IF(ROUND(E5013+F5013-D5013,2)=0,"OK","ОШИБКА")</f>
        <v/>
      </c>
    </row>
    <row r="5014">
      <c r="A5014" s="15" t="inlineStr">
        <is>
          <t>Егоров</t>
        </is>
      </c>
      <c r="B5014" s="6" t="n">
        <v>25</v>
      </c>
      <c r="C5014" s="7">
        <f>INDEX(Нед_Раб,25)</f>
        <v/>
      </c>
      <c r="D5014" s="10">
        <f>SUM(G173:G179)</f>
        <v/>
      </c>
      <c r="E5014" s="10">
        <f>SUMIFS($G$173:$G$179,$D$173:$D$179,INDEX($D$173:$D$179,1))</f>
        <v/>
      </c>
      <c r="F5014" s="10">
        <f>SUMIFS($G$173:$G$179,$D$173:$D$179,INDEX($D$173:$D$179,7))</f>
        <v/>
      </c>
      <c r="G5014" s="7">
        <f>IF(ROUND(E5014+F5014-D5014,2)=0,"OK","ОШИБКА")</f>
        <v/>
      </c>
    </row>
    <row r="5015">
      <c r="A5015" s="15" t="inlineStr">
        <is>
          <t>Егоров</t>
        </is>
      </c>
      <c r="B5015" s="6" t="n">
        <v>26</v>
      </c>
      <c r="C5015" s="7">
        <f>INDEX(Нед_Раб,26)</f>
        <v/>
      </c>
      <c r="D5015" s="10">
        <f>SUM(G180:G186)</f>
        <v/>
      </c>
      <c r="E5015" s="10">
        <f>SUMIFS($G$180:$G$186,$D$180:$D$186,INDEX($D$180:$D$186,1))</f>
        <v/>
      </c>
      <c r="F5015" s="10">
        <f>SUMIFS($G$180:$G$186,$D$180:$D$186,INDEX($D$180:$D$186,7))</f>
        <v/>
      </c>
      <c r="G5015" s="7">
        <f>IF(ROUND(E5015+F5015-D5015,2)=0,"OK","ОШИБКА")</f>
        <v/>
      </c>
    </row>
    <row r="5016">
      <c r="A5016" s="15" t="inlineStr">
        <is>
          <t>Егоров</t>
        </is>
      </c>
      <c r="B5016" s="6" t="n">
        <v>27</v>
      </c>
      <c r="C5016" s="7">
        <f>INDEX(Нед_Раб,27)</f>
        <v/>
      </c>
      <c r="D5016" s="10">
        <f>SUM(G187:G193)</f>
        <v/>
      </c>
      <c r="E5016" s="10">
        <f>SUMIFS($G$187:$G$193,$D$187:$D$193,INDEX($D$187:$D$193,1))</f>
        <v/>
      </c>
      <c r="F5016" s="10">
        <f>SUMIFS($G$187:$G$193,$D$187:$D$193,INDEX($D$187:$D$193,7))</f>
        <v/>
      </c>
      <c r="G5016" s="7">
        <f>IF(ROUND(E5016+F5016-D5016,2)=0,"OK","ОШИБКА")</f>
        <v/>
      </c>
    </row>
    <row r="5017">
      <c r="A5017" s="15" t="inlineStr">
        <is>
          <t>Егоров</t>
        </is>
      </c>
      <c r="B5017" s="6" t="n">
        <v>28</v>
      </c>
      <c r="C5017" s="7">
        <f>INDEX(Нед_Раб,28)</f>
        <v/>
      </c>
      <c r="D5017" s="10">
        <f>SUM(G194:G200)</f>
        <v/>
      </c>
      <c r="E5017" s="10">
        <f>SUMIFS($G$194:$G$200,$D$194:$D$200,INDEX($D$194:$D$200,1))</f>
        <v/>
      </c>
      <c r="F5017" s="10">
        <f>SUMIFS($G$194:$G$200,$D$194:$D$200,INDEX($D$194:$D$200,7))</f>
        <v/>
      </c>
      <c r="G5017" s="7">
        <f>IF(ROUND(E5017+F5017-D5017,2)=0,"OK","ОШИБКА")</f>
        <v/>
      </c>
    </row>
    <row r="5018">
      <c r="A5018" s="15" t="inlineStr">
        <is>
          <t>Егоров</t>
        </is>
      </c>
      <c r="B5018" s="6" t="n">
        <v>29</v>
      </c>
      <c r="C5018" s="7">
        <f>INDEX(Нед_Раб,29)</f>
        <v/>
      </c>
      <c r="D5018" s="10">
        <f>SUM(G201:G207)</f>
        <v/>
      </c>
      <c r="E5018" s="10">
        <f>SUMIFS($G$201:$G$207,$D$201:$D$207,INDEX($D$201:$D$207,1))</f>
        <v/>
      </c>
      <c r="F5018" s="10">
        <f>SUMIFS($G$201:$G$207,$D$201:$D$207,INDEX($D$201:$D$207,7))</f>
        <v/>
      </c>
      <c r="G5018" s="7">
        <f>IF(ROUND(E5018+F5018-D5018,2)=0,"OK","ОШИБКА")</f>
        <v/>
      </c>
    </row>
    <row r="5019">
      <c r="A5019" s="15" t="inlineStr">
        <is>
          <t>Егоров</t>
        </is>
      </c>
      <c r="B5019" s="6" t="n">
        <v>30</v>
      </c>
      <c r="C5019" s="7">
        <f>INDEX(Нед_Раб,30)</f>
        <v/>
      </c>
      <c r="D5019" s="10">
        <f>SUM(G208:G214)</f>
        <v/>
      </c>
      <c r="E5019" s="10">
        <f>SUMIFS($G$208:$G$214,$D$208:$D$214,INDEX($D$208:$D$214,1))</f>
        <v/>
      </c>
      <c r="F5019" s="10">
        <f>SUMIFS($G$208:$G$214,$D$208:$D$214,INDEX($D$208:$D$214,7))</f>
        <v/>
      </c>
      <c r="G5019" s="7">
        <f>IF(ROUND(E5019+F5019-D5019,2)=0,"OK","ОШИБКА")</f>
        <v/>
      </c>
    </row>
    <row r="5020">
      <c r="A5020" s="15" t="inlineStr">
        <is>
          <t>Егоров</t>
        </is>
      </c>
      <c r="B5020" s="6" t="n">
        <v>31</v>
      </c>
      <c r="C5020" s="7">
        <f>INDEX(Нед_Раб,31)</f>
        <v/>
      </c>
      <c r="D5020" s="10">
        <f>SUM(G215:G221)</f>
        <v/>
      </c>
      <c r="E5020" s="10">
        <f>SUMIFS($G$215:$G$221,$D$215:$D$221,INDEX($D$215:$D$221,1))</f>
        <v/>
      </c>
      <c r="F5020" s="10">
        <f>SUMIFS($G$215:$G$221,$D$215:$D$221,INDEX($D$215:$D$221,7))</f>
        <v/>
      </c>
      <c r="G5020" s="7">
        <f>IF(ROUND(E5020+F5020-D5020,2)=0,"OK","ОШИБКА")</f>
        <v/>
      </c>
    </row>
    <row r="5021">
      <c r="A5021" s="15" t="inlineStr">
        <is>
          <t>Егоров</t>
        </is>
      </c>
      <c r="B5021" s="6" t="n">
        <v>32</v>
      </c>
      <c r="C5021" s="7">
        <f>INDEX(Нед_Раб,32)</f>
        <v/>
      </c>
      <c r="D5021" s="10">
        <f>SUM(G222:G228)</f>
        <v/>
      </c>
      <c r="E5021" s="10">
        <f>SUMIFS($G$222:$G$228,$D$222:$D$228,INDEX($D$222:$D$228,1))</f>
        <v/>
      </c>
      <c r="F5021" s="10">
        <f>SUMIFS($G$222:$G$228,$D$222:$D$228,INDEX($D$222:$D$228,7))</f>
        <v/>
      </c>
      <c r="G5021" s="7">
        <f>IF(ROUND(E5021+F5021-D5021,2)=0,"OK","ОШИБКА")</f>
        <v/>
      </c>
    </row>
    <row r="5022">
      <c r="A5022" s="15" t="inlineStr">
        <is>
          <t>Егоров</t>
        </is>
      </c>
      <c r="B5022" s="6" t="n">
        <v>33</v>
      </c>
      <c r="C5022" s="7">
        <f>INDEX(Нед_Раб,33)</f>
        <v/>
      </c>
      <c r="D5022" s="10">
        <f>SUM(G229:G235)</f>
        <v/>
      </c>
      <c r="E5022" s="10">
        <f>SUMIFS($G$229:$G$235,$D$229:$D$235,INDEX($D$229:$D$235,1))</f>
        <v/>
      </c>
      <c r="F5022" s="10">
        <f>SUMIFS($G$229:$G$235,$D$229:$D$235,INDEX($D$229:$D$235,7))</f>
        <v/>
      </c>
      <c r="G5022" s="7">
        <f>IF(ROUND(E5022+F5022-D5022,2)=0,"OK","ОШИБКА")</f>
        <v/>
      </c>
    </row>
    <row r="5023">
      <c r="A5023" s="15" t="inlineStr">
        <is>
          <t>Егоров</t>
        </is>
      </c>
      <c r="B5023" s="6" t="n">
        <v>34</v>
      </c>
      <c r="C5023" s="7">
        <f>INDEX(Нед_Раб,34)</f>
        <v/>
      </c>
      <c r="D5023" s="10">
        <f>SUM(G236:G242)</f>
        <v/>
      </c>
      <c r="E5023" s="10">
        <f>SUMIFS($G$236:$G$242,$D$236:$D$242,INDEX($D$236:$D$242,1))</f>
        <v/>
      </c>
      <c r="F5023" s="10">
        <f>SUMIFS($G$236:$G$242,$D$236:$D$242,INDEX($D$236:$D$242,7))</f>
        <v/>
      </c>
      <c r="G5023" s="7">
        <f>IF(ROUND(E5023+F5023-D5023,2)=0,"OK","ОШИБКА")</f>
        <v/>
      </c>
    </row>
    <row r="5024">
      <c r="A5024" s="15" t="inlineStr">
        <is>
          <t>Егоров</t>
        </is>
      </c>
      <c r="B5024" s="6" t="n">
        <v>35</v>
      </c>
      <c r="C5024" s="7">
        <f>INDEX(Нед_Раб,35)</f>
        <v/>
      </c>
      <c r="D5024" s="10">
        <f>SUM(G243:G249)</f>
        <v/>
      </c>
      <c r="E5024" s="10">
        <f>SUMIFS($G$243:$G$249,$D$243:$D$249,INDEX($D$243:$D$249,1))</f>
        <v/>
      </c>
      <c r="F5024" s="10">
        <f>SUMIFS($G$243:$G$249,$D$243:$D$249,INDEX($D$243:$D$249,7))</f>
        <v/>
      </c>
      <c r="G5024" s="7">
        <f>IF(ROUND(E5024+F5024-D5024,2)=0,"OK","ОШИБКА")</f>
        <v/>
      </c>
    </row>
    <row r="5025">
      <c r="A5025" s="15" t="inlineStr">
        <is>
          <t>Егоров</t>
        </is>
      </c>
      <c r="B5025" s="6" t="n">
        <v>36</v>
      </c>
      <c r="C5025" s="7">
        <f>INDEX(Нед_Раб,36)</f>
        <v/>
      </c>
      <c r="D5025" s="10">
        <f>SUM(G250:G256)</f>
        <v/>
      </c>
      <c r="E5025" s="10">
        <f>SUMIFS($G$250:$G$256,$D$250:$D$256,INDEX($D$250:$D$256,1))</f>
        <v/>
      </c>
      <c r="F5025" s="10">
        <f>SUMIFS($G$250:$G$256,$D$250:$D$256,INDEX($D$250:$D$256,7))</f>
        <v/>
      </c>
      <c r="G5025" s="7">
        <f>IF(ROUND(E5025+F5025-D5025,2)=0,"OK","ОШИБКА")</f>
        <v/>
      </c>
    </row>
    <row r="5026">
      <c r="A5026" s="15" t="inlineStr">
        <is>
          <t>Егоров</t>
        </is>
      </c>
      <c r="B5026" s="6" t="n">
        <v>37</v>
      </c>
      <c r="C5026" s="7">
        <f>INDEX(Нед_Раб,37)</f>
        <v/>
      </c>
      <c r="D5026" s="10">
        <f>SUM(G257:G263)</f>
        <v/>
      </c>
      <c r="E5026" s="10">
        <f>SUMIFS($G$257:$G$263,$D$257:$D$263,INDEX($D$257:$D$263,1))</f>
        <v/>
      </c>
      <c r="F5026" s="10">
        <f>SUMIFS($G$257:$G$263,$D$257:$D$263,INDEX($D$257:$D$263,7))</f>
        <v/>
      </c>
      <c r="G5026" s="7">
        <f>IF(ROUND(E5026+F5026-D5026,2)=0,"OK","ОШИБКА")</f>
        <v/>
      </c>
    </row>
    <row r="5027">
      <c r="A5027" s="15" t="inlineStr">
        <is>
          <t>Егоров</t>
        </is>
      </c>
      <c r="B5027" s="6" t="n">
        <v>38</v>
      </c>
      <c r="C5027" s="7">
        <f>INDEX(Нед_Раб,38)</f>
        <v/>
      </c>
      <c r="D5027" s="10">
        <f>SUM(G264:G270)</f>
        <v/>
      </c>
      <c r="E5027" s="10">
        <f>SUMIFS($G$264:$G$270,$D$264:$D$270,INDEX($D$264:$D$270,1))</f>
        <v/>
      </c>
      <c r="F5027" s="10">
        <f>SUMIFS($G$264:$G$270,$D$264:$D$270,INDEX($D$264:$D$270,7))</f>
        <v/>
      </c>
      <c r="G5027" s="7">
        <f>IF(ROUND(E5027+F5027-D5027,2)=0,"OK","ОШИБКА")</f>
        <v/>
      </c>
    </row>
    <row r="5028">
      <c r="A5028" s="15" t="inlineStr">
        <is>
          <t>Егоров</t>
        </is>
      </c>
      <c r="B5028" s="6" t="n">
        <v>39</v>
      </c>
      <c r="C5028" s="7">
        <f>INDEX(Нед_Раб,39)</f>
        <v/>
      </c>
      <c r="D5028" s="10">
        <f>SUM(G271:G277)</f>
        <v/>
      </c>
      <c r="E5028" s="10">
        <f>SUMIFS($G$271:$G$277,$D$271:$D$277,INDEX($D$271:$D$277,1))</f>
        <v/>
      </c>
      <c r="F5028" s="10">
        <f>SUMIFS($G$271:$G$277,$D$271:$D$277,INDEX($D$271:$D$277,7))</f>
        <v/>
      </c>
      <c r="G5028" s="7">
        <f>IF(ROUND(E5028+F5028-D5028,2)=0,"OK","ОШИБКА")</f>
        <v/>
      </c>
    </row>
    <row r="5029">
      <c r="A5029" s="15" t="inlineStr">
        <is>
          <t>Егоров</t>
        </is>
      </c>
      <c r="B5029" s="6" t="n">
        <v>40</v>
      </c>
      <c r="C5029" s="7">
        <f>INDEX(Нед_Раб,40)</f>
        <v/>
      </c>
      <c r="D5029" s="10">
        <f>SUM(G278:G284)</f>
        <v/>
      </c>
      <c r="E5029" s="10">
        <f>SUMIFS($G$278:$G$284,$D$278:$D$284,INDEX($D$278:$D$284,1))</f>
        <v/>
      </c>
      <c r="F5029" s="10">
        <f>SUMIFS($G$278:$G$284,$D$278:$D$284,INDEX($D$278:$D$284,7))</f>
        <v/>
      </c>
      <c r="G5029" s="7">
        <f>IF(ROUND(E5029+F5029-D5029,2)=0,"OK","ОШИБКА")</f>
        <v/>
      </c>
    </row>
    <row r="5030">
      <c r="A5030" s="15" t="inlineStr">
        <is>
          <t>Егоров</t>
        </is>
      </c>
      <c r="B5030" s="6" t="n">
        <v>41</v>
      </c>
      <c r="C5030" s="7">
        <f>INDEX(Нед_Раб,41)</f>
        <v/>
      </c>
      <c r="D5030" s="10">
        <f>SUM(G285:G291)</f>
        <v/>
      </c>
      <c r="E5030" s="10">
        <f>SUMIFS($G$285:$G$291,$D$285:$D$291,INDEX($D$285:$D$291,1))</f>
        <v/>
      </c>
      <c r="F5030" s="10">
        <f>SUMIFS($G$285:$G$291,$D$285:$D$291,INDEX($D$285:$D$291,7))</f>
        <v/>
      </c>
      <c r="G5030" s="7">
        <f>IF(ROUND(E5030+F5030-D5030,2)=0,"OK","ОШИБКА")</f>
        <v/>
      </c>
    </row>
    <row r="5031">
      <c r="A5031" s="15" t="inlineStr">
        <is>
          <t>Егоров</t>
        </is>
      </c>
      <c r="B5031" s="6" t="n">
        <v>42</v>
      </c>
      <c r="C5031" s="7">
        <f>INDEX(Нед_Раб,42)</f>
        <v/>
      </c>
      <c r="D5031" s="10">
        <f>SUM(G292:G298)</f>
        <v/>
      </c>
      <c r="E5031" s="10">
        <f>SUMIFS($G$292:$G$298,$D$292:$D$298,INDEX($D$292:$D$298,1))</f>
        <v/>
      </c>
      <c r="F5031" s="10">
        <f>SUMIFS($G$292:$G$298,$D$292:$D$298,INDEX($D$292:$D$298,7))</f>
        <v/>
      </c>
      <c r="G5031" s="7">
        <f>IF(ROUND(E5031+F5031-D5031,2)=0,"OK","ОШИБКА")</f>
        <v/>
      </c>
    </row>
    <row r="5032">
      <c r="A5032" s="15" t="inlineStr">
        <is>
          <t>Егоров</t>
        </is>
      </c>
      <c r="B5032" s="6" t="n">
        <v>43</v>
      </c>
      <c r="C5032" s="7">
        <f>INDEX(Нед_Раб,43)</f>
        <v/>
      </c>
      <c r="D5032" s="10">
        <f>SUM(G299:G305)</f>
        <v/>
      </c>
      <c r="E5032" s="10">
        <f>SUMIFS($G$299:$G$305,$D$299:$D$305,INDEX($D$299:$D$305,1))</f>
        <v/>
      </c>
      <c r="F5032" s="10">
        <f>SUMIFS($G$299:$G$305,$D$299:$D$305,INDEX($D$299:$D$305,7))</f>
        <v/>
      </c>
      <c r="G5032" s="7">
        <f>IF(ROUND(E5032+F5032-D5032,2)=0,"OK","ОШИБКА")</f>
        <v/>
      </c>
    </row>
    <row r="5033">
      <c r="A5033" s="15" t="inlineStr">
        <is>
          <t>Егоров</t>
        </is>
      </c>
      <c r="B5033" s="6" t="n">
        <v>44</v>
      </c>
      <c r="C5033" s="7">
        <f>INDEX(Нед_Раб,44)</f>
        <v/>
      </c>
      <c r="D5033" s="10">
        <f>SUM(G306:G312)</f>
        <v/>
      </c>
      <c r="E5033" s="10">
        <f>SUMIFS($G$306:$G$312,$D$306:$D$312,INDEX($D$306:$D$312,1))</f>
        <v/>
      </c>
      <c r="F5033" s="10">
        <f>SUMIFS($G$306:$G$312,$D$306:$D$312,INDEX($D$306:$D$312,7))</f>
        <v/>
      </c>
      <c r="G5033" s="7">
        <f>IF(ROUND(E5033+F5033-D5033,2)=0,"OK","ОШИБКА")</f>
        <v/>
      </c>
    </row>
    <row r="5034">
      <c r="A5034" s="15" t="inlineStr">
        <is>
          <t>Егоров</t>
        </is>
      </c>
      <c r="B5034" s="6" t="n">
        <v>45</v>
      </c>
      <c r="C5034" s="7">
        <f>INDEX(Нед_Раб,45)</f>
        <v/>
      </c>
      <c r="D5034" s="10">
        <f>SUM(G313:G319)</f>
        <v/>
      </c>
      <c r="E5034" s="10">
        <f>SUMIFS($G$313:$G$319,$D$313:$D$319,INDEX($D$313:$D$319,1))</f>
        <v/>
      </c>
      <c r="F5034" s="10">
        <f>SUMIFS($G$313:$G$319,$D$313:$D$319,INDEX($D$313:$D$319,7))</f>
        <v/>
      </c>
      <c r="G5034" s="7">
        <f>IF(ROUND(E5034+F5034-D5034,2)=0,"OK","ОШИБКА")</f>
        <v/>
      </c>
    </row>
    <row r="5035">
      <c r="A5035" s="15" t="inlineStr">
        <is>
          <t>Егоров</t>
        </is>
      </c>
      <c r="B5035" s="6" t="n">
        <v>46</v>
      </c>
      <c r="C5035" s="7">
        <f>INDEX(Нед_Раб,46)</f>
        <v/>
      </c>
      <c r="D5035" s="10">
        <f>SUM(G320:G326)</f>
        <v/>
      </c>
      <c r="E5035" s="10">
        <f>SUMIFS($G$320:$G$326,$D$320:$D$326,INDEX($D$320:$D$326,1))</f>
        <v/>
      </c>
      <c r="F5035" s="10">
        <f>SUMIFS($G$320:$G$326,$D$320:$D$326,INDEX($D$320:$D$326,7))</f>
        <v/>
      </c>
      <c r="G5035" s="7">
        <f>IF(ROUND(E5035+F5035-D5035,2)=0,"OK","ОШИБКА")</f>
        <v/>
      </c>
    </row>
    <row r="5036">
      <c r="A5036" s="15" t="inlineStr">
        <is>
          <t>Егоров</t>
        </is>
      </c>
      <c r="B5036" s="6" t="n">
        <v>47</v>
      </c>
      <c r="C5036" s="7">
        <f>INDEX(Нед_Раб,47)</f>
        <v/>
      </c>
      <c r="D5036" s="10">
        <f>SUM(G327:G333)</f>
        <v/>
      </c>
      <c r="E5036" s="10">
        <f>SUMIFS($G$327:$G$333,$D$327:$D$333,INDEX($D$327:$D$333,1))</f>
        <v/>
      </c>
      <c r="F5036" s="10">
        <f>SUMIFS($G$327:$G$333,$D$327:$D$333,INDEX($D$327:$D$333,7))</f>
        <v/>
      </c>
      <c r="G5036" s="7">
        <f>IF(ROUND(E5036+F5036-D5036,2)=0,"OK","ОШИБКА")</f>
        <v/>
      </c>
    </row>
    <row r="5037">
      <c r="A5037" s="15" t="inlineStr">
        <is>
          <t>Егоров</t>
        </is>
      </c>
      <c r="B5037" s="6" t="n">
        <v>48</v>
      </c>
      <c r="C5037" s="7">
        <f>INDEX(Нед_Раб,48)</f>
        <v/>
      </c>
      <c r="D5037" s="10">
        <f>SUM(G334:G340)</f>
        <v/>
      </c>
      <c r="E5037" s="10">
        <f>SUMIFS($G$334:$G$340,$D$334:$D$340,INDEX($D$334:$D$340,1))</f>
        <v/>
      </c>
      <c r="F5037" s="10">
        <f>SUMIFS($G$334:$G$340,$D$334:$D$340,INDEX($D$334:$D$340,7))</f>
        <v/>
      </c>
      <c r="G5037" s="7">
        <f>IF(ROUND(E5037+F5037-D5037,2)=0,"OK","ОШИБКА")</f>
        <v/>
      </c>
    </row>
    <row r="5038">
      <c r="A5038" s="15" t="inlineStr">
        <is>
          <t>Егоров</t>
        </is>
      </c>
      <c r="B5038" s="6" t="n">
        <v>49</v>
      </c>
      <c r="C5038" s="7">
        <f>INDEX(Нед_Раб,49)</f>
        <v/>
      </c>
      <c r="D5038" s="10">
        <f>SUM(G341:G347)</f>
        <v/>
      </c>
      <c r="E5038" s="10">
        <f>SUMIFS($G$341:$G$347,$D$341:$D$347,INDEX($D$341:$D$347,1))</f>
        <v/>
      </c>
      <c r="F5038" s="10">
        <f>SUMIFS($G$341:$G$347,$D$341:$D$347,INDEX($D$341:$D$347,7))</f>
        <v/>
      </c>
      <c r="G5038" s="7">
        <f>IF(ROUND(E5038+F5038-D5038,2)=0,"OK","ОШИБКА")</f>
        <v/>
      </c>
    </row>
    <row r="5039">
      <c r="A5039" s="15" t="inlineStr">
        <is>
          <t>Егоров</t>
        </is>
      </c>
      <c r="B5039" s="6" t="n">
        <v>50</v>
      </c>
      <c r="C5039" s="7">
        <f>INDEX(Нед_Раб,50)</f>
        <v/>
      </c>
      <c r="D5039" s="10">
        <f>SUM(G348:G354)</f>
        <v/>
      </c>
      <c r="E5039" s="10">
        <f>SUMIFS($G$348:$G$354,$D$348:$D$354,INDEX($D$348:$D$354,1))</f>
        <v/>
      </c>
      <c r="F5039" s="10">
        <f>SUMIFS($G$348:$G$354,$D$348:$D$354,INDEX($D$348:$D$354,7))</f>
        <v/>
      </c>
      <c r="G5039" s="7">
        <f>IF(ROUND(E5039+F5039-D5039,2)=0,"OK","ОШИБКА")</f>
        <v/>
      </c>
    </row>
    <row r="5040">
      <c r="A5040" s="15" t="inlineStr">
        <is>
          <t>Егоров</t>
        </is>
      </c>
      <c r="B5040" s="6" t="n">
        <v>51</v>
      </c>
      <c r="C5040" s="7">
        <f>INDEX(Нед_Раб,51)</f>
        <v/>
      </c>
      <c r="D5040" s="10">
        <f>SUM(G355:G361)</f>
        <v/>
      </c>
      <c r="E5040" s="10">
        <f>SUMIFS($G$355:$G$361,$D$355:$D$361,INDEX($D$355:$D$361,1))</f>
        <v/>
      </c>
      <c r="F5040" s="10">
        <f>SUMIFS($G$355:$G$361,$D$355:$D$361,INDEX($D$355:$D$361,7))</f>
        <v/>
      </c>
      <c r="G5040" s="7">
        <f>IF(ROUND(E5040+F5040-D5040,2)=0,"OK","ОШИБКА")</f>
        <v/>
      </c>
    </row>
    <row r="5041">
      <c r="A5041" s="15" t="inlineStr">
        <is>
          <t>Егоров</t>
        </is>
      </c>
      <c r="B5041" s="6" t="n">
        <v>52</v>
      </c>
      <c r="C5041" s="7">
        <f>INDEX(Нед_Раб,52)</f>
        <v/>
      </c>
      <c r="D5041" s="10">
        <f>SUM(G362:G368)</f>
        <v/>
      </c>
      <c r="E5041" s="10">
        <f>SUMIFS($G$362:$G$368,$D$362:$D$368,INDEX($D$362:$D$368,1))</f>
        <v/>
      </c>
      <c r="F5041" s="10">
        <f>SUMIFS($G$362:$G$368,$D$362:$D$368,INDEX($D$362:$D$368,7))</f>
        <v/>
      </c>
      <c r="G5041" s="7">
        <f>IF(ROUND(E5041+F5041-D5041,2)=0,"OK","ОШИБКА")</f>
        <v/>
      </c>
    </row>
    <row r="5042">
      <c r="A5042" s="15" t="inlineStr">
        <is>
          <t>Егоров</t>
        </is>
      </c>
      <c r="B5042" s="6" t="n">
        <v>53</v>
      </c>
      <c r="C5042" s="7">
        <f>INDEX(Нед_Раб,53)</f>
        <v/>
      </c>
      <c r="D5042" s="10">
        <f>SUM(G369:G375)</f>
        <v/>
      </c>
      <c r="E5042" s="10">
        <f>SUMIFS($G$369:$G$375,$D$369:$D$375,INDEX($D$369:$D$375,1))</f>
        <v/>
      </c>
      <c r="F5042" s="10">
        <f>SUMIFS($G$369:$G$375,$D$369:$D$375,INDEX($D$369:$D$375,7))</f>
        <v/>
      </c>
      <c r="G5042" s="7">
        <f>IF(ROUND(E5042+F5042-D5042,2)=0,"OK","ОШИБКА")</f>
        <v/>
      </c>
    </row>
    <row r="5043">
      <c r="A5043" s="15" t="inlineStr">
        <is>
          <t>Павлова</t>
        </is>
      </c>
      <c r="B5043" s="6" t="n">
        <v>1</v>
      </c>
      <c r="C5043" s="7">
        <f>INDEX(Нед_Раб,1)</f>
        <v/>
      </c>
      <c r="D5043" s="10">
        <f>SUM(G5:G11)</f>
        <v/>
      </c>
      <c r="E5043" s="10">
        <f>SUMIFS($G$5:$G$11,$D$5:$D$11,INDEX($D$5:$D$11,1))</f>
        <v/>
      </c>
      <c r="F5043" s="10">
        <f>SUMIFS($G$5:$G$11,$D$5:$D$11,INDEX($D$5:$D$11,7))</f>
        <v/>
      </c>
      <c r="G5043" s="7">
        <f>IF(ROUND(E5043+F5043-D5043,2)=0,"OK","ОШИБКА")</f>
        <v/>
      </c>
    </row>
    <row r="5044">
      <c r="A5044" s="15" t="inlineStr">
        <is>
          <t>Павлова</t>
        </is>
      </c>
      <c r="B5044" s="6" t="n">
        <v>2</v>
      </c>
      <c r="C5044" s="7">
        <f>INDEX(Нед_Раб,2)</f>
        <v/>
      </c>
      <c r="D5044" s="10">
        <f>SUM(G12:G18)</f>
        <v/>
      </c>
      <c r="E5044" s="10">
        <f>SUMIFS($G$12:$G$18,$D$12:$D$18,INDEX($D$12:$D$18,1))</f>
        <v/>
      </c>
      <c r="F5044" s="10">
        <f>SUMIFS($G$12:$G$18,$D$12:$D$18,INDEX($D$12:$D$18,7))</f>
        <v/>
      </c>
      <c r="G5044" s="7">
        <f>IF(ROUND(E5044+F5044-D5044,2)=0,"OK","ОШИБКА")</f>
        <v/>
      </c>
    </row>
    <row r="5045">
      <c r="A5045" s="15" t="inlineStr">
        <is>
          <t>Павлова</t>
        </is>
      </c>
      <c r="B5045" s="6" t="n">
        <v>3</v>
      </c>
      <c r="C5045" s="7">
        <f>INDEX(Нед_Раб,3)</f>
        <v/>
      </c>
      <c r="D5045" s="10">
        <f>SUM(G19:G25)</f>
        <v/>
      </c>
      <c r="E5045" s="10">
        <f>SUMIFS($G$19:$G$25,$D$19:$D$25,INDEX($D$19:$D$25,1))</f>
        <v/>
      </c>
      <c r="F5045" s="10">
        <f>SUMIFS($G$19:$G$25,$D$19:$D$25,INDEX($D$19:$D$25,7))</f>
        <v/>
      </c>
      <c r="G5045" s="7">
        <f>IF(ROUND(E5045+F5045-D5045,2)=0,"OK","ОШИБКА")</f>
        <v/>
      </c>
    </row>
    <row r="5046">
      <c r="A5046" s="15" t="inlineStr">
        <is>
          <t>Павлова</t>
        </is>
      </c>
      <c r="B5046" s="6" t="n">
        <v>4</v>
      </c>
      <c r="C5046" s="7">
        <f>INDEX(Нед_Раб,4)</f>
        <v/>
      </c>
      <c r="D5046" s="10">
        <f>SUM(G26:G32)</f>
        <v/>
      </c>
      <c r="E5046" s="10">
        <f>SUMIFS($G$26:$G$32,$D$26:$D$32,INDEX($D$26:$D$32,1))</f>
        <v/>
      </c>
      <c r="F5046" s="10">
        <f>SUMIFS($G$26:$G$32,$D$26:$D$32,INDEX($D$26:$D$32,7))</f>
        <v/>
      </c>
      <c r="G5046" s="7">
        <f>IF(ROUND(E5046+F5046-D5046,2)=0,"OK","ОШИБКА")</f>
        <v/>
      </c>
    </row>
    <row r="5047">
      <c r="A5047" s="15" t="inlineStr">
        <is>
          <t>Павлова</t>
        </is>
      </c>
      <c r="B5047" s="6" t="n">
        <v>5</v>
      </c>
      <c r="C5047" s="7">
        <f>INDEX(Нед_Раб,5)</f>
        <v/>
      </c>
      <c r="D5047" s="10">
        <f>SUM(G33:G39)</f>
        <v/>
      </c>
      <c r="E5047" s="10">
        <f>SUMIFS($G$33:$G$39,$D$33:$D$39,INDEX($D$33:$D$39,1))</f>
        <v/>
      </c>
      <c r="F5047" s="10">
        <f>SUMIFS($G$33:$G$39,$D$33:$D$39,INDEX($D$33:$D$39,7))</f>
        <v/>
      </c>
      <c r="G5047" s="7">
        <f>IF(ROUND(E5047+F5047-D5047,2)=0,"OK","ОШИБКА")</f>
        <v/>
      </c>
    </row>
    <row r="5048">
      <c r="A5048" s="15" t="inlineStr">
        <is>
          <t>Павлова</t>
        </is>
      </c>
      <c r="B5048" s="6" t="n">
        <v>6</v>
      </c>
      <c r="C5048" s="7">
        <f>INDEX(Нед_Раб,6)</f>
        <v/>
      </c>
      <c r="D5048" s="10">
        <f>SUM(G40:G46)</f>
        <v/>
      </c>
      <c r="E5048" s="10">
        <f>SUMIFS($G$40:$G$46,$D$40:$D$46,INDEX($D$40:$D$46,1))</f>
        <v/>
      </c>
      <c r="F5048" s="10">
        <f>SUMIFS($G$40:$G$46,$D$40:$D$46,INDEX($D$40:$D$46,7))</f>
        <v/>
      </c>
      <c r="G5048" s="7">
        <f>IF(ROUND(E5048+F5048-D5048,2)=0,"OK","ОШИБКА")</f>
        <v/>
      </c>
    </row>
    <row r="5049">
      <c r="A5049" s="15" t="inlineStr">
        <is>
          <t>Павлова</t>
        </is>
      </c>
      <c r="B5049" s="6" t="n">
        <v>7</v>
      </c>
      <c r="C5049" s="7">
        <f>INDEX(Нед_Раб,7)</f>
        <v/>
      </c>
      <c r="D5049" s="10">
        <f>SUM(G47:G53)</f>
        <v/>
      </c>
      <c r="E5049" s="10">
        <f>SUMIFS($G$47:$G$53,$D$47:$D$53,INDEX($D$47:$D$53,1))</f>
        <v/>
      </c>
      <c r="F5049" s="10">
        <f>SUMIFS($G$47:$G$53,$D$47:$D$53,INDEX($D$47:$D$53,7))</f>
        <v/>
      </c>
      <c r="G5049" s="7">
        <f>IF(ROUND(E5049+F5049-D5049,2)=0,"OK","ОШИБКА")</f>
        <v/>
      </c>
    </row>
    <row r="5050">
      <c r="A5050" s="15" t="inlineStr">
        <is>
          <t>Павлова</t>
        </is>
      </c>
      <c r="B5050" s="6" t="n">
        <v>8</v>
      </c>
      <c r="C5050" s="7">
        <f>INDEX(Нед_Раб,8)</f>
        <v/>
      </c>
      <c r="D5050" s="10">
        <f>SUM(G54:G60)</f>
        <v/>
      </c>
      <c r="E5050" s="10">
        <f>SUMIFS($G$54:$G$60,$D$54:$D$60,INDEX($D$54:$D$60,1))</f>
        <v/>
      </c>
      <c r="F5050" s="10">
        <f>SUMIFS($G$54:$G$60,$D$54:$D$60,INDEX($D$54:$D$60,7))</f>
        <v/>
      </c>
      <c r="G5050" s="7">
        <f>IF(ROUND(E5050+F5050-D5050,2)=0,"OK","ОШИБКА")</f>
        <v/>
      </c>
    </row>
    <row r="5051">
      <c r="A5051" s="15" t="inlineStr">
        <is>
          <t>Павлова</t>
        </is>
      </c>
      <c r="B5051" s="6" t="n">
        <v>9</v>
      </c>
      <c r="C5051" s="7">
        <f>INDEX(Нед_Раб,9)</f>
        <v/>
      </c>
      <c r="D5051" s="10">
        <f>SUM(G61:G67)</f>
        <v/>
      </c>
      <c r="E5051" s="10">
        <f>SUMIFS($G$61:$G$67,$D$61:$D$67,INDEX($D$61:$D$67,1))</f>
        <v/>
      </c>
      <c r="F5051" s="10">
        <f>SUMIFS($G$61:$G$67,$D$61:$D$67,INDEX($D$61:$D$67,7))</f>
        <v/>
      </c>
      <c r="G5051" s="7">
        <f>IF(ROUND(E5051+F5051-D5051,2)=0,"OK","ОШИБКА")</f>
        <v/>
      </c>
    </row>
    <row r="5052">
      <c r="A5052" s="15" t="inlineStr">
        <is>
          <t>Павлова</t>
        </is>
      </c>
      <c r="B5052" s="6" t="n">
        <v>10</v>
      </c>
      <c r="C5052" s="7">
        <f>INDEX(Нед_Раб,10)</f>
        <v/>
      </c>
      <c r="D5052" s="10">
        <f>SUM(G68:G74)</f>
        <v/>
      </c>
      <c r="E5052" s="10">
        <f>SUMIFS($G$68:$G$74,$D$68:$D$74,INDEX($D$68:$D$74,1))</f>
        <v/>
      </c>
      <c r="F5052" s="10">
        <f>SUMIFS($G$68:$G$74,$D$68:$D$74,INDEX($D$68:$D$74,7))</f>
        <v/>
      </c>
      <c r="G5052" s="7">
        <f>IF(ROUND(E5052+F5052-D5052,2)=0,"OK","ОШИБКА")</f>
        <v/>
      </c>
    </row>
    <row r="5053">
      <c r="A5053" s="15" t="inlineStr">
        <is>
          <t>Павлова</t>
        </is>
      </c>
      <c r="B5053" s="6" t="n">
        <v>11</v>
      </c>
      <c r="C5053" s="7">
        <f>INDEX(Нед_Раб,11)</f>
        <v/>
      </c>
      <c r="D5053" s="10">
        <f>SUM(G75:G81)</f>
        <v/>
      </c>
      <c r="E5053" s="10">
        <f>SUMIFS($G$75:$G$81,$D$75:$D$81,INDEX($D$75:$D$81,1))</f>
        <v/>
      </c>
      <c r="F5053" s="10">
        <f>SUMIFS($G$75:$G$81,$D$75:$D$81,INDEX($D$75:$D$81,7))</f>
        <v/>
      </c>
      <c r="G5053" s="7">
        <f>IF(ROUND(E5053+F5053-D5053,2)=0,"OK","ОШИБКА")</f>
        <v/>
      </c>
    </row>
    <row r="5054">
      <c r="A5054" s="15" t="inlineStr">
        <is>
          <t>Павлова</t>
        </is>
      </c>
      <c r="B5054" s="6" t="n">
        <v>12</v>
      </c>
      <c r="C5054" s="7">
        <f>INDEX(Нед_Раб,12)</f>
        <v/>
      </c>
      <c r="D5054" s="10">
        <f>SUM(G82:G88)</f>
        <v/>
      </c>
      <c r="E5054" s="10">
        <f>SUMIFS($G$82:$G$88,$D$82:$D$88,INDEX($D$82:$D$88,1))</f>
        <v/>
      </c>
      <c r="F5054" s="10">
        <f>SUMIFS($G$82:$G$88,$D$82:$D$88,INDEX($D$82:$D$88,7))</f>
        <v/>
      </c>
      <c r="G5054" s="7">
        <f>IF(ROUND(E5054+F5054-D5054,2)=0,"OK","ОШИБКА")</f>
        <v/>
      </c>
    </row>
    <row r="5055">
      <c r="A5055" s="15" t="inlineStr">
        <is>
          <t>Павлова</t>
        </is>
      </c>
      <c r="B5055" s="6" t="n">
        <v>13</v>
      </c>
      <c r="C5055" s="7">
        <f>INDEX(Нед_Раб,13)</f>
        <v/>
      </c>
      <c r="D5055" s="10">
        <f>SUM(G89:G95)</f>
        <v/>
      </c>
      <c r="E5055" s="10">
        <f>SUMIFS($G$89:$G$95,$D$89:$D$95,INDEX($D$89:$D$95,1))</f>
        <v/>
      </c>
      <c r="F5055" s="10">
        <f>SUMIFS($G$89:$G$95,$D$89:$D$95,INDEX($D$89:$D$95,7))</f>
        <v/>
      </c>
      <c r="G5055" s="7">
        <f>IF(ROUND(E5055+F5055-D5055,2)=0,"OK","ОШИБКА")</f>
        <v/>
      </c>
    </row>
    <row r="5056">
      <c r="A5056" s="15" t="inlineStr">
        <is>
          <t>Павлова</t>
        </is>
      </c>
      <c r="B5056" s="6" t="n">
        <v>14</v>
      </c>
      <c r="C5056" s="7">
        <f>INDEX(Нед_Раб,14)</f>
        <v/>
      </c>
      <c r="D5056" s="10">
        <f>SUM(G96:G102)</f>
        <v/>
      </c>
      <c r="E5056" s="10">
        <f>SUMIFS($G$96:$G$102,$D$96:$D$102,INDEX($D$96:$D$102,1))</f>
        <v/>
      </c>
      <c r="F5056" s="10">
        <f>SUMIFS($G$96:$G$102,$D$96:$D$102,INDEX($D$96:$D$102,7))</f>
        <v/>
      </c>
      <c r="G5056" s="7">
        <f>IF(ROUND(E5056+F5056-D5056,2)=0,"OK","ОШИБКА")</f>
        <v/>
      </c>
    </row>
    <row r="5057">
      <c r="A5057" s="15" t="inlineStr">
        <is>
          <t>Павлова</t>
        </is>
      </c>
      <c r="B5057" s="6" t="n">
        <v>15</v>
      </c>
      <c r="C5057" s="7">
        <f>INDEX(Нед_Раб,15)</f>
        <v/>
      </c>
      <c r="D5057" s="10">
        <f>SUM(G103:G109)</f>
        <v/>
      </c>
      <c r="E5057" s="10">
        <f>SUMIFS($G$103:$G$109,$D$103:$D$109,INDEX($D$103:$D$109,1))</f>
        <v/>
      </c>
      <c r="F5057" s="10">
        <f>SUMIFS($G$103:$G$109,$D$103:$D$109,INDEX($D$103:$D$109,7))</f>
        <v/>
      </c>
      <c r="G5057" s="7">
        <f>IF(ROUND(E5057+F5057-D5057,2)=0,"OK","ОШИБКА")</f>
        <v/>
      </c>
    </row>
    <row r="5058">
      <c r="A5058" s="15" t="inlineStr">
        <is>
          <t>Павлова</t>
        </is>
      </c>
      <c r="B5058" s="6" t="n">
        <v>16</v>
      </c>
      <c r="C5058" s="7">
        <f>INDEX(Нед_Раб,16)</f>
        <v/>
      </c>
      <c r="D5058" s="10">
        <f>SUM(G110:G116)</f>
        <v/>
      </c>
      <c r="E5058" s="10">
        <f>SUMIFS($G$110:$G$116,$D$110:$D$116,INDEX($D$110:$D$116,1))</f>
        <v/>
      </c>
      <c r="F5058" s="10">
        <f>SUMIFS($G$110:$G$116,$D$110:$D$116,INDEX($D$110:$D$116,7))</f>
        <v/>
      </c>
      <c r="G5058" s="7">
        <f>IF(ROUND(E5058+F5058-D5058,2)=0,"OK","ОШИБКА")</f>
        <v/>
      </c>
    </row>
    <row r="5059">
      <c r="A5059" s="15" t="inlineStr">
        <is>
          <t>Павлова</t>
        </is>
      </c>
      <c r="B5059" s="6" t="n">
        <v>17</v>
      </c>
      <c r="C5059" s="7">
        <f>INDEX(Нед_Раб,17)</f>
        <v/>
      </c>
      <c r="D5059" s="10">
        <f>SUM(G117:G123)</f>
        <v/>
      </c>
      <c r="E5059" s="10">
        <f>SUMIFS($G$117:$G$123,$D$117:$D$123,INDEX($D$117:$D$123,1))</f>
        <v/>
      </c>
      <c r="F5059" s="10">
        <f>SUMIFS($G$117:$G$123,$D$117:$D$123,INDEX($D$117:$D$123,7))</f>
        <v/>
      </c>
      <c r="G5059" s="7">
        <f>IF(ROUND(E5059+F5059-D5059,2)=0,"OK","ОШИБКА")</f>
        <v/>
      </c>
    </row>
    <row r="5060">
      <c r="A5060" s="15" t="inlineStr">
        <is>
          <t>Павлова</t>
        </is>
      </c>
      <c r="B5060" s="6" t="n">
        <v>18</v>
      </c>
      <c r="C5060" s="7">
        <f>INDEX(Нед_Раб,18)</f>
        <v/>
      </c>
      <c r="D5060" s="10">
        <f>SUM(G124:G130)</f>
        <v/>
      </c>
      <c r="E5060" s="10">
        <f>SUMIFS($G$124:$G$130,$D$124:$D$130,INDEX($D$124:$D$130,1))</f>
        <v/>
      </c>
      <c r="F5060" s="10">
        <f>SUMIFS($G$124:$G$130,$D$124:$D$130,INDEX($D$124:$D$130,7))</f>
        <v/>
      </c>
      <c r="G5060" s="7">
        <f>IF(ROUND(E5060+F5060-D5060,2)=0,"OK","ОШИБКА")</f>
        <v/>
      </c>
    </row>
    <row r="5061">
      <c r="A5061" s="15" t="inlineStr">
        <is>
          <t>Павлова</t>
        </is>
      </c>
      <c r="B5061" s="6" t="n">
        <v>19</v>
      </c>
      <c r="C5061" s="7">
        <f>INDEX(Нед_Раб,19)</f>
        <v/>
      </c>
      <c r="D5061" s="10">
        <f>SUM(G131:G137)</f>
        <v/>
      </c>
      <c r="E5061" s="10">
        <f>SUMIFS($G$131:$G$137,$D$131:$D$137,INDEX($D$131:$D$137,1))</f>
        <v/>
      </c>
      <c r="F5061" s="10">
        <f>SUMIFS($G$131:$G$137,$D$131:$D$137,INDEX($D$131:$D$137,7))</f>
        <v/>
      </c>
      <c r="G5061" s="7">
        <f>IF(ROUND(E5061+F5061-D5061,2)=0,"OK","ОШИБКА")</f>
        <v/>
      </c>
    </row>
    <row r="5062">
      <c r="A5062" s="15" t="inlineStr">
        <is>
          <t>Павлова</t>
        </is>
      </c>
      <c r="B5062" s="6" t="n">
        <v>20</v>
      </c>
      <c r="C5062" s="7">
        <f>INDEX(Нед_Раб,20)</f>
        <v/>
      </c>
      <c r="D5062" s="10">
        <f>SUM(G138:G144)</f>
        <v/>
      </c>
      <c r="E5062" s="10">
        <f>SUMIFS($G$138:$G$144,$D$138:$D$144,INDEX($D$138:$D$144,1))</f>
        <v/>
      </c>
      <c r="F5062" s="10">
        <f>SUMIFS($G$138:$G$144,$D$138:$D$144,INDEX($D$138:$D$144,7))</f>
        <v/>
      </c>
      <c r="G5062" s="7">
        <f>IF(ROUND(E5062+F5062-D5062,2)=0,"OK","ОШИБКА")</f>
        <v/>
      </c>
    </row>
    <row r="5063">
      <c r="A5063" s="15" t="inlineStr">
        <is>
          <t>Павлова</t>
        </is>
      </c>
      <c r="B5063" s="6" t="n">
        <v>21</v>
      </c>
      <c r="C5063" s="7">
        <f>INDEX(Нед_Раб,21)</f>
        <v/>
      </c>
      <c r="D5063" s="10">
        <f>SUM(G145:G151)</f>
        <v/>
      </c>
      <c r="E5063" s="10">
        <f>SUMIFS($G$145:$G$151,$D$145:$D$151,INDEX($D$145:$D$151,1))</f>
        <v/>
      </c>
      <c r="F5063" s="10">
        <f>SUMIFS($G$145:$G$151,$D$145:$D$151,INDEX($D$145:$D$151,7))</f>
        <v/>
      </c>
      <c r="G5063" s="7">
        <f>IF(ROUND(E5063+F5063-D5063,2)=0,"OK","ОШИБКА")</f>
        <v/>
      </c>
    </row>
    <row r="5064">
      <c r="A5064" s="15" t="inlineStr">
        <is>
          <t>Павлова</t>
        </is>
      </c>
      <c r="B5064" s="6" t="n">
        <v>22</v>
      </c>
      <c r="C5064" s="7">
        <f>INDEX(Нед_Раб,22)</f>
        <v/>
      </c>
      <c r="D5064" s="10">
        <f>SUM(G152:G158)</f>
        <v/>
      </c>
      <c r="E5064" s="10">
        <f>SUMIFS($G$152:$G$158,$D$152:$D$158,INDEX($D$152:$D$158,1))</f>
        <v/>
      </c>
      <c r="F5064" s="10">
        <f>SUMIFS($G$152:$G$158,$D$152:$D$158,INDEX($D$152:$D$158,7))</f>
        <v/>
      </c>
      <c r="G5064" s="7">
        <f>IF(ROUND(E5064+F5064-D5064,2)=0,"OK","ОШИБКА")</f>
        <v/>
      </c>
    </row>
    <row r="5065">
      <c r="A5065" s="15" t="inlineStr">
        <is>
          <t>Павлова</t>
        </is>
      </c>
      <c r="B5065" s="6" t="n">
        <v>23</v>
      </c>
      <c r="C5065" s="7">
        <f>INDEX(Нед_Раб,23)</f>
        <v/>
      </c>
      <c r="D5065" s="10">
        <f>SUM(G159:G165)</f>
        <v/>
      </c>
      <c r="E5065" s="10">
        <f>SUMIFS($G$159:$G$165,$D$159:$D$165,INDEX($D$159:$D$165,1))</f>
        <v/>
      </c>
      <c r="F5065" s="10">
        <f>SUMIFS($G$159:$G$165,$D$159:$D$165,INDEX($D$159:$D$165,7))</f>
        <v/>
      </c>
      <c r="G5065" s="7">
        <f>IF(ROUND(E5065+F5065-D5065,2)=0,"OK","ОШИБКА")</f>
        <v/>
      </c>
    </row>
    <row r="5066">
      <c r="A5066" s="15" t="inlineStr">
        <is>
          <t>Павлова</t>
        </is>
      </c>
      <c r="B5066" s="6" t="n">
        <v>24</v>
      </c>
      <c r="C5066" s="7">
        <f>INDEX(Нед_Раб,24)</f>
        <v/>
      </c>
      <c r="D5066" s="10">
        <f>SUM(G166:G172)</f>
        <v/>
      </c>
      <c r="E5066" s="10">
        <f>SUMIFS($G$166:$G$172,$D$166:$D$172,INDEX($D$166:$D$172,1))</f>
        <v/>
      </c>
      <c r="F5066" s="10">
        <f>SUMIFS($G$166:$G$172,$D$166:$D$172,INDEX($D$166:$D$172,7))</f>
        <v/>
      </c>
      <c r="G5066" s="7">
        <f>IF(ROUND(E5066+F5066-D5066,2)=0,"OK","ОШИБКА")</f>
        <v/>
      </c>
    </row>
    <row r="5067">
      <c r="A5067" s="15" t="inlineStr">
        <is>
          <t>Павлова</t>
        </is>
      </c>
      <c r="B5067" s="6" t="n">
        <v>25</v>
      </c>
      <c r="C5067" s="7">
        <f>INDEX(Нед_Раб,25)</f>
        <v/>
      </c>
      <c r="D5067" s="10">
        <f>SUM(G173:G179)</f>
        <v/>
      </c>
      <c r="E5067" s="10">
        <f>SUMIFS($G$173:$G$179,$D$173:$D$179,INDEX($D$173:$D$179,1))</f>
        <v/>
      </c>
      <c r="F5067" s="10">
        <f>SUMIFS($G$173:$G$179,$D$173:$D$179,INDEX($D$173:$D$179,7))</f>
        <v/>
      </c>
      <c r="G5067" s="7">
        <f>IF(ROUND(E5067+F5067-D5067,2)=0,"OK","ОШИБКА")</f>
        <v/>
      </c>
    </row>
    <row r="5068">
      <c r="A5068" s="15" t="inlineStr">
        <is>
          <t>Павлова</t>
        </is>
      </c>
      <c r="B5068" s="6" t="n">
        <v>26</v>
      </c>
      <c r="C5068" s="7">
        <f>INDEX(Нед_Раб,26)</f>
        <v/>
      </c>
      <c r="D5068" s="10">
        <f>SUM(G180:G186)</f>
        <v/>
      </c>
      <c r="E5068" s="10">
        <f>SUMIFS($G$180:$G$186,$D$180:$D$186,INDEX($D$180:$D$186,1))</f>
        <v/>
      </c>
      <c r="F5068" s="10">
        <f>SUMIFS($G$180:$G$186,$D$180:$D$186,INDEX($D$180:$D$186,7))</f>
        <v/>
      </c>
      <c r="G5068" s="7">
        <f>IF(ROUND(E5068+F5068-D5068,2)=0,"OK","ОШИБКА")</f>
        <v/>
      </c>
    </row>
    <row r="5069">
      <c r="A5069" s="15" t="inlineStr">
        <is>
          <t>Павлова</t>
        </is>
      </c>
      <c r="B5069" s="6" t="n">
        <v>27</v>
      </c>
      <c r="C5069" s="7">
        <f>INDEX(Нед_Раб,27)</f>
        <v/>
      </c>
      <c r="D5069" s="10">
        <f>SUM(G187:G193)</f>
        <v/>
      </c>
      <c r="E5069" s="10">
        <f>SUMIFS($G$187:$G$193,$D$187:$D$193,INDEX($D$187:$D$193,1))</f>
        <v/>
      </c>
      <c r="F5069" s="10">
        <f>SUMIFS($G$187:$G$193,$D$187:$D$193,INDEX($D$187:$D$193,7))</f>
        <v/>
      </c>
      <c r="G5069" s="7">
        <f>IF(ROUND(E5069+F5069-D5069,2)=0,"OK","ОШИБКА")</f>
        <v/>
      </c>
    </row>
    <row r="5070">
      <c r="A5070" s="15" t="inlineStr">
        <is>
          <t>Павлова</t>
        </is>
      </c>
      <c r="B5070" s="6" t="n">
        <v>28</v>
      </c>
      <c r="C5070" s="7">
        <f>INDEX(Нед_Раб,28)</f>
        <v/>
      </c>
      <c r="D5070" s="10">
        <f>SUM(G194:G200)</f>
        <v/>
      </c>
      <c r="E5070" s="10">
        <f>SUMIFS($G$194:$G$200,$D$194:$D$200,INDEX($D$194:$D$200,1))</f>
        <v/>
      </c>
      <c r="F5070" s="10">
        <f>SUMIFS($G$194:$G$200,$D$194:$D$200,INDEX($D$194:$D$200,7))</f>
        <v/>
      </c>
      <c r="G5070" s="7">
        <f>IF(ROUND(E5070+F5070-D5070,2)=0,"OK","ОШИБКА")</f>
        <v/>
      </c>
    </row>
    <row r="5071">
      <c r="A5071" s="15" t="inlineStr">
        <is>
          <t>Павлова</t>
        </is>
      </c>
      <c r="B5071" s="6" t="n">
        <v>29</v>
      </c>
      <c r="C5071" s="7">
        <f>INDEX(Нед_Раб,29)</f>
        <v/>
      </c>
      <c r="D5071" s="10">
        <f>SUM(G201:G207)</f>
        <v/>
      </c>
      <c r="E5071" s="10">
        <f>SUMIFS($G$201:$G$207,$D$201:$D$207,INDEX($D$201:$D$207,1))</f>
        <v/>
      </c>
      <c r="F5071" s="10">
        <f>SUMIFS($G$201:$G$207,$D$201:$D$207,INDEX($D$201:$D$207,7))</f>
        <v/>
      </c>
      <c r="G5071" s="7">
        <f>IF(ROUND(E5071+F5071-D5071,2)=0,"OK","ОШИБКА")</f>
        <v/>
      </c>
    </row>
    <row r="5072">
      <c r="A5072" s="15" t="inlineStr">
        <is>
          <t>Павлова</t>
        </is>
      </c>
      <c r="B5072" s="6" t="n">
        <v>30</v>
      </c>
      <c r="C5072" s="7">
        <f>INDEX(Нед_Раб,30)</f>
        <v/>
      </c>
      <c r="D5072" s="10">
        <f>SUM(G208:G214)</f>
        <v/>
      </c>
      <c r="E5072" s="10">
        <f>SUMIFS($G$208:$G$214,$D$208:$D$214,INDEX($D$208:$D$214,1))</f>
        <v/>
      </c>
      <c r="F5072" s="10">
        <f>SUMIFS($G$208:$G$214,$D$208:$D$214,INDEX($D$208:$D$214,7))</f>
        <v/>
      </c>
      <c r="G5072" s="7">
        <f>IF(ROUND(E5072+F5072-D5072,2)=0,"OK","ОШИБКА")</f>
        <v/>
      </c>
    </row>
    <row r="5073">
      <c r="A5073" s="15" t="inlineStr">
        <is>
          <t>Павлова</t>
        </is>
      </c>
      <c r="B5073" s="6" t="n">
        <v>31</v>
      </c>
      <c r="C5073" s="7">
        <f>INDEX(Нед_Раб,31)</f>
        <v/>
      </c>
      <c r="D5073" s="10">
        <f>SUM(G215:G221)</f>
        <v/>
      </c>
      <c r="E5073" s="10">
        <f>SUMIFS($G$215:$G$221,$D$215:$D$221,INDEX($D$215:$D$221,1))</f>
        <v/>
      </c>
      <c r="F5073" s="10">
        <f>SUMIFS($G$215:$G$221,$D$215:$D$221,INDEX($D$215:$D$221,7))</f>
        <v/>
      </c>
      <c r="G5073" s="7">
        <f>IF(ROUND(E5073+F5073-D5073,2)=0,"OK","ОШИБКА")</f>
        <v/>
      </c>
    </row>
    <row r="5074">
      <c r="A5074" s="15" t="inlineStr">
        <is>
          <t>Павлова</t>
        </is>
      </c>
      <c r="B5074" s="6" t="n">
        <v>32</v>
      </c>
      <c r="C5074" s="7">
        <f>INDEX(Нед_Раб,32)</f>
        <v/>
      </c>
      <c r="D5074" s="10">
        <f>SUM(G222:G228)</f>
        <v/>
      </c>
      <c r="E5074" s="10">
        <f>SUMIFS($G$222:$G$228,$D$222:$D$228,INDEX($D$222:$D$228,1))</f>
        <v/>
      </c>
      <c r="F5074" s="10">
        <f>SUMIFS($G$222:$G$228,$D$222:$D$228,INDEX($D$222:$D$228,7))</f>
        <v/>
      </c>
      <c r="G5074" s="7">
        <f>IF(ROUND(E5074+F5074-D5074,2)=0,"OK","ОШИБКА")</f>
        <v/>
      </c>
    </row>
    <row r="5075">
      <c r="A5075" s="15" t="inlineStr">
        <is>
          <t>Павлова</t>
        </is>
      </c>
      <c r="B5075" s="6" t="n">
        <v>33</v>
      </c>
      <c r="C5075" s="7">
        <f>INDEX(Нед_Раб,33)</f>
        <v/>
      </c>
      <c r="D5075" s="10">
        <f>SUM(G229:G235)</f>
        <v/>
      </c>
      <c r="E5075" s="10">
        <f>SUMIFS($G$229:$G$235,$D$229:$D$235,INDEX($D$229:$D$235,1))</f>
        <v/>
      </c>
      <c r="F5075" s="10">
        <f>SUMIFS($G$229:$G$235,$D$229:$D$235,INDEX($D$229:$D$235,7))</f>
        <v/>
      </c>
      <c r="G5075" s="7">
        <f>IF(ROUND(E5075+F5075-D5075,2)=0,"OK","ОШИБКА")</f>
        <v/>
      </c>
    </row>
    <row r="5076">
      <c r="A5076" s="15" t="inlineStr">
        <is>
          <t>Павлова</t>
        </is>
      </c>
      <c r="B5076" s="6" t="n">
        <v>34</v>
      </c>
      <c r="C5076" s="7">
        <f>INDEX(Нед_Раб,34)</f>
        <v/>
      </c>
      <c r="D5076" s="10">
        <f>SUM(G236:G242)</f>
        <v/>
      </c>
      <c r="E5076" s="10">
        <f>SUMIFS($G$236:$G$242,$D$236:$D$242,INDEX($D$236:$D$242,1))</f>
        <v/>
      </c>
      <c r="F5076" s="10">
        <f>SUMIFS($G$236:$G$242,$D$236:$D$242,INDEX($D$236:$D$242,7))</f>
        <v/>
      </c>
      <c r="G5076" s="7">
        <f>IF(ROUND(E5076+F5076-D5076,2)=0,"OK","ОШИБКА")</f>
        <v/>
      </c>
    </row>
    <row r="5077">
      <c r="A5077" s="15" t="inlineStr">
        <is>
          <t>Павлова</t>
        </is>
      </c>
      <c r="B5077" s="6" t="n">
        <v>35</v>
      </c>
      <c r="C5077" s="7">
        <f>INDEX(Нед_Раб,35)</f>
        <v/>
      </c>
      <c r="D5077" s="10">
        <f>SUM(G243:G249)</f>
        <v/>
      </c>
      <c r="E5077" s="10">
        <f>SUMIFS($G$243:$G$249,$D$243:$D$249,INDEX($D$243:$D$249,1))</f>
        <v/>
      </c>
      <c r="F5077" s="10">
        <f>SUMIFS($G$243:$G$249,$D$243:$D$249,INDEX($D$243:$D$249,7))</f>
        <v/>
      </c>
      <c r="G5077" s="7">
        <f>IF(ROUND(E5077+F5077-D5077,2)=0,"OK","ОШИБКА")</f>
        <v/>
      </c>
    </row>
    <row r="5078">
      <c r="A5078" s="15" t="inlineStr">
        <is>
          <t>Павлова</t>
        </is>
      </c>
      <c r="B5078" s="6" t="n">
        <v>36</v>
      </c>
      <c r="C5078" s="7">
        <f>INDEX(Нед_Раб,36)</f>
        <v/>
      </c>
      <c r="D5078" s="10">
        <f>SUM(G250:G256)</f>
        <v/>
      </c>
      <c r="E5078" s="10">
        <f>SUMIFS($G$250:$G$256,$D$250:$D$256,INDEX($D$250:$D$256,1))</f>
        <v/>
      </c>
      <c r="F5078" s="10">
        <f>SUMIFS($G$250:$G$256,$D$250:$D$256,INDEX($D$250:$D$256,7))</f>
        <v/>
      </c>
      <c r="G5078" s="7">
        <f>IF(ROUND(E5078+F5078-D5078,2)=0,"OK","ОШИБКА")</f>
        <v/>
      </c>
    </row>
    <row r="5079">
      <c r="A5079" s="15" t="inlineStr">
        <is>
          <t>Павлова</t>
        </is>
      </c>
      <c r="B5079" s="6" t="n">
        <v>37</v>
      </c>
      <c r="C5079" s="7">
        <f>INDEX(Нед_Раб,37)</f>
        <v/>
      </c>
      <c r="D5079" s="10">
        <f>SUM(G257:G263)</f>
        <v/>
      </c>
      <c r="E5079" s="10">
        <f>SUMIFS($G$257:$G$263,$D$257:$D$263,INDEX($D$257:$D$263,1))</f>
        <v/>
      </c>
      <c r="F5079" s="10">
        <f>SUMIFS($G$257:$G$263,$D$257:$D$263,INDEX($D$257:$D$263,7))</f>
        <v/>
      </c>
      <c r="G5079" s="7">
        <f>IF(ROUND(E5079+F5079-D5079,2)=0,"OK","ОШИБКА")</f>
        <v/>
      </c>
    </row>
    <row r="5080">
      <c r="A5080" s="15" t="inlineStr">
        <is>
          <t>Павлова</t>
        </is>
      </c>
      <c r="B5080" s="6" t="n">
        <v>38</v>
      </c>
      <c r="C5080" s="7">
        <f>INDEX(Нед_Раб,38)</f>
        <v/>
      </c>
      <c r="D5080" s="10">
        <f>SUM(G264:G270)</f>
        <v/>
      </c>
      <c r="E5080" s="10">
        <f>SUMIFS($G$264:$G$270,$D$264:$D$270,INDEX($D$264:$D$270,1))</f>
        <v/>
      </c>
      <c r="F5080" s="10">
        <f>SUMIFS($G$264:$G$270,$D$264:$D$270,INDEX($D$264:$D$270,7))</f>
        <v/>
      </c>
      <c r="G5080" s="7">
        <f>IF(ROUND(E5080+F5080-D5080,2)=0,"OK","ОШИБКА")</f>
        <v/>
      </c>
    </row>
    <row r="5081">
      <c r="A5081" s="15" t="inlineStr">
        <is>
          <t>Павлова</t>
        </is>
      </c>
      <c r="B5081" s="6" t="n">
        <v>39</v>
      </c>
      <c r="C5081" s="7">
        <f>INDEX(Нед_Раб,39)</f>
        <v/>
      </c>
      <c r="D5081" s="10">
        <f>SUM(G271:G277)</f>
        <v/>
      </c>
      <c r="E5081" s="10">
        <f>SUMIFS($G$271:$G$277,$D$271:$D$277,INDEX($D$271:$D$277,1))</f>
        <v/>
      </c>
      <c r="F5081" s="10">
        <f>SUMIFS($G$271:$G$277,$D$271:$D$277,INDEX($D$271:$D$277,7))</f>
        <v/>
      </c>
      <c r="G5081" s="7">
        <f>IF(ROUND(E5081+F5081-D5081,2)=0,"OK","ОШИБКА")</f>
        <v/>
      </c>
    </row>
    <row r="5082">
      <c r="A5082" s="15" t="inlineStr">
        <is>
          <t>Павлова</t>
        </is>
      </c>
      <c r="B5082" s="6" t="n">
        <v>40</v>
      </c>
      <c r="C5082" s="7">
        <f>INDEX(Нед_Раб,40)</f>
        <v/>
      </c>
      <c r="D5082" s="10">
        <f>SUM(G278:G284)</f>
        <v/>
      </c>
      <c r="E5082" s="10">
        <f>SUMIFS($G$278:$G$284,$D$278:$D$284,INDEX($D$278:$D$284,1))</f>
        <v/>
      </c>
      <c r="F5082" s="10">
        <f>SUMIFS($G$278:$G$284,$D$278:$D$284,INDEX($D$278:$D$284,7))</f>
        <v/>
      </c>
      <c r="G5082" s="7">
        <f>IF(ROUND(E5082+F5082-D5082,2)=0,"OK","ОШИБКА")</f>
        <v/>
      </c>
    </row>
    <row r="5083">
      <c r="A5083" s="15" t="inlineStr">
        <is>
          <t>Павлова</t>
        </is>
      </c>
      <c r="B5083" s="6" t="n">
        <v>41</v>
      </c>
      <c r="C5083" s="7">
        <f>INDEX(Нед_Раб,41)</f>
        <v/>
      </c>
      <c r="D5083" s="10">
        <f>SUM(G285:G291)</f>
        <v/>
      </c>
      <c r="E5083" s="10">
        <f>SUMIFS($G$285:$G$291,$D$285:$D$291,INDEX($D$285:$D$291,1))</f>
        <v/>
      </c>
      <c r="F5083" s="10">
        <f>SUMIFS($G$285:$G$291,$D$285:$D$291,INDEX($D$285:$D$291,7))</f>
        <v/>
      </c>
      <c r="G5083" s="7">
        <f>IF(ROUND(E5083+F5083-D5083,2)=0,"OK","ОШИБКА")</f>
        <v/>
      </c>
    </row>
    <row r="5084">
      <c r="A5084" s="15" t="inlineStr">
        <is>
          <t>Павлова</t>
        </is>
      </c>
      <c r="B5084" s="6" t="n">
        <v>42</v>
      </c>
      <c r="C5084" s="7">
        <f>INDEX(Нед_Раб,42)</f>
        <v/>
      </c>
      <c r="D5084" s="10">
        <f>SUM(G292:G298)</f>
        <v/>
      </c>
      <c r="E5084" s="10">
        <f>SUMIFS($G$292:$G$298,$D$292:$D$298,INDEX($D$292:$D$298,1))</f>
        <v/>
      </c>
      <c r="F5084" s="10">
        <f>SUMIFS($G$292:$G$298,$D$292:$D$298,INDEX($D$292:$D$298,7))</f>
        <v/>
      </c>
      <c r="G5084" s="7">
        <f>IF(ROUND(E5084+F5084-D5084,2)=0,"OK","ОШИБКА")</f>
        <v/>
      </c>
    </row>
    <row r="5085">
      <c r="A5085" s="15" t="inlineStr">
        <is>
          <t>Павлова</t>
        </is>
      </c>
      <c r="B5085" s="6" t="n">
        <v>43</v>
      </c>
      <c r="C5085" s="7">
        <f>INDEX(Нед_Раб,43)</f>
        <v/>
      </c>
      <c r="D5085" s="10">
        <f>SUM(G299:G305)</f>
        <v/>
      </c>
      <c r="E5085" s="10">
        <f>SUMIFS($G$299:$G$305,$D$299:$D$305,INDEX($D$299:$D$305,1))</f>
        <v/>
      </c>
      <c r="F5085" s="10">
        <f>SUMIFS($G$299:$G$305,$D$299:$D$305,INDEX($D$299:$D$305,7))</f>
        <v/>
      </c>
      <c r="G5085" s="7">
        <f>IF(ROUND(E5085+F5085-D5085,2)=0,"OK","ОШИБКА")</f>
        <v/>
      </c>
    </row>
    <row r="5086">
      <c r="A5086" s="15" t="inlineStr">
        <is>
          <t>Павлова</t>
        </is>
      </c>
      <c r="B5086" s="6" t="n">
        <v>44</v>
      </c>
      <c r="C5086" s="7">
        <f>INDEX(Нед_Раб,44)</f>
        <v/>
      </c>
      <c r="D5086" s="10">
        <f>SUM(G306:G312)</f>
        <v/>
      </c>
      <c r="E5086" s="10">
        <f>SUMIFS($G$306:$G$312,$D$306:$D$312,INDEX($D$306:$D$312,1))</f>
        <v/>
      </c>
      <c r="F5086" s="10">
        <f>SUMIFS($G$306:$G$312,$D$306:$D$312,INDEX($D$306:$D$312,7))</f>
        <v/>
      </c>
      <c r="G5086" s="7">
        <f>IF(ROUND(E5086+F5086-D5086,2)=0,"OK","ОШИБКА")</f>
        <v/>
      </c>
    </row>
    <row r="5087">
      <c r="A5087" s="15" t="inlineStr">
        <is>
          <t>Павлова</t>
        </is>
      </c>
      <c r="B5087" s="6" t="n">
        <v>45</v>
      </c>
      <c r="C5087" s="7">
        <f>INDEX(Нед_Раб,45)</f>
        <v/>
      </c>
      <c r="D5087" s="10">
        <f>SUM(G313:G319)</f>
        <v/>
      </c>
      <c r="E5087" s="10">
        <f>SUMIFS($G$313:$G$319,$D$313:$D$319,INDEX($D$313:$D$319,1))</f>
        <v/>
      </c>
      <c r="F5087" s="10">
        <f>SUMIFS($G$313:$G$319,$D$313:$D$319,INDEX($D$313:$D$319,7))</f>
        <v/>
      </c>
      <c r="G5087" s="7">
        <f>IF(ROUND(E5087+F5087-D5087,2)=0,"OK","ОШИБКА")</f>
        <v/>
      </c>
    </row>
    <row r="5088">
      <c r="A5088" s="15" t="inlineStr">
        <is>
          <t>Павлова</t>
        </is>
      </c>
      <c r="B5088" s="6" t="n">
        <v>46</v>
      </c>
      <c r="C5088" s="7">
        <f>INDEX(Нед_Раб,46)</f>
        <v/>
      </c>
      <c r="D5088" s="10">
        <f>SUM(G320:G326)</f>
        <v/>
      </c>
      <c r="E5088" s="10">
        <f>SUMIFS($G$320:$G$326,$D$320:$D$326,INDEX($D$320:$D$326,1))</f>
        <v/>
      </c>
      <c r="F5088" s="10">
        <f>SUMIFS($G$320:$G$326,$D$320:$D$326,INDEX($D$320:$D$326,7))</f>
        <v/>
      </c>
      <c r="G5088" s="7">
        <f>IF(ROUND(E5088+F5088-D5088,2)=0,"OK","ОШИБКА")</f>
        <v/>
      </c>
    </row>
    <row r="5089">
      <c r="A5089" s="15" t="inlineStr">
        <is>
          <t>Павлова</t>
        </is>
      </c>
      <c r="B5089" s="6" t="n">
        <v>47</v>
      </c>
      <c r="C5089" s="7">
        <f>INDEX(Нед_Раб,47)</f>
        <v/>
      </c>
      <c r="D5089" s="10">
        <f>SUM(G327:G333)</f>
        <v/>
      </c>
      <c r="E5089" s="10">
        <f>SUMIFS($G$327:$G$333,$D$327:$D$333,INDEX($D$327:$D$333,1))</f>
        <v/>
      </c>
      <c r="F5089" s="10">
        <f>SUMIFS($G$327:$G$333,$D$327:$D$333,INDEX($D$327:$D$333,7))</f>
        <v/>
      </c>
      <c r="G5089" s="7">
        <f>IF(ROUND(E5089+F5089-D5089,2)=0,"OK","ОШИБКА")</f>
        <v/>
      </c>
    </row>
    <row r="5090">
      <c r="A5090" s="15" t="inlineStr">
        <is>
          <t>Павлова</t>
        </is>
      </c>
      <c r="B5090" s="6" t="n">
        <v>48</v>
      </c>
      <c r="C5090" s="7">
        <f>INDEX(Нед_Раб,48)</f>
        <v/>
      </c>
      <c r="D5090" s="10">
        <f>SUM(G334:G340)</f>
        <v/>
      </c>
      <c r="E5090" s="10">
        <f>SUMIFS($G$334:$G$340,$D$334:$D$340,INDEX($D$334:$D$340,1))</f>
        <v/>
      </c>
      <c r="F5090" s="10">
        <f>SUMIFS($G$334:$G$340,$D$334:$D$340,INDEX($D$334:$D$340,7))</f>
        <v/>
      </c>
      <c r="G5090" s="7">
        <f>IF(ROUND(E5090+F5090-D5090,2)=0,"OK","ОШИБКА")</f>
        <v/>
      </c>
    </row>
    <row r="5091">
      <c r="A5091" s="15" t="inlineStr">
        <is>
          <t>Павлова</t>
        </is>
      </c>
      <c r="B5091" s="6" t="n">
        <v>49</v>
      </c>
      <c r="C5091" s="7">
        <f>INDEX(Нед_Раб,49)</f>
        <v/>
      </c>
      <c r="D5091" s="10">
        <f>SUM(G341:G347)</f>
        <v/>
      </c>
      <c r="E5091" s="10">
        <f>SUMIFS($G$341:$G$347,$D$341:$D$347,INDEX($D$341:$D$347,1))</f>
        <v/>
      </c>
      <c r="F5091" s="10">
        <f>SUMIFS($G$341:$G$347,$D$341:$D$347,INDEX($D$341:$D$347,7))</f>
        <v/>
      </c>
      <c r="G5091" s="7">
        <f>IF(ROUND(E5091+F5091-D5091,2)=0,"OK","ОШИБКА")</f>
        <v/>
      </c>
    </row>
    <row r="5092">
      <c r="A5092" s="15" t="inlineStr">
        <is>
          <t>Павлова</t>
        </is>
      </c>
      <c r="B5092" s="6" t="n">
        <v>50</v>
      </c>
      <c r="C5092" s="7">
        <f>INDEX(Нед_Раб,50)</f>
        <v/>
      </c>
      <c r="D5092" s="10">
        <f>SUM(G348:G354)</f>
        <v/>
      </c>
      <c r="E5092" s="10">
        <f>SUMIFS($G$348:$G$354,$D$348:$D$354,INDEX($D$348:$D$354,1))</f>
        <v/>
      </c>
      <c r="F5092" s="10">
        <f>SUMIFS($G$348:$G$354,$D$348:$D$354,INDEX($D$348:$D$354,7))</f>
        <v/>
      </c>
      <c r="G5092" s="7">
        <f>IF(ROUND(E5092+F5092-D5092,2)=0,"OK","ОШИБКА")</f>
        <v/>
      </c>
    </row>
    <row r="5093">
      <c r="A5093" s="15" t="inlineStr">
        <is>
          <t>Павлова</t>
        </is>
      </c>
      <c r="B5093" s="6" t="n">
        <v>51</v>
      </c>
      <c r="C5093" s="7">
        <f>INDEX(Нед_Раб,51)</f>
        <v/>
      </c>
      <c r="D5093" s="10">
        <f>SUM(G355:G361)</f>
        <v/>
      </c>
      <c r="E5093" s="10">
        <f>SUMIFS($G$355:$G$361,$D$355:$D$361,INDEX($D$355:$D$361,1))</f>
        <v/>
      </c>
      <c r="F5093" s="10">
        <f>SUMIFS($G$355:$G$361,$D$355:$D$361,INDEX($D$355:$D$361,7))</f>
        <v/>
      </c>
      <c r="G5093" s="7">
        <f>IF(ROUND(E5093+F5093-D5093,2)=0,"OK","ОШИБКА")</f>
        <v/>
      </c>
    </row>
    <row r="5094">
      <c r="A5094" s="15" t="inlineStr">
        <is>
          <t>Павлова</t>
        </is>
      </c>
      <c r="B5094" s="6" t="n">
        <v>52</v>
      </c>
      <c r="C5094" s="7">
        <f>INDEX(Нед_Раб,52)</f>
        <v/>
      </c>
      <c r="D5094" s="10">
        <f>SUM(G362:G368)</f>
        <v/>
      </c>
      <c r="E5094" s="10">
        <f>SUMIFS($G$362:$G$368,$D$362:$D$368,INDEX($D$362:$D$368,1))</f>
        <v/>
      </c>
      <c r="F5094" s="10">
        <f>SUMIFS($G$362:$G$368,$D$362:$D$368,INDEX($D$362:$D$368,7))</f>
        <v/>
      </c>
      <c r="G5094" s="7">
        <f>IF(ROUND(E5094+F5094-D5094,2)=0,"OK","ОШИБКА")</f>
        <v/>
      </c>
    </row>
    <row r="5095">
      <c r="A5095" s="15" t="inlineStr">
        <is>
          <t>Павлова</t>
        </is>
      </c>
      <c r="B5095" s="6" t="n">
        <v>53</v>
      </c>
      <c r="C5095" s="7">
        <f>INDEX(Нед_Раб,53)</f>
        <v/>
      </c>
      <c r="D5095" s="10">
        <f>SUM(G369:G375)</f>
        <v/>
      </c>
      <c r="E5095" s="10">
        <f>SUMIFS($G$369:$G$375,$D$369:$D$375,INDEX($D$369:$D$375,1))</f>
        <v/>
      </c>
      <c r="F5095" s="10">
        <f>SUMIFS($G$369:$G$375,$D$369:$D$375,INDEX($D$369:$D$375,7))</f>
        <v/>
      </c>
      <c r="G5095" s="7">
        <f>IF(ROUND(E5095+F5095-D5095,2)=0,"OK","ОШИБКА")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2026-10-26T16:11:37Z</dcterms:created>
  <dcterms:modified xmlns:dcterms="http://purl.org/dc/terms/" xmlns:xsi="http://www.w3.org/2001/XMLSchema-instance" xsi:type="dcterms:W3CDTF">2026-10-26T16:11:38Z</dcterms:modified>
</cp:coreProperties>
</file>